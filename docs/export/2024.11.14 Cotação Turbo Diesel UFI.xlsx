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Documents\PLANILHA PRA CONVERSAO DE FILTROS\"/>
    </mc:Choice>
  </mc:AlternateContent>
  <xr:revisionPtr revIDLastSave="0" documentId="13_ncr:1_{2B931370-C1E2-4F86-9111-A7B5C7FBE0C6}" xr6:coauthVersionLast="47" xr6:coauthVersionMax="47" xr10:uidLastSave="{00000000-0000-0000-0000-000000000000}"/>
  <bookViews>
    <workbookView xWindow="-120" yWindow="-120" windowWidth="29040" windowHeight="15720" xr2:uid="{00000000-000D-0000-FFFF-FFFF00000000}"/>
  </bookViews>
  <sheets>
    <sheet name="Cotação Turbo Diesel" sheetId="12" r:id="rId1"/>
    <sheet name="Pendência" sheetId="16" r:id="rId2"/>
    <sheet name="Planilha1" sheetId="14" state="hidden" r:id="rId3"/>
    <sheet name="Lançamentos" sheetId="13" r:id="rId4"/>
    <sheet name="Reajuste" sheetId="17" r:id="rId5"/>
  </sheets>
  <definedNames>
    <definedName name="_xlnm._FilterDatabase" localSheetId="0" hidden="1">'Cotação Turbo Diesel'!$A$3:$AL$1535</definedName>
    <definedName name="_xlnm._FilterDatabase" localSheetId="3" hidden="1">Lançamentos!$A$1:$J$25</definedName>
    <definedName name="_xlnm._FilterDatabase" localSheetId="1" hidden="1">Pendência!$A$1:$U$37</definedName>
    <definedName name="_xlnm._FilterDatabase" localSheetId="2" hidden="1">Planilha1!$A$2:$A$29</definedName>
    <definedName name="_xlnm._FilterDatabase" localSheetId="4" hidden="1">Reajuste!$A$3:$G$71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80" i="12" l="1"/>
  <c r="AH105" i="12"/>
  <c r="AH1160" i="12"/>
  <c r="AH49" i="12"/>
  <c r="AH1162" i="12"/>
  <c r="AH860" i="12"/>
  <c r="AH1004" i="12"/>
  <c r="AH355" i="12"/>
  <c r="AH14" i="12"/>
  <c r="AH427" i="12"/>
  <c r="AH284" i="12"/>
  <c r="AH986" i="12"/>
  <c r="AH890" i="12"/>
  <c r="AH101" i="12"/>
  <c r="AH1192" i="12"/>
  <c r="AH17" i="12"/>
  <c r="AH1286" i="12"/>
  <c r="AH352" i="12"/>
  <c r="AH950" i="12"/>
  <c r="AH76" i="12"/>
  <c r="AH459" i="12"/>
  <c r="AH1527" i="12"/>
  <c r="AH50" i="12"/>
  <c r="AH74" i="12"/>
  <c r="AH185" i="12"/>
  <c r="AH1038" i="12"/>
  <c r="AH999" i="12"/>
  <c r="AH391" i="12"/>
  <c r="AH610" i="12"/>
  <c r="AH1525" i="12"/>
  <c r="AH762" i="12"/>
  <c r="AH896" i="12"/>
  <c r="AH920" i="12"/>
  <c r="AH967" i="12"/>
  <c r="AH1076" i="12"/>
  <c r="AH67" i="12"/>
  <c r="AH370" i="12"/>
  <c r="AH847" i="12"/>
  <c r="AH1130" i="12"/>
  <c r="AH938" i="12"/>
  <c r="AH310" i="12"/>
  <c r="AH443" i="12"/>
  <c r="AH205" i="12"/>
  <c r="AH607" i="12"/>
  <c r="AH1297" i="12"/>
  <c r="AH400" i="12"/>
  <c r="AH962" i="12"/>
  <c r="AH276" i="12"/>
  <c r="AH961" i="12"/>
  <c r="AH250" i="12"/>
  <c r="AH1124" i="12"/>
  <c r="AH971" i="12"/>
  <c r="AH665" i="12"/>
  <c r="AH1279" i="12"/>
  <c r="AH1228" i="12"/>
  <c r="AH341" i="12"/>
  <c r="AH888" i="12"/>
  <c r="AH718" i="12"/>
  <c r="AH1074" i="12"/>
  <c r="AH596" i="12"/>
  <c r="AH735" i="12"/>
  <c r="AH393" i="12"/>
  <c r="AH836" i="12"/>
  <c r="AH1533" i="12"/>
  <c r="AH420" i="12"/>
  <c r="AH1122" i="12"/>
  <c r="AH758" i="12"/>
  <c r="AH504" i="12"/>
  <c r="AH1174" i="12"/>
  <c r="AH524" i="12"/>
  <c r="AH963" i="12"/>
  <c r="AH332" i="12"/>
  <c r="AH500" i="12"/>
  <c r="AH114" i="12"/>
  <c r="AH508" i="12"/>
  <c r="AH747" i="12"/>
  <c r="AH1267" i="12"/>
  <c r="AH1288" i="12"/>
  <c r="AH533" i="12"/>
  <c r="AH1009" i="12"/>
  <c r="AH282" i="12"/>
  <c r="AH729" i="12"/>
  <c r="AH759" i="12"/>
  <c r="AH1033" i="12"/>
  <c r="AH191" i="12"/>
  <c r="AH1118" i="12"/>
  <c r="AH225" i="12"/>
  <c r="AH57" i="12"/>
  <c r="AH419" i="12"/>
  <c r="AH638" i="12"/>
  <c r="AH1227" i="12"/>
  <c r="AH1535" i="12"/>
  <c r="AH885" i="12"/>
  <c r="AH926" i="12"/>
  <c r="AH1036" i="12"/>
  <c r="AH507" i="12"/>
  <c r="AH1308" i="12"/>
  <c r="AH1230" i="12"/>
  <c r="AH1315" i="12"/>
  <c r="AH24" i="12"/>
  <c r="AH521" i="12"/>
  <c r="AH460" i="12"/>
  <c r="AH815" i="12"/>
  <c r="AH1264" i="12"/>
  <c r="AH1131" i="12"/>
  <c r="AH651" i="12"/>
  <c r="AH626" i="12"/>
  <c r="AH424" i="12"/>
  <c r="AH1111" i="12"/>
  <c r="AH1256" i="12"/>
  <c r="AH731" i="12"/>
  <c r="AH1344" i="12"/>
  <c r="AH760" i="12"/>
  <c r="AH1071" i="12"/>
  <c r="AH340" i="12"/>
  <c r="AH1037" i="12"/>
  <c r="AH1239" i="12"/>
  <c r="AH1280" i="12"/>
  <c r="AH453" i="12"/>
  <c r="AH701" i="12"/>
  <c r="AH835" i="12"/>
  <c r="AH660" i="12"/>
  <c r="AH552" i="12"/>
  <c r="AH965" i="12"/>
  <c r="AH954" i="12"/>
  <c r="AH186" i="12"/>
  <c r="AH1304" i="12"/>
  <c r="AH416" i="12"/>
  <c r="AH132" i="12"/>
  <c r="AH801" i="12"/>
  <c r="AH446" i="12"/>
  <c r="AH1048" i="12"/>
  <c r="AH613" i="12"/>
  <c r="AH939" i="12"/>
  <c r="AH616" i="12"/>
  <c r="AH426" i="12"/>
  <c r="AH720" i="12"/>
  <c r="AH189" i="12"/>
  <c r="AH161" i="12"/>
  <c r="AH278" i="12"/>
  <c r="AH1293" i="12"/>
  <c r="AH891" i="12"/>
  <c r="AH360" i="12"/>
  <c r="AH644" i="12"/>
  <c r="AH373" i="12"/>
  <c r="AH519" i="12"/>
  <c r="AH1095" i="12"/>
  <c r="AH721" i="12"/>
  <c r="AH130" i="12"/>
  <c r="AH548" i="12"/>
  <c r="AH486" i="12"/>
  <c r="AH169" i="12"/>
  <c r="AH1328" i="12"/>
  <c r="AH585" i="12"/>
  <c r="AH374" i="12"/>
  <c r="AH156" i="12"/>
  <c r="AH260" i="12"/>
  <c r="AH541" i="12"/>
  <c r="AH343" i="12"/>
  <c r="AH1196" i="12"/>
  <c r="AH91" i="12"/>
  <c r="AH21" i="12"/>
  <c r="AH1289" i="12"/>
  <c r="AH80" i="12"/>
  <c r="AH452" i="12"/>
  <c r="AH998" i="12"/>
  <c r="AH483" i="12"/>
  <c r="AH44" i="12"/>
  <c r="AH157" i="12"/>
  <c r="AH848" i="12"/>
  <c r="AH353" i="12"/>
  <c r="AH1108" i="12"/>
  <c r="AH587" i="12"/>
  <c r="AH333" i="12"/>
  <c r="AH147" i="12"/>
  <c r="AH810" i="12"/>
  <c r="AH537" i="12"/>
  <c r="AH110" i="12"/>
  <c r="AH395" i="12"/>
  <c r="AH515" i="12"/>
  <c r="AH229" i="12"/>
  <c r="AH578" i="12"/>
  <c r="AH145" i="12"/>
  <c r="AH526" i="12"/>
  <c r="AH418" i="12"/>
  <c r="AH289" i="12"/>
  <c r="AH1016" i="12"/>
  <c r="AH776" i="12"/>
  <c r="AH683" i="12"/>
  <c r="AH9" i="12"/>
  <c r="AH540" i="12"/>
  <c r="AH428" i="12"/>
  <c r="AH1046" i="12"/>
  <c r="AH582" i="12"/>
  <c r="AH853" i="12"/>
  <c r="AH170" i="12"/>
  <c r="AH165" i="12"/>
  <c r="AH639" i="12"/>
  <c r="AH430" i="12"/>
  <c r="AH556" i="12"/>
  <c r="AH245" i="12"/>
  <c r="AH922" i="12"/>
  <c r="AH539" i="12"/>
  <c r="AH126" i="12"/>
  <c r="AH461" i="12"/>
  <c r="AH1087" i="12"/>
  <c r="AH677" i="12"/>
  <c r="AH466" i="12"/>
  <c r="AH946" i="12"/>
  <c r="AH538" i="12"/>
  <c r="AH617" i="12"/>
  <c r="AH713" i="12"/>
  <c r="AH854" i="12"/>
  <c r="AH1042" i="12"/>
  <c r="AH1094" i="12"/>
  <c r="AH201" i="12"/>
  <c r="AH173" i="12"/>
  <c r="AH92" i="12"/>
  <c r="AH653" i="12"/>
  <c r="AH1110" i="12"/>
  <c r="AH176" i="12"/>
  <c r="AH78" i="12"/>
  <c r="AH532" i="12"/>
  <c r="AH618" i="12"/>
  <c r="AH238" i="12"/>
  <c r="AH1329" i="12"/>
  <c r="AH1532" i="12"/>
  <c r="AH1237" i="12"/>
  <c r="AH751" i="12"/>
  <c r="AH437" i="12"/>
  <c r="AH1055" i="12"/>
  <c r="AH797" i="12"/>
  <c r="AH109" i="12"/>
  <c r="AH344" i="12"/>
  <c r="AH465" i="12"/>
  <c r="AH723" i="12"/>
  <c r="AH1127" i="12"/>
  <c r="AH725" i="12"/>
  <c r="AH764" i="12"/>
  <c r="AH831" i="12"/>
  <c r="AH389" i="12"/>
  <c r="AH829" i="12"/>
  <c r="AH1234" i="12"/>
  <c r="AH125" i="12"/>
  <c r="AH561" i="12"/>
  <c r="AH646" i="12"/>
  <c r="AH798" i="12"/>
  <c r="AH988" i="12"/>
  <c r="AH1307" i="12"/>
  <c r="AH485" i="12"/>
  <c r="AH594" i="12"/>
  <c r="AH612" i="12"/>
  <c r="AH530" i="12"/>
  <c r="AH20" i="12"/>
  <c r="AH750" i="12"/>
  <c r="AH277" i="12"/>
  <c r="AH378" i="12"/>
  <c r="AH1248" i="12"/>
  <c r="AH1113" i="12"/>
  <c r="AH571" i="12"/>
  <c r="AH513" i="12"/>
  <c r="AH601" i="12"/>
  <c r="AH1265" i="12"/>
  <c r="AH10" i="12"/>
  <c r="AH710" i="12"/>
  <c r="AH838" i="12"/>
  <c r="AH1522" i="12"/>
  <c r="AH572" i="12"/>
  <c r="AH780" i="12"/>
  <c r="AH1134" i="12"/>
  <c r="AH423" i="12"/>
  <c r="AH1238" i="12"/>
  <c r="AH752" i="12"/>
  <c r="AH614" i="12"/>
  <c r="AH900" i="12"/>
  <c r="AH79" i="12"/>
  <c r="AH698" i="12"/>
  <c r="AH850" i="12"/>
  <c r="AH879" i="12"/>
  <c r="AH1006" i="12"/>
  <c r="AH1322" i="12"/>
  <c r="AH1200" i="12"/>
  <c r="AH328" i="12"/>
  <c r="AH1268" i="12"/>
  <c r="AH782" i="12"/>
  <c r="AH1136" i="12"/>
  <c r="AH1283" i="12"/>
  <c r="AH516" i="12"/>
  <c r="AH567" i="12"/>
  <c r="AH479" i="12"/>
  <c r="AH198" i="12"/>
  <c r="AH880" i="12"/>
  <c r="AH657" i="12"/>
  <c r="AH454" i="12"/>
  <c r="AH919" i="12"/>
  <c r="AH821" i="12"/>
  <c r="AH824" i="12"/>
  <c r="AH457" i="12"/>
  <c r="AH1125" i="12"/>
  <c r="AH58" i="12"/>
  <c r="AH345" i="12"/>
  <c r="AH716" i="12"/>
  <c r="AH1085" i="12"/>
  <c r="AH187" i="12"/>
  <c r="AH1164" i="12"/>
  <c r="AH865" i="12"/>
  <c r="AH53" i="12"/>
  <c r="AH514" i="12"/>
  <c r="AH749" i="12"/>
  <c r="AH664" i="12"/>
  <c r="AH372" i="12"/>
  <c r="AH124" i="12"/>
  <c r="AH1327" i="12"/>
  <c r="AH1067" i="12"/>
  <c r="AH803" i="12"/>
  <c r="AH1114" i="12"/>
  <c r="AH116" i="12"/>
  <c r="AH969" i="12"/>
  <c r="AH763" i="12"/>
  <c r="AH163" i="12"/>
  <c r="AH231" i="12"/>
  <c r="AH520" i="12"/>
  <c r="AH788" i="12"/>
  <c r="AH630" i="12"/>
  <c r="AH702" i="12"/>
  <c r="AH505" i="12"/>
  <c r="AH1326" i="12"/>
  <c r="AH1231" i="12"/>
  <c r="AH390" i="12"/>
  <c r="AH579" i="12"/>
  <c r="AH886" i="12"/>
  <c r="AH993" i="12"/>
  <c r="AH371" i="12"/>
  <c r="AH771" i="12"/>
  <c r="AH383" i="12"/>
  <c r="AH952" i="12"/>
  <c r="AH134" i="12"/>
  <c r="AH1024" i="12"/>
  <c r="AH605" i="12"/>
  <c r="AH949" i="12"/>
  <c r="AH852" i="12"/>
  <c r="AH866" i="12"/>
  <c r="AH569" i="12"/>
  <c r="AH1121" i="12"/>
  <c r="AH358" i="12"/>
  <c r="AH291" i="12"/>
  <c r="AH1138" i="12"/>
  <c r="AH325" i="12"/>
  <c r="AH970" i="12"/>
  <c r="AH117" i="12"/>
  <c r="AH1263" i="12"/>
  <c r="AH31" i="12"/>
  <c r="AH86" i="12"/>
  <c r="AH982" i="12"/>
  <c r="AH463" i="12"/>
  <c r="AH257" i="12"/>
  <c r="AH271" i="12"/>
  <c r="AH151" i="12"/>
  <c r="AH221" i="12"/>
  <c r="AH705" i="12"/>
  <c r="AH897" i="12"/>
  <c r="AH351" i="12"/>
  <c r="AH1068" i="12"/>
  <c r="AH153" i="12"/>
  <c r="AH874" i="12"/>
  <c r="AH1140" i="12"/>
  <c r="AH440" i="12"/>
  <c r="AH1065" i="12"/>
  <c r="AH315" i="12"/>
  <c r="AH1050" i="12"/>
  <c r="AH1057" i="12"/>
  <c r="AH1343" i="12"/>
  <c r="AH200" i="12"/>
  <c r="AH807" i="12"/>
  <c r="AH606" i="12"/>
  <c r="AH1035" i="12"/>
  <c r="AH1029" i="12"/>
  <c r="AH25" i="12"/>
  <c r="AH329" i="12"/>
  <c r="AH1214" i="12"/>
  <c r="AH915" i="12"/>
  <c r="AH964" i="12"/>
  <c r="AH293" i="12"/>
  <c r="AH1215" i="12"/>
  <c r="AH303" i="12"/>
  <c r="AH676" i="12"/>
  <c r="AH362" i="12"/>
  <c r="AH892" i="12"/>
  <c r="AH1014" i="12"/>
  <c r="AH1169" i="12"/>
  <c r="AH43" i="12"/>
  <c r="AH1183" i="12"/>
  <c r="AH318" i="12"/>
  <c r="AH542" i="12"/>
  <c r="AH937" i="12"/>
  <c r="AH1168" i="12"/>
  <c r="AH354" i="12"/>
  <c r="AH913" i="12"/>
  <c r="AH197" i="12"/>
  <c r="AH380" i="12"/>
  <c r="AH863" i="12"/>
  <c r="AH1017" i="12"/>
  <c r="AH288" i="12"/>
  <c r="AH28" i="12"/>
  <c r="AH287" i="12"/>
  <c r="AH1151" i="12"/>
  <c r="AH29" i="12"/>
  <c r="AH317" i="12"/>
  <c r="AH75" i="12"/>
  <c r="AH1175" i="12"/>
  <c r="AH216" i="12"/>
  <c r="AH635" i="12"/>
  <c r="AH469" i="12"/>
  <c r="AH16" i="12"/>
  <c r="AH62" i="12"/>
  <c r="AH1028" i="12"/>
  <c r="AH6" i="12"/>
  <c r="AH7" i="12"/>
  <c r="AH8" i="12"/>
  <c r="AH13" i="12"/>
  <c r="AH15" i="12"/>
  <c r="AH27" i="12"/>
  <c r="AH33" i="12"/>
  <c r="AH34" i="12"/>
  <c r="AH36" i="12"/>
  <c r="AH38" i="12"/>
  <c r="AH52" i="12"/>
  <c r="AH56" i="12"/>
  <c r="AH59" i="12"/>
  <c r="AH61" i="12"/>
  <c r="AH64" i="12"/>
  <c r="AH71" i="12"/>
  <c r="AH73" i="12"/>
  <c r="AH82" i="12"/>
  <c r="AH84" i="12"/>
  <c r="AH87" i="12"/>
  <c r="AH90" i="12"/>
  <c r="AH96" i="12"/>
  <c r="AH100" i="12"/>
  <c r="AH102" i="12"/>
  <c r="AH108" i="12"/>
  <c r="AH115" i="12"/>
  <c r="AH118" i="12"/>
  <c r="AH120" i="12"/>
  <c r="AH121" i="12"/>
  <c r="AH129" i="12"/>
  <c r="AH136" i="12"/>
  <c r="AH139" i="12"/>
  <c r="AH141" i="12"/>
  <c r="AH146" i="12"/>
  <c r="AH152" i="12"/>
  <c r="AH155" i="12"/>
  <c r="AH158" i="12"/>
  <c r="AH164" i="12"/>
  <c r="AH168" i="12"/>
  <c r="AH172" i="12"/>
  <c r="AH175" i="12"/>
  <c r="AH178" i="12"/>
  <c r="AH181" i="12"/>
  <c r="AH183" i="12"/>
  <c r="AH193" i="12"/>
  <c r="AH194" i="12"/>
  <c r="AH195" i="12"/>
  <c r="AH199" i="12"/>
  <c r="AH203" i="12"/>
  <c r="AH206" i="12"/>
  <c r="AH208" i="12"/>
  <c r="AH210" i="12"/>
  <c r="AH213" i="12"/>
  <c r="AH217" i="12"/>
  <c r="AH222" i="12"/>
  <c r="AH223" i="12"/>
  <c r="AH224" i="12"/>
  <c r="AH230" i="12"/>
  <c r="AH233" i="12"/>
  <c r="AH235" i="12"/>
  <c r="AH236" i="12"/>
  <c r="AH237" i="12"/>
  <c r="AH241" i="12"/>
  <c r="AH243" i="12"/>
  <c r="AH244" i="12"/>
  <c r="AH248" i="12"/>
  <c r="AH259" i="12"/>
  <c r="AH265" i="12"/>
  <c r="AH267" i="12"/>
  <c r="AH268" i="12"/>
  <c r="AH269" i="12"/>
  <c r="AH283" i="12"/>
  <c r="AH285" i="12"/>
  <c r="AH286" i="12"/>
  <c r="AH295" i="12"/>
  <c r="AH296" i="12"/>
  <c r="AH307" i="12"/>
  <c r="AH309" i="12"/>
  <c r="AH323" i="12"/>
  <c r="AH324" i="12"/>
  <c r="AH331" i="12"/>
  <c r="AH337" i="12"/>
  <c r="AH339" i="12"/>
  <c r="AH346" i="12"/>
  <c r="AH349" i="12"/>
  <c r="AH361" i="12"/>
  <c r="AH375" i="12"/>
  <c r="AH381" i="12"/>
  <c r="AH382" i="12"/>
  <c r="AH384" i="12"/>
  <c r="AH385" i="12"/>
  <c r="AH388" i="12"/>
  <c r="AH392" i="12"/>
  <c r="AH396" i="12"/>
  <c r="AH398" i="12"/>
  <c r="AH399" i="12"/>
  <c r="AH405" i="12"/>
  <c r="AH407" i="12"/>
  <c r="AH408" i="12"/>
  <c r="AH409" i="12"/>
  <c r="AH410" i="12"/>
  <c r="AH413" i="12"/>
  <c r="AH422" i="12"/>
  <c r="AH425" i="12"/>
  <c r="AH432" i="12"/>
  <c r="AH433" i="12"/>
  <c r="AH439" i="12"/>
  <c r="AH442" i="12"/>
  <c r="AH444" i="12"/>
  <c r="AH445" i="12"/>
  <c r="AH448" i="12"/>
  <c r="AH451" i="12"/>
  <c r="AH455" i="12"/>
  <c r="AH456" i="12"/>
  <c r="AH468" i="12"/>
  <c r="AH471" i="12"/>
  <c r="AH474" i="12"/>
  <c r="AH476" i="12"/>
  <c r="AH477" i="12"/>
  <c r="AH478" i="12"/>
  <c r="AH480" i="12"/>
  <c r="AH487" i="12"/>
  <c r="AH488" i="12"/>
  <c r="AH489" i="12"/>
  <c r="AH491" i="12"/>
  <c r="AH492" i="12"/>
  <c r="AH495" i="12"/>
  <c r="AH506" i="12"/>
  <c r="AH510" i="12"/>
  <c r="AH511" i="12"/>
  <c r="AH517" i="12"/>
  <c r="AH525" i="12"/>
  <c r="AH534" i="12"/>
  <c r="AH535" i="12"/>
  <c r="AH549" i="12"/>
  <c r="AH550" i="12"/>
  <c r="AH559" i="12"/>
  <c r="AH563" i="12"/>
  <c r="AH564" i="12"/>
  <c r="AH566" i="12"/>
  <c r="AH568" i="12"/>
  <c r="AH574" i="12"/>
  <c r="AH576" i="12"/>
  <c r="AH577" i="12"/>
  <c r="AH581" i="12"/>
  <c r="AH583" i="12"/>
  <c r="AH589" i="12"/>
  <c r="AH591" i="12"/>
  <c r="AH593" i="12"/>
  <c r="AH598" i="12"/>
  <c r="AH600" i="12"/>
  <c r="AH604" i="12"/>
  <c r="AH609" i="12"/>
  <c r="AH611" i="12"/>
  <c r="AH621" i="12"/>
  <c r="AH622" i="12"/>
  <c r="AH637" i="12"/>
  <c r="AH647" i="12"/>
  <c r="AH649" i="12"/>
  <c r="AH654" i="12"/>
  <c r="AH655" i="12"/>
  <c r="AH659" i="12"/>
  <c r="AH661" i="12"/>
  <c r="AH663" i="12"/>
  <c r="AH668" i="12"/>
  <c r="AH671" i="12"/>
  <c r="AH674" i="12"/>
  <c r="AH678" i="12"/>
  <c r="AH679" i="12"/>
  <c r="AH680" i="12"/>
  <c r="AH681" i="12"/>
  <c r="AH685" i="12"/>
  <c r="AH687" i="12"/>
  <c r="AH689" i="12"/>
  <c r="AH692" i="12"/>
  <c r="AH693" i="12"/>
  <c r="AH699" i="12"/>
  <c r="AH703" i="12"/>
  <c r="AH704" i="12"/>
  <c r="AH711" i="12"/>
  <c r="AH712" i="12"/>
  <c r="AH726" i="12"/>
  <c r="AH730" i="12"/>
  <c r="AH732" i="12"/>
  <c r="AH734" i="12"/>
  <c r="AH736" i="12"/>
  <c r="AH739" i="12"/>
  <c r="AH744" i="12"/>
  <c r="AH745" i="12"/>
  <c r="AH746" i="12"/>
  <c r="AH748" i="12"/>
  <c r="AH755" i="12"/>
  <c r="AH756" i="12"/>
  <c r="AH757" i="12"/>
  <c r="AH765" i="12"/>
  <c r="AH766" i="12"/>
  <c r="AH769" i="12"/>
  <c r="AH773" i="12"/>
  <c r="AH774" i="12"/>
  <c r="AH775" i="12"/>
  <c r="AH779" i="12"/>
  <c r="AH784" i="12"/>
  <c r="AH787" i="12"/>
  <c r="AH789" i="12"/>
  <c r="AH794" i="12"/>
  <c r="AH795" i="12"/>
  <c r="AH802" i="12"/>
  <c r="AH808" i="12"/>
  <c r="AH811" i="12"/>
  <c r="AH812" i="12"/>
  <c r="AH813" i="12"/>
  <c r="AH817" i="12"/>
  <c r="AH818" i="12"/>
  <c r="AH819" i="12"/>
  <c r="AH822" i="12"/>
  <c r="AH826" i="12"/>
  <c r="AH833" i="12"/>
  <c r="AH837" i="12"/>
  <c r="AH840" i="12"/>
  <c r="AH841" i="12"/>
  <c r="AH842" i="12"/>
  <c r="AH845" i="12"/>
  <c r="AH849" i="12"/>
  <c r="AH858" i="12"/>
  <c r="AH864" i="12"/>
  <c r="AH869" i="12"/>
  <c r="AH876" i="12"/>
  <c r="AH884" i="12"/>
  <c r="AH889" i="12"/>
  <c r="AH894" i="12"/>
  <c r="AH895" i="12"/>
  <c r="AH904" i="12"/>
  <c r="AH906" i="12"/>
  <c r="AH908" i="12"/>
  <c r="AH911" i="12"/>
  <c r="AH912" i="12"/>
  <c r="AH923" i="12"/>
  <c r="AH925" i="12"/>
  <c r="AH927" i="12"/>
  <c r="AH928" i="12"/>
  <c r="AH929" i="12"/>
  <c r="AH934" i="12"/>
  <c r="AH935" i="12"/>
  <c r="AH936" i="12"/>
  <c r="AH941" i="12"/>
  <c r="AH944" i="12"/>
  <c r="AH948" i="12"/>
  <c r="AH956" i="12"/>
  <c r="AH957" i="12"/>
  <c r="AH958" i="12"/>
  <c r="AH959" i="12"/>
  <c r="AH968" i="12"/>
  <c r="AH973" i="12"/>
  <c r="AH974" i="12"/>
  <c r="AH978" i="12"/>
  <c r="AH979" i="12"/>
  <c r="AH984" i="12"/>
  <c r="AH989" i="12"/>
  <c r="AH1000" i="12"/>
  <c r="AH1003" i="12"/>
  <c r="AH1005" i="12"/>
  <c r="AH1010" i="12"/>
  <c r="AH1012" i="12"/>
  <c r="AH1013" i="12"/>
  <c r="AH1018" i="12"/>
  <c r="AH1019" i="12"/>
  <c r="AH1022" i="12"/>
  <c r="AH1027" i="12"/>
  <c r="AH1031" i="12"/>
  <c r="AH1034" i="12"/>
  <c r="AH1041" i="12"/>
  <c r="AH1054" i="12"/>
  <c r="AH1056" i="12"/>
  <c r="AH1058" i="12"/>
  <c r="AH1062" i="12"/>
  <c r="AH1064" i="12"/>
  <c r="AH1070" i="12"/>
  <c r="AH1075" i="12"/>
  <c r="AH1077" i="12"/>
  <c r="AH1078" i="12"/>
  <c r="AH1079" i="12"/>
  <c r="AH1082" i="12"/>
  <c r="AH1089" i="12"/>
  <c r="AH1090" i="12"/>
  <c r="AH1098" i="12"/>
  <c r="AH1099" i="12"/>
  <c r="AH1102" i="12"/>
  <c r="AH1104" i="12"/>
  <c r="AH1105" i="12"/>
  <c r="AH1106" i="12"/>
  <c r="AH1107" i="12"/>
  <c r="AH1119" i="12"/>
  <c r="AH1120" i="12"/>
  <c r="AH1123" i="12"/>
  <c r="AH1129" i="12"/>
  <c r="AH1132" i="12"/>
  <c r="AH1144" i="12"/>
  <c r="AH1146" i="12"/>
  <c r="AH1148" i="12"/>
  <c r="AH1150" i="12"/>
  <c r="AH1152" i="12"/>
  <c r="AH1157" i="12"/>
  <c r="AH1158" i="12"/>
  <c r="AH1159" i="12"/>
  <c r="AH1163" i="12"/>
  <c r="AH1165" i="12"/>
  <c r="AH1171" i="12"/>
  <c r="AH1176" i="12"/>
  <c r="AH1178" i="12"/>
  <c r="AH1179" i="12"/>
  <c r="AH1180" i="12"/>
  <c r="AH1185" i="12"/>
  <c r="AH1186" i="12"/>
  <c r="AH1187" i="12"/>
  <c r="AH1190" i="12"/>
  <c r="AH1191" i="12"/>
  <c r="AH1197" i="12"/>
  <c r="AH1199" i="12"/>
  <c r="AH1203" i="12"/>
  <c r="AH1204" i="12"/>
  <c r="AH1205" i="12"/>
  <c r="AH1208" i="12"/>
  <c r="AH1209" i="12"/>
  <c r="AH1211" i="12"/>
  <c r="AH1213" i="12"/>
  <c r="AH1216" i="12"/>
  <c r="AH1219" i="12"/>
  <c r="AH1222" i="12"/>
  <c r="AH1223" i="12"/>
  <c r="AH1224" i="12"/>
  <c r="AH1225" i="12"/>
  <c r="AH1235" i="12"/>
  <c r="AH1240" i="12"/>
  <c r="AH1243" i="12"/>
  <c r="AH1246" i="12"/>
  <c r="AH1247" i="12"/>
  <c r="AH1254" i="12"/>
  <c r="AH1257" i="12"/>
  <c r="AH1258" i="12"/>
  <c r="AH1259" i="12"/>
  <c r="AH1260" i="12"/>
  <c r="AH1269" i="12"/>
  <c r="AH1270" i="12"/>
  <c r="AH1272" i="12"/>
  <c r="AH1276" i="12"/>
  <c r="AH1277" i="12"/>
  <c r="AH1284" i="12"/>
  <c r="AH1292" i="12"/>
  <c r="AH1295" i="12"/>
  <c r="AH1296" i="12"/>
  <c r="AH1298" i="12"/>
  <c r="AH1299" i="12"/>
  <c r="AH1301" i="12"/>
  <c r="AH1303" i="12"/>
  <c r="AH1305" i="12"/>
  <c r="AH1306" i="12"/>
  <c r="AH1311" i="12"/>
  <c r="AH1319" i="12"/>
  <c r="AH1323" i="12"/>
  <c r="AH1330" i="12"/>
  <c r="AH1331" i="12"/>
  <c r="AH1332" i="12"/>
  <c r="AH1334" i="12"/>
  <c r="AH1336" i="12"/>
  <c r="AH1338" i="12"/>
  <c r="AH1340" i="12"/>
  <c r="AH1341" i="12"/>
  <c r="AH1346" i="12"/>
  <c r="AH1348" i="12"/>
  <c r="AH1349" i="12"/>
  <c r="AH1350" i="12"/>
  <c r="AH1351" i="12"/>
  <c r="AH1354" i="12"/>
  <c r="AH1356" i="12"/>
  <c r="AH1358" i="12"/>
  <c r="AH1359" i="12"/>
  <c r="AH1360" i="12"/>
  <c r="AH1362" i="12"/>
  <c r="AH1364" i="12"/>
  <c r="AH1366" i="12"/>
  <c r="AH1367" i="12"/>
  <c r="AH1370" i="12"/>
  <c r="AH1372" i="12"/>
  <c r="AH1374" i="12"/>
  <c r="AH1375" i="12"/>
  <c r="AH1376" i="12"/>
  <c r="AH1378" i="12"/>
  <c r="AH1380" i="12"/>
  <c r="AH1381" i="12"/>
  <c r="AH1382" i="12"/>
  <c r="AH1383" i="12"/>
  <c r="AH1386" i="12"/>
  <c r="AH1387" i="12"/>
  <c r="AH1388" i="12"/>
  <c r="AH1391" i="12"/>
  <c r="AH1392" i="12"/>
  <c r="AH1395" i="12"/>
  <c r="AH1397" i="12"/>
  <c r="AH1399" i="12"/>
  <c r="AH1401" i="12"/>
  <c r="AH1404" i="12"/>
  <c r="AH1405" i="12"/>
  <c r="AH1406" i="12"/>
  <c r="AH1408" i="12"/>
  <c r="AH1409" i="12"/>
  <c r="AH1412" i="12"/>
  <c r="AH1414" i="12"/>
  <c r="AH1415" i="12"/>
  <c r="AH1416" i="12"/>
  <c r="AH1417" i="12"/>
  <c r="AH1420" i="12"/>
  <c r="AH1422" i="12"/>
  <c r="AH1423" i="12"/>
  <c r="AH1424" i="12"/>
  <c r="AH1425" i="12"/>
  <c r="AH1428" i="12"/>
  <c r="AH1429" i="12"/>
  <c r="AH1430" i="12"/>
  <c r="AH1432" i="12"/>
  <c r="AH1433" i="12"/>
  <c r="AH1436" i="12"/>
  <c r="AH1438" i="12"/>
  <c r="AH1439" i="12"/>
  <c r="AH1440" i="12"/>
  <c r="AH1441" i="12"/>
  <c r="AH1444" i="12"/>
  <c r="AH1445" i="12"/>
  <c r="AH1446" i="12"/>
  <c r="AH1447" i="12"/>
  <c r="AH1448" i="12"/>
  <c r="AH1449" i="12"/>
  <c r="AH1452" i="12"/>
  <c r="AH1454" i="12"/>
  <c r="AH1456" i="12"/>
  <c r="AH1457" i="12"/>
  <c r="AH1458" i="12"/>
  <c r="AH1460" i="12"/>
  <c r="AH1462" i="12"/>
  <c r="AH1463" i="12"/>
  <c r="AH1465" i="12"/>
  <c r="AH1466" i="12"/>
  <c r="AH1469" i="12"/>
  <c r="AH1471" i="12"/>
  <c r="AH1473" i="12"/>
  <c r="AH1474" i="12"/>
  <c r="AH1475" i="12"/>
  <c r="AH1477" i="12"/>
  <c r="AH1479" i="12"/>
  <c r="AH1480" i="12"/>
  <c r="AH1481" i="12"/>
  <c r="AH1482" i="12"/>
  <c r="AH1483" i="12"/>
  <c r="AH1484" i="12"/>
  <c r="AH1486" i="12"/>
  <c r="AH1488" i="12"/>
  <c r="AH1490" i="12"/>
  <c r="AH1491" i="12"/>
  <c r="AH1494" i="12"/>
  <c r="AH1495" i="12"/>
  <c r="AH1496" i="12"/>
  <c r="AH1498" i="12"/>
  <c r="AH1499" i="12"/>
  <c r="AH1500" i="12"/>
  <c r="AH1502" i="12"/>
  <c r="AH1504" i="12"/>
  <c r="AH1507" i="12"/>
  <c r="AH1508" i="12"/>
  <c r="AH1511" i="12"/>
  <c r="AH1512" i="12"/>
  <c r="AH1513" i="12"/>
  <c r="AH1514" i="12"/>
  <c r="AH1515" i="12"/>
  <c r="AH1516" i="12"/>
  <c r="AH1519" i="12"/>
  <c r="AH1520" i="12"/>
  <c r="AH1521" i="12"/>
  <c r="AH266" i="12"/>
  <c r="AH162" i="12"/>
  <c r="AH128" i="12"/>
  <c r="AH314" i="12"/>
  <c r="AH369" i="12"/>
  <c r="AH429" i="12"/>
  <c r="AH436" i="12"/>
  <c r="AH509" i="12"/>
  <c r="AH565" i="12"/>
  <c r="AH728" i="12"/>
  <c r="AH861" i="12"/>
  <c r="AH862" i="12"/>
  <c r="AH1060" i="12"/>
  <c r="AH1202" i="12"/>
  <c r="AH1253" i="12"/>
  <c r="AH1294" i="12"/>
  <c r="AH1390" i="12"/>
  <c r="AH1400" i="12"/>
  <c r="AH1505" i="12"/>
  <c r="AH275" i="12"/>
  <c r="AH48" i="12"/>
  <c r="AH1478" i="12"/>
  <c r="AH1464" i="12"/>
  <c r="AH1059" i="12"/>
  <c r="AH983" i="12"/>
  <c r="AH806" i="12"/>
  <c r="AH496" i="12"/>
  <c r="AH447" i="12"/>
  <c r="AH394" i="12"/>
  <c r="AH1271" i="12"/>
  <c r="AH364" i="12"/>
  <c r="AH334" i="12"/>
  <c r="AH1518" i="12"/>
  <c r="AH1517" i="12"/>
  <c r="AH1510" i="12"/>
  <c r="AH1509" i="12"/>
  <c r="AH1506" i="12"/>
  <c r="AH1503" i="12"/>
  <c r="AH1501" i="12"/>
  <c r="AH1497" i="12"/>
  <c r="AH1493" i="12"/>
  <c r="AH1492" i="12"/>
  <c r="AH1489" i="12"/>
  <c r="AH1487" i="12"/>
  <c r="AH1485" i="12"/>
  <c r="AH1476" i="12"/>
  <c r="AH1472" i="12"/>
  <c r="AH1470" i="12"/>
  <c r="AH1468" i="12"/>
  <c r="AH1467" i="12"/>
  <c r="AH1461" i="12"/>
  <c r="AH1459" i="12"/>
  <c r="AH1455" i="12"/>
  <c r="AH1453" i="12"/>
  <c r="AH1451" i="12"/>
  <c r="AH1450" i="12"/>
  <c r="AH1443" i="12"/>
  <c r="AH1442" i="12"/>
  <c r="AH1437" i="12"/>
  <c r="AH1435" i="12"/>
  <c r="AH1434" i="12"/>
  <c r="AH1431" i="12"/>
  <c r="AH1427" i="12"/>
  <c r="AH1426" i="12"/>
  <c r="AH1421" i="12"/>
  <c r="AH1419" i="12"/>
  <c r="AH1418" i="12"/>
  <c r="AH1413" i="12"/>
  <c r="AH1411" i="12"/>
  <c r="AH1410" i="12"/>
  <c r="AH1407" i="12"/>
  <c r="AH1403" i="12"/>
  <c r="AH1402" i="12"/>
  <c r="AH1398" i="12"/>
  <c r="AH1396" i="12"/>
  <c r="AH1394" i="12"/>
  <c r="AH1393" i="12"/>
  <c r="AH1389" i="12"/>
  <c r="AH1385" i="12"/>
  <c r="AH1384" i="12"/>
  <c r="AH1379" i="12"/>
  <c r="AH1377" i="12"/>
  <c r="AH1373" i="12"/>
  <c r="AH1371" i="12"/>
  <c r="AH1369" i="12"/>
  <c r="AH1368" i="12"/>
  <c r="AH1365" i="12"/>
  <c r="AH1363" i="12"/>
  <c r="AH1361" i="12"/>
  <c r="AH1357" i="12"/>
  <c r="AH1355" i="12"/>
  <c r="AH1353" i="12"/>
  <c r="AH1352" i="12"/>
  <c r="AH1347" i="12"/>
  <c r="AH1345" i="12"/>
  <c r="AH1342" i="12"/>
  <c r="AH1335" i="12"/>
  <c r="AH1333" i="12"/>
  <c r="AH1324" i="12"/>
  <c r="AH1320" i="12"/>
  <c r="AH1314" i="12"/>
  <c r="AH1312" i="12"/>
  <c r="AH1302" i="12"/>
  <c r="AH1300" i="12"/>
  <c r="AH1291" i="12"/>
  <c r="AH1281" i="12"/>
  <c r="AH1278" i="12"/>
  <c r="AH1273" i="12"/>
  <c r="AH1266" i="12"/>
  <c r="AH1262" i="12"/>
  <c r="AH1255" i="12"/>
  <c r="AH1252" i="12"/>
  <c r="AH1251" i="12"/>
  <c r="AH1245" i="12"/>
  <c r="AH1229" i="12"/>
  <c r="AH1226" i="12"/>
  <c r="AH1221" i="12"/>
  <c r="AH1218" i="12"/>
  <c r="AH1217" i="12"/>
  <c r="AH1212" i="12"/>
  <c r="AH1207" i="12"/>
  <c r="AH1206" i="12"/>
  <c r="AH1198" i="12"/>
  <c r="AH1195" i="12"/>
  <c r="AH1194" i="12"/>
  <c r="AH1189" i="12"/>
  <c r="AH1184" i="12"/>
  <c r="AH1181" i="12"/>
  <c r="AH1172" i="12"/>
  <c r="AH1170" i="12"/>
  <c r="AH1166" i="12"/>
  <c r="AH1161" i="12"/>
  <c r="AH1156" i="12"/>
  <c r="AH1155" i="12"/>
  <c r="AH1145" i="12"/>
  <c r="AH1141" i="12"/>
  <c r="AH1137" i="12"/>
  <c r="AH1126" i="12"/>
  <c r="AH1117" i="12"/>
  <c r="AH1109" i="12"/>
  <c r="AH1103" i="12"/>
  <c r="AH1101" i="12"/>
  <c r="AH1100" i="12"/>
  <c r="AH1092" i="12"/>
  <c r="AH1081" i="12"/>
  <c r="AH1080" i="12"/>
  <c r="AH1072" i="12"/>
  <c r="AH1069" i="12"/>
  <c r="AH1066" i="12"/>
  <c r="AH1061" i="12"/>
  <c r="AH1051" i="12"/>
  <c r="AH1043" i="12"/>
  <c r="AH1025" i="12"/>
  <c r="AH1021" i="12"/>
  <c r="AH1020" i="12"/>
  <c r="AH1015" i="12"/>
  <c r="AH1008" i="12"/>
  <c r="AH1007" i="12"/>
  <c r="AH987" i="12"/>
  <c r="AH981" i="12"/>
  <c r="AH980" i="12"/>
  <c r="AH977" i="12"/>
  <c r="AH966" i="12"/>
  <c r="AH960" i="12"/>
  <c r="AH953" i="12"/>
  <c r="AH947" i="12"/>
  <c r="AH945" i="12"/>
  <c r="AH940" i="12"/>
  <c r="AH933" i="12"/>
  <c r="AH930" i="12"/>
  <c r="AH924" i="12"/>
  <c r="AH917" i="12"/>
  <c r="AH916" i="12"/>
  <c r="AH910" i="12"/>
  <c r="AH901" i="12"/>
  <c r="AH898" i="12"/>
  <c r="AH877" i="12"/>
  <c r="AH873" i="12"/>
  <c r="AH872" i="12"/>
  <c r="AH859" i="12"/>
  <c r="AH844" i="12"/>
  <c r="AH843" i="12"/>
  <c r="AH834" i="12"/>
  <c r="AH832" i="12"/>
  <c r="AH830" i="12"/>
  <c r="AH820" i="12"/>
  <c r="AH816" i="12"/>
  <c r="AH814" i="12"/>
  <c r="AH805" i="12"/>
  <c r="AH800" i="12"/>
  <c r="AH799" i="12"/>
  <c r="AH791" i="12"/>
  <c r="AH783" i="12"/>
  <c r="AH781" i="12"/>
  <c r="AH772" i="12"/>
  <c r="AH768" i="12"/>
  <c r="AH767" i="12"/>
  <c r="AH761" i="12"/>
  <c r="AH754" i="12"/>
  <c r="AH753" i="12"/>
  <c r="AH743" i="12"/>
  <c r="AH738" i="12"/>
  <c r="AH737" i="12"/>
  <c r="AH733" i="12"/>
  <c r="AH719" i="12"/>
  <c r="AH717" i="12"/>
  <c r="AH700" i="12"/>
  <c r="AH696" i="12"/>
  <c r="AH694" i="12"/>
  <c r="AH690" i="12"/>
  <c r="AH684" i="12"/>
  <c r="AH682" i="12"/>
  <c r="AH675" i="12"/>
  <c r="AH673" i="12"/>
  <c r="AH672" i="12"/>
  <c r="AH666" i="12"/>
  <c r="AH658" i="12"/>
  <c r="AH656" i="12"/>
  <c r="AH641" i="12"/>
  <c r="AH636" i="12"/>
  <c r="AH627" i="12"/>
  <c r="AH619" i="12"/>
  <c r="AH603" i="12"/>
  <c r="AH602" i="12"/>
  <c r="AH590" i="12"/>
  <c r="AH588" i="12"/>
  <c r="AH586" i="12"/>
  <c r="AH580" i="12"/>
  <c r="AH573" i="12"/>
  <c r="AH570" i="12"/>
  <c r="AH562" i="12"/>
  <c r="AH558" i="12"/>
  <c r="AH553" i="12"/>
  <c r="AH536" i="12"/>
  <c r="AH523" i="12"/>
  <c r="AH522" i="12"/>
  <c r="AH502" i="12"/>
  <c r="AH494" i="12"/>
  <c r="AH493" i="12"/>
  <c r="AH490" i="12"/>
  <c r="AH484" i="12"/>
  <c r="AH481" i="12"/>
  <c r="AH475" i="12"/>
  <c r="AH473" i="12"/>
  <c r="AH472" i="12"/>
  <c r="AH462" i="12"/>
  <c r="AH450" i="12"/>
  <c r="AH449" i="12"/>
  <c r="AH441" i="12"/>
  <c r="AH438" i="12"/>
  <c r="AH434" i="12"/>
  <c r="AH431" i="12"/>
  <c r="AH412" i="12"/>
  <c r="AH411" i="12"/>
  <c r="AH406" i="12"/>
  <c r="AH403" i="12"/>
  <c r="AH402" i="12"/>
  <c r="AH397" i="12"/>
  <c r="AH387" i="12"/>
  <c r="AH386" i="12"/>
  <c r="AH376" i="12"/>
  <c r="AH368" i="12"/>
  <c r="AH363" i="12"/>
  <c r="AH347" i="12"/>
  <c r="AH336" i="12"/>
  <c r="AH335" i="12"/>
  <c r="AH308" i="12"/>
  <c r="AH306" i="12"/>
  <c r="AH299" i="12"/>
  <c r="AH292" i="12"/>
  <c r="AH274" i="12"/>
  <c r="AH270" i="12"/>
  <c r="AH264" i="12"/>
  <c r="AH253" i="12"/>
  <c r="AH249" i="12"/>
  <c r="AH247" i="12"/>
  <c r="AH242" i="12"/>
  <c r="AH239" i="12"/>
  <c r="AH234" i="12"/>
  <c r="AH232" i="12"/>
  <c r="AH227" i="12"/>
  <c r="AH226" i="12"/>
  <c r="AH214" i="12"/>
  <c r="AH211" i="12"/>
  <c r="AH204" i="12"/>
  <c r="AH202" i="12"/>
  <c r="AH196" i="12"/>
  <c r="AH190" i="12"/>
  <c r="AH182" i="12"/>
  <c r="AH180" i="12"/>
  <c r="AH179" i="12"/>
  <c r="AH174" i="12"/>
  <c r="AH171" i="12"/>
  <c r="AH167" i="12"/>
  <c r="AH154" i="12"/>
  <c r="AH149" i="12"/>
  <c r="AH144" i="12"/>
  <c r="AH143" i="12"/>
  <c r="AH137" i="12"/>
  <c r="AH135" i="12"/>
  <c r="AH127" i="12"/>
  <c r="AH122" i="12"/>
  <c r="AH119" i="12"/>
  <c r="AH106" i="12"/>
  <c r="AH103" i="12"/>
  <c r="AH99" i="12"/>
  <c r="AH93" i="12"/>
  <c r="AH89" i="12"/>
  <c r="AH88" i="12"/>
  <c r="AH83" i="12"/>
  <c r="AH70" i="12"/>
  <c r="AH68" i="12"/>
  <c r="AH60" i="12"/>
  <c r="AH51" i="12"/>
  <c r="AH46" i="12"/>
  <c r="AH32" i="12"/>
  <c r="AH26" i="12"/>
  <c r="AH19" i="12"/>
  <c r="AH11" i="12"/>
  <c r="AH312" i="12"/>
  <c r="AH55" i="12"/>
  <c r="AH65" i="12"/>
  <c r="AH77" i="12"/>
  <c r="AH348" i="12"/>
  <c r="AH1044" i="12"/>
  <c r="AH691" i="12"/>
  <c r="AH357" i="12"/>
  <c r="AH1528" i="12"/>
  <c r="AH39" i="12"/>
  <c r="AH1182" i="12"/>
  <c r="AH620" i="12"/>
  <c r="AH63" i="12"/>
  <c r="AH499" i="12"/>
  <c r="AH1188" i="12"/>
  <c r="AH1282" i="12"/>
  <c r="AH909" i="12"/>
  <c r="AH1274" i="12"/>
  <c r="AH931" i="12"/>
  <c r="AH914" i="12"/>
  <c r="AH320" i="12"/>
  <c r="AH1011" i="12"/>
  <c r="AH545" i="12"/>
  <c r="AH4" i="12"/>
  <c r="AH997" i="12"/>
  <c r="AH251" i="12"/>
  <c r="AH634" i="12"/>
  <c r="AH667" i="12"/>
  <c r="AH887" i="12"/>
  <c r="AH1153" i="12"/>
  <c r="AH330" i="12"/>
  <c r="AH23" i="12"/>
  <c r="AH995" i="12"/>
  <c r="AH313" i="12"/>
  <c r="AH1250" i="12"/>
  <c r="AH972" i="12"/>
  <c r="AH1316" i="12"/>
  <c r="AH878" i="12"/>
  <c r="AH470" i="12"/>
  <c r="AH1534" i="12"/>
  <c r="AH1526" i="12"/>
  <c r="AH501" i="12"/>
  <c r="AH414" i="12"/>
  <c r="AH628" i="12"/>
  <c r="AH54" i="12"/>
  <c r="AH304" i="12"/>
  <c r="AH41" i="12"/>
  <c r="AH996" i="12"/>
  <c r="AH932" i="12"/>
  <c r="AH188" i="12"/>
  <c r="AH625" i="12"/>
  <c r="AH1142" i="12"/>
  <c r="AH366" i="12"/>
  <c r="AH851" i="12"/>
  <c r="AH160" i="12"/>
  <c r="AH777" i="12"/>
  <c r="AH823" i="12"/>
  <c r="AH379" i="12"/>
  <c r="AH994" i="12"/>
  <c r="AH686" i="12"/>
  <c r="AH1173" i="12"/>
  <c r="AH1530" i="12"/>
  <c r="AH435" i="12"/>
  <c r="AH1325" i="12"/>
  <c r="AH615" i="12"/>
  <c r="AH467" i="12"/>
  <c r="AH1002" i="12"/>
  <c r="AH1287" i="12"/>
  <c r="AH107" i="12"/>
  <c r="AH12" i="12"/>
  <c r="AH207" i="12"/>
  <c r="AH662" i="12"/>
  <c r="AH212" i="12"/>
  <c r="AH706" i="12"/>
  <c r="AH786" i="12"/>
  <c r="AH595" i="12"/>
  <c r="AH219" i="12"/>
  <c r="AH5" i="12"/>
  <c r="AH273" i="12"/>
  <c r="AH642" i="12"/>
  <c r="AH228" i="12"/>
  <c r="AH640" i="12"/>
  <c r="AH112" i="12"/>
  <c r="AH111" i="12"/>
  <c r="AH1093" i="12"/>
  <c r="AH528" i="12"/>
  <c r="AH1261" i="12"/>
  <c r="AH184" i="12"/>
  <c r="AH218" i="12"/>
  <c r="AH724" i="12"/>
  <c r="AH560" i="12"/>
  <c r="AH707" i="12"/>
  <c r="AH464" i="12"/>
  <c r="AH992" i="12"/>
  <c r="AH1249" i="12"/>
  <c r="AH942" i="12"/>
  <c r="AH69" i="12"/>
  <c r="AH47" i="12"/>
  <c r="AH1147" i="12"/>
  <c r="AH258" i="12"/>
  <c r="AH365" i="12"/>
  <c r="AH1112" i="12"/>
  <c r="AH415" i="12"/>
  <c r="AH311" i="12"/>
  <c r="AH518" i="12"/>
  <c r="AH113" i="12"/>
  <c r="AH856" i="12"/>
  <c r="AH828" i="12"/>
  <c r="AH547" i="12"/>
  <c r="AH1115" i="12"/>
  <c r="AH796" i="12"/>
  <c r="AH592" i="12"/>
  <c r="AH1337" i="12"/>
  <c r="AH714" i="12"/>
  <c r="AH209" i="12"/>
  <c r="AH882" i="12"/>
  <c r="AH785" i="12"/>
  <c r="AH1073" i="12"/>
  <c r="AH839" i="12"/>
  <c r="AH529" i="12"/>
  <c r="AH804" i="12"/>
  <c r="AH263" i="12"/>
  <c r="AH695" i="12"/>
  <c r="AH1339" i="12"/>
  <c r="AH1310" i="12"/>
  <c r="AH790" i="12"/>
  <c r="AH629" i="12"/>
  <c r="AH527" i="12"/>
  <c r="AH30" i="12"/>
  <c r="AH546" i="12"/>
  <c r="AH623" i="12"/>
  <c r="AH871" i="12"/>
  <c r="AH377" i="12"/>
  <c r="AH643" i="12"/>
  <c r="AH557" i="12"/>
  <c r="AH715" i="12"/>
  <c r="AH867" i="12"/>
  <c r="AH177" i="12"/>
  <c r="AH1242" i="12"/>
  <c r="AH246" i="12"/>
  <c r="AH846" i="12"/>
  <c r="AH1133" i="12"/>
  <c r="AH575" i="12"/>
  <c r="AH342" i="12"/>
  <c r="AH825" i="12"/>
  <c r="AH742" i="12"/>
  <c r="AH512" i="12"/>
  <c r="AH688" i="12"/>
  <c r="AH138" i="12"/>
  <c r="AH554" i="12"/>
  <c r="AH792" i="12"/>
  <c r="AH1143" i="12"/>
  <c r="AH809" i="12"/>
  <c r="AH633" i="12"/>
  <c r="AH855" i="12"/>
  <c r="AH1193" i="12"/>
  <c r="AH697" i="12"/>
  <c r="AH261" i="12"/>
  <c r="AH1088" i="12"/>
  <c r="AH551" i="12"/>
  <c r="AH652" i="12"/>
  <c r="AH1285" i="12"/>
  <c r="AH1309" i="12"/>
  <c r="AH531" i="12"/>
  <c r="AH902" i="12"/>
  <c r="AH740" i="12"/>
  <c r="AH597" i="12"/>
  <c r="AH1096" i="12"/>
  <c r="AH669" i="12"/>
  <c r="AH1091" i="12"/>
  <c r="AH1233" i="12"/>
  <c r="AH356" i="12"/>
  <c r="AH123" i="12"/>
  <c r="AH599" i="12"/>
  <c r="AH40" i="12"/>
  <c r="AH670" i="12"/>
  <c r="AH1317" i="12"/>
  <c r="AH327" i="12"/>
  <c r="AH857" i="12"/>
  <c r="AH1154" i="12"/>
  <c r="AH555" i="12"/>
  <c r="AH1083" i="12"/>
  <c r="AH166" i="12"/>
  <c r="AH298" i="12"/>
  <c r="AH741" i="12"/>
  <c r="AH1039" i="12"/>
  <c r="AH262" i="12"/>
  <c r="AH631" i="12"/>
  <c r="AH240" i="12"/>
  <c r="AH1026" i="12"/>
  <c r="AH1318" i="12"/>
  <c r="AH544" i="12"/>
  <c r="AH1321" i="12"/>
  <c r="AH584" i="12"/>
  <c r="AH421" i="12"/>
  <c r="AH827" i="12"/>
  <c r="AH1097" i="12"/>
  <c r="AH868" i="12"/>
  <c r="AH1275" i="12"/>
  <c r="AH793" i="12"/>
  <c r="AH1128" i="12"/>
  <c r="AH148" i="12"/>
  <c r="AH305" i="12"/>
  <c r="AH1047" i="12"/>
  <c r="AH903" i="12"/>
  <c r="AH321" i="12"/>
  <c r="AH1084" i="12"/>
  <c r="AH648" i="12"/>
  <c r="AH150" i="12"/>
  <c r="AH650" i="12"/>
  <c r="AH632" i="12"/>
  <c r="AH1023" i="12"/>
  <c r="AH1313" i="12"/>
  <c r="AH1531" i="12"/>
  <c r="AH350" i="12"/>
  <c r="AH770" i="12"/>
  <c r="AH1086" i="12"/>
  <c r="AH322" i="12"/>
  <c r="AH955" i="12"/>
  <c r="AH608" i="12"/>
  <c r="AH778" i="12"/>
  <c r="AH458" i="12"/>
  <c r="AH35" i="12"/>
  <c r="AH976" i="12"/>
  <c r="AH133" i="12"/>
  <c r="AH1167" i="12"/>
  <c r="AH272" i="12"/>
  <c r="AH359" i="12"/>
  <c r="AH709" i="12"/>
  <c r="AH72" i="12"/>
  <c r="AH45" i="12"/>
  <c r="AH624" i="12"/>
  <c r="AH975" i="12"/>
  <c r="AH1052" i="12"/>
  <c r="AH918" i="12"/>
  <c r="AH417" i="12"/>
  <c r="AH1236" i="12"/>
  <c r="AH645" i="12"/>
  <c r="AH881" i="12"/>
  <c r="AH22" i="12"/>
  <c r="AH1232" i="12"/>
  <c r="AH66" i="12"/>
  <c r="AH1290" i="12"/>
  <c r="AH727" i="12"/>
  <c r="AH18" i="12"/>
  <c r="AH142" i="12"/>
  <c r="AH256" i="12"/>
  <c r="AH42" i="12"/>
  <c r="AH338" i="12"/>
  <c r="AH1241" i="12"/>
  <c r="AH1116" i="12"/>
  <c r="AH1053" i="12"/>
  <c r="AH543" i="12"/>
  <c r="AH300" i="12"/>
  <c r="AH1045" i="12"/>
  <c r="AH252" i="12"/>
  <c r="AH708" i="12"/>
  <c r="AH220" i="12"/>
  <c r="AH1529" i="12"/>
  <c r="AH899" i="12"/>
  <c r="AH159" i="12"/>
  <c r="AH1210" i="12"/>
  <c r="AH498" i="12"/>
  <c r="AH1030" i="12"/>
  <c r="AH1177" i="12"/>
  <c r="AH991" i="12"/>
  <c r="AH192" i="12"/>
  <c r="AH883" i="12"/>
  <c r="AH401" i="12"/>
  <c r="AH1135" i="12"/>
  <c r="AH1040" i="12"/>
  <c r="AH1523" i="12"/>
  <c r="AH279" i="12"/>
  <c r="AH97" i="12"/>
  <c r="AH404" i="12"/>
  <c r="AH254" i="12"/>
  <c r="AH482" i="12"/>
  <c r="AH1049" i="12"/>
  <c r="AH316" i="12"/>
  <c r="AH722" i="12"/>
  <c r="AH255" i="12"/>
  <c r="AH290" i="12"/>
  <c r="AH990" i="12"/>
  <c r="AH1201" i="12"/>
  <c r="AH131" i="12"/>
  <c r="AH37" i="12"/>
  <c r="AH297" i="12"/>
  <c r="AH319" i="12"/>
  <c r="AH294" i="12"/>
  <c r="AH1220" i="12"/>
  <c r="AH1149" i="12"/>
  <c r="AH1139" i="12"/>
  <c r="AH893" i="12"/>
  <c r="AH907" i="12"/>
  <c r="AH1244" i="12"/>
  <c r="AH301" i="12"/>
  <c r="AH1524" i="12"/>
  <c r="AH85" i="12"/>
  <c r="AH140" i="12"/>
  <c r="AH302" i="12"/>
  <c r="AH95" i="12"/>
  <c r="AH94" i="12"/>
  <c r="AH1001" i="12"/>
  <c r="AH905" i="12"/>
  <c r="AH951" i="12"/>
  <c r="AH281" i="12"/>
  <c r="AH985" i="12"/>
  <c r="AH1032" i="12"/>
  <c r="AH1063" i="12"/>
  <c r="AH875" i="12"/>
  <c r="AH104" i="12"/>
  <c r="AH870" i="12"/>
  <c r="AH215" i="12"/>
  <c r="AH921" i="12"/>
  <c r="AH98" i="12"/>
  <c r="AH326" i="12"/>
  <c r="AH81" i="12"/>
  <c r="AH367" i="12"/>
  <c r="AH497" i="12"/>
  <c r="AH943" i="12"/>
  <c r="AH503" i="12"/>
  <c r="AH2" i="12" l="1"/>
  <c r="AG2" i="12" l="1"/>
</calcChain>
</file>

<file path=xl/sharedStrings.xml><?xml version="1.0" encoding="utf-8"?>
<sst xmlns="http://schemas.openxmlformats.org/spreadsheetml/2006/main" count="33503" uniqueCount="10685">
  <si>
    <t>COTAÇÃO</t>
  </si>
  <si>
    <t>Dados Fiscais</t>
  </si>
  <si>
    <t>Dados Técnicos do Item</t>
  </si>
  <si>
    <t>Referência Cruzada</t>
  </si>
  <si>
    <t>Código Comercial</t>
  </si>
  <si>
    <t>Descrição</t>
  </si>
  <si>
    <t>Segmento</t>
  </si>
  <si>
    <t>Família</t>
  </si>
  <si>
    <t>Original UFI</t>
  </si>
  <si>
    <t>Origem</t>
  </si>
  <si>
    <t>Multiplo</t>
  </si>
  <si>
    <t>NCM</t>
  </si>
  <si>
    <t>CST</t>
  </si>
  <si>
    <t>PIS</t>
  </si>
  <si>
    <t>COFINS</t>
  </si>
  <si>
    <t>IPI</t>
  </si>
  <si>
    <t>Código de Barras</t>
  </si>
  <si>
    <t>Peso Líq (Kg)</t>
  </si>
  <si>
    <t>Peso Bruto (Kg)</t>
  </si>
  <si>
    <t>Lançamento / Obsoleto</t>
  </si>
  <si>
    <t>OE</t>
  </si>
  <si>
    <t>Mann</t>
  </si>
  <si>
    <t>Hengst</t>
  </si>
  <si>
    <t>Mahle</t>
  </si>
  <si>
    <t>Tecfil</t>
  </si>
  <si>
    <t>Vox</t>
  </si>
  <si>
    <t>Fram</t>
  </si>
  <si>
    <t>Wega</t>
  </si>
  <si>
    <t>Fleetguard</t>
  </si>
  <si>
    <t>Parker</t>
  </si>
  <si>
    <t>Donaldson</t>
  </si>
  <si>
    <t>Quantidade</t>
  </si>
  <si>
    <t>001.2097.3S</t>
  </si>
  <si>
    <t>CCA151FD1 Elemento Spin-On (ESE11NFC Sem marcação)</t>
  </si>
  <si>
    <t>Off Road</t>
  </si>
  <si>
    <t>-</t>
  </si>
  <si>
    <t>Importado</t>
  </si>
  <si>
    <t>110</t>
  </si>
  <si>
    <t>HF7983</t>
  </si>
  <si>
    <t>926501</t>
  </si>
  <si>
    <t>P171602</t>
  </si>
  <si>
    <t>19.008.00</t>
  </si>
  <si>
    <t>Chave para desmontagem de filtro</t>
  </si>
  <si>
    <t>Linha Leve</t>
  </si>
  <si>
    <t>Acessorie</t>
  </si>
  <si>
    <t>CITROËN: JUMPER 2.8 HDI 17 (01/07-) / FIAT: DUCATO 2.8 TURBO JTD 8V DIESEL (06-) / PEUGEOT: BOXER 2.8 HDI 127 (01/07-)</t>
  </si>
  <si>
    <t>20.020.00</t>
  </si>
  <si>
    <t>Elemento Filtrante Do Óleo</t>
  </si>
  <si>
    <t>Oil Filter</t>
  </si>
  <si>
    <t>DAIMLER-BENZ/MERCEDES-BENZ</t>
  </si>
  <si>
    <t>PF1155</t>
  </si>
  <si>
    <t>E120MD05</t>
  </si>
  <si>
    <t>OX85D</t>
  </si>
  <si>
    <t>L4/1</t>
  </si>
  <si>
    <t>LC4/1</t>
  </si>
  <si>
    <t>C4DB</t>
  </si>
  <si>
    <t>21.059.00</t>
  </si>
  <si>
    <t>Elemento Filtrante Do Combustível</t>
  </si>
  <si>
    <t>Linha Pesada</t>
  </si>
  <si>
    <t>Fuel Filter</t>
  </si>
  <si>
    <t>NEW HOLLAND: 8630 (93-)</t>
  </si>
  <si>
    <t>P982X</t>
  </si>
  <si>
    <t>E76KPD111</t>
  </si>
  <si>
    <t>C4426</t>
  </si>
  <si>
    <t>FF5064</t>
  </si>
  <si>
    <t>P550347</t>
  </si>
  <si>
    <t>22.034.00</t>
  </si>
  <si>
    <t>Oil filter</t>
  </si>
  <si>
    <t>ZF: (CAIXA DE DIREÇÃO IMPORTADA)</t>
  </si>
  <si>
    <t>H710/1X</t>
  </si>
  <si>
    <t>E39HD119</t>
  </si>
  <si>
    <t>HX40</t>
  </si>
  <si>
    <t>HF7999</t>
  </si>
  <si>
    <t>P762756</t>
  </si>
  <si>
    <t>23.102.00</t>
  </si>
  <si>
    <t>Filtro Spin-On Do Óleo</t>
  </si>
  <si>
    <t>CHRYSLER: DODGE DART, CHARGER</t>
  </si>
  <si>
    <t>W940/81</t>
  </si>
  <si>
    <t>H17W02</t>
  </si>
  <si>
    <t>OC67</t>
  </si>
  <si>
    <t>PSL714</t>
  </si>
  <si>
    <t>LB714</t>
  </si>
  <si>
    <t>PH8A</t>
  </si>
  <si>
    <t>JFO0101</t>
  </si>
  <si>
    <t>LF3313</t>
  </si>
  <si>
    <t>P550008</t>
  </si>
  <si>
    <t>23.102.02</t>
  </si>
  <si>
    <t>BOB CAT Serie 900 /CATERPILLAR SERIE 200, 400, 900 /  JCB SERIE 200, P, RTFL</t>
  </si>
  <si>
    <t>W934</t>
  </si>
  <si>
    <t>H17W06</t>
  </si>
  <si>
    <t>OC324</t>
  </si>
  <si>
    <t>PSL900</t>
  </si>
  <si>
    <t>LB900</t>
  </si>
  <si>
    <t>PH2821C</t>
  </si>
  <si>
    <t>WO280</t>
  </si>
  <si>
    <t>LF701</t>
  </si>
  <si>
    <t>P554403</t>
  </si>
  <si>
    <t>23.106.00</t>
  </si>
  <si>
    <t>DEUTZ  /  FIAT DIESEL: 180  /  FORD: F 1000, 2000, 4000, 12000 ( TURBO )  / MWM / VALMET / VOLKSWAGEN</t>
  </si>
  <si>
    <t>W962</t>
  </si>
  <si>
    <t>H18W01</t>
  </si>
  <si>
    <t>OC60</t>
  </si>
  <si>
    <t>PSL962</t>
  </si>
  <si>
    <t>LB962</t>
  </si>
  <si>
    <t>PH2801B</t>
  </si>
  <si>
    <t>WO480</t>
  </si>
  <si>
    <t>LF3413</t>
  </si>
  <si>
    <t>23.106.01</t>
  </si>
  <si>
    <t>1901604; 1907570;</t>
  </si>
  <si>
    <t>P550317</t>
  </si>
  <si>
    <t>23.107.01</t>
  </si>
  <si>
    <t xml:space="preserve">FIAT: 130; 70 8340; 70 CO 3; 80 5.3L 8340; 120C / FIAT ALLIS: 8BTA; 8C; AD10B; AD7C; AD8; AD9; BD10B; BD8; FD5; FG85, FG95; FL10BC; FL4M; FL5; FL8C; FL9; FR7 / CASE: 550DT; 640DTC; 850DT; L60; L65; L75; S1500B; S740; S750 / NEW HOLLAND: 1300; 850; 940 </t>
  </si>
  <si>
    <t>FIAT ALLIS: 4597232</t>
  </si>
  <si>
    <t>W8005</t>
  </si>
  <si>
    <t>H210W02</t>
  </si>
  <si>
    <t>OC14</t>
  </si>
  <si>
    <t>PSL310</t>
  </si>
  <si>
    <t>LB310</t>
  </si>
  <si>
    <t>PH2824</t>
  </si>
  <si>
    <t>LF3347</t>
  </si>
  <si>
    <t>P551603</t>
  </si>
  <si>
    <t>23.108.01</t>
  </si>
  <si>
    <t>Sim</t>
  </si>
  <si>
    <t>NEW HOLLAND SERIE 8000 ; SÉRIE TL</t>
  </si>
  <si>
    <t>New Holland: 199102; CNH: 48074335; 84221215;</t>
  </si>
  <si>
    <t>W1140</t>
  </si>
  <si>
    <t>H208W01</t>
  </si>
  <si>
    <t>PSL338</t>
  </si>
  <si>
    <t>LB338</t>
  </si>
  <si>
    <t>PH9836</t>
  </si>
  <si>
    <t>WO763</t>
  </si>
  <si>
    <t>LF682</t>
  </si>
  <si>
    <t>P553411</t>
  </si>
  <si>
    <t>23.110.02</t>
  </si>
  <si>
    <t>AGRALE  /  FORD: F 1000, 2000, 4000  /  MWM  /  VALMET / JOHN  DEERE</t>
  </si>
  <si>
    <t>W940/18</t>
  </si>
  <si>
    <t>H17W04</t>
  </si>
  <si>
    <t>OC26</t>
  </si>
  <si>
    <t>PSL123</t>
  </si>
  <si>
    <t>LB123</t>
  </si>
  <si>
    <t>PH2842</t>
  </si>
  <si>
    <t>WO470</t>
  </si>
  <si>
    <t>LF4056</t>
  </si>
  <si>
    <t>P559418</t>
  </si>
  <si>
    <t>23.112.00</t>
  </si>
  <si>
    <t>CUMMINS / JOHN DEERE</t>
  </si>
  <si>
    <t>W936/4</t>
  </si>
  <si>
    <t>H17W09</t>
  </si>
  <si>
    <t>PSL190</t>
  </si>
  <si>
    <t>PH20</t>
  </si>
  <si>
    <t>WO660</t>
  </si>
  <si>
    <t>LF678</t>
  </si>
  <si>
    <t>P550020</t>
  </si>
  <si>
    <t>23.120.01</t>
  </si>
  <si>
    <t>Linha Pesada / Off Road</t>
  </si>
  <si>
    <t>AGRALE: TRATORES / FIAT DIESEL: 190 E 210 ( 4 667 339 ) / NEW HOLLAND / MWM / VALMET: ( 808420 00 )
 FIAT:120 (1998-1984); 130 (1978-1983); 140 (1978-1983); 190E/F/H (1985-&gt;); 190E/F/H (1985-&gt;); 190H (1982-1985); 210S (1985-&gt;); 210S (1985-&gt;) / FORD: F4000 (1998-&gt;); 1618 (1992-&gt;); B1200 (1996-&gt;); B1618 (1992-1997); F12000 (1992-&gt;); F14000 (1992-&gt;) / VOLKSWAGEN: 12180 (1999-&gt;); 13180 (2000-&gt;); 13180 (2000-&gt;); 14150 (1991-1997); 14150 (1997-&gt;); 14180 (1999-&gt;) / AGRALE: 4130 (80-&gt;); BX130 (80-&gt;); BX4130 (90-&gt;); BX4130 (80-&gt;); BX6150 (2004-&gt;) / NEW HOLLAND:  1580T; 1580T; 1880; 8070; 8630, 8830 Diesel Turbo (93-&gt;); 8630 (93-&gt;); 8830 (93-&gt;); TF42/ VALMET -VALTRA: 1580 (92-&gt;); 1780 (80-&gt;); 1780 (2000-&gt;)</t>
  </si>
  <si>
    <t>IVECO: 1907570</t>
  </si>
  <si>
    <t>W1170</t>
  </si>
  <si>
    <t>H220W</t>
  </si>
  <si>
    <t>OC35</t>
  </si>
  <si>
    <t>PSL339</t>
  </si>
  <si>
    <t>LB339</t>
  </si>
  <si>
    <t>WO610</t>
  </si>
  <si>
    <t>LF3346</t>
  </si>
  <si>
    <t>RL236RA</t>
  </si>
  <si>
    <t>P551604</t>
  </si>
  <si>
    <t>23.127.00</t>
  </si>
  <si>
    <t xml:space="preserve">VOLVO: FH 16.470; FH 16.520; FH 16.520; FH12340; FH12380; FH12420; FH12420; FM12340; FM12380; FM12420; NH12380; NH12420 / CAT: 301.5; 301.6; 301.8; 302.5; 303.5; 304.5;  902; CB214D; CB224D; CB225D; CB334D; CB335D / ATLAS COPCO: 4D; 85D; 85DD; BT SERIES; BT3; BT4; BT5; BT6; DR; DR4; DT; US85D; US85DD; UT85D; UT85DD; VD20DD; VT4D / CASE/CASE IH: 110; 117; 1190; 121; 123; 127; 1290; 1390; 1394; 1410; 1490; 1494; 1594; 1690; 1694; 1818; 1830; 1838; 210B; 211B; 380CK; 380CK-LL; 4894; 560; 580F; 580G; 780; 782; 8820; 8830; 8840; 885; 885DB; 990; 995DB; 996; DH7; LS170; LS180; W9BG / HITACHI: EX40-2; EX45-2; SL55B; ZX40; </t>
  </si>
  <si>
    <t>VOLVO: 35178573; 1266286; 1266388; 266286
CAT: 1504140; 3I1214; 3I1490
CASE: 126385A1; 299927; 3055228R91
HITACHI: 4366703; 4454527; 74126435</t>
  </si>
  <si>
    <t>W917</t>
  </si>
  <si>
    <t>H10W22</t>
  </si>
  <si>
    <t>OC204</t>
  </si>
  <si>
    <t>PSH421</t>
  </si>
  <si>
    <t>HIB421</t>
  </si>
  <si>
    <t>PH2861B</t>
  </si>
  <si>
    <t>WO771</t>
  </si>
  <si>
    <t>LF3758</t>
  </si>
  <si>
    <t>P550939</t>
  </si>
  <si>
    <t>23.129.02</t>
  </si>
  <si>
    <t>GM: MONZA, KADETT, IPANEMA, CORSA WIND (TODOS), OMEGA 2.0L, VECTRA GLS, CD, CALIBRA 2.0L(909 144 675, 650 381)</t>
  </si>
  <si>
    <t>93156310; 94632619;</t>
  </si>
  <si>
    <t>W712/22</t>
  </si>
  <si>
    <t>H90W03</t>
  </si>
  <si>
    <t>OC90</t>
  </si>
  <si>
    <t>PSL619</t>
  </si>
  <si>
    <t>LB619</t>
  </si>
  <si>
    <t>WO130</t>
  </si>
  <si>
    <t>LF780</t>
  </si>
  <si>
    <t>23.130.01</t>
  </si>
  <si>
    <t>FORD: DEL REY, BELINA, PAMPA, ESCORT XR3, GHIA, VERONA 1.8L ( TODOS ) / GURGEL: BR 800 / VOLKSWAGEN: TODOS C/ MOTOR 1.8L, 2.0L</t>
  </si>
  <si>
    <t>W719/5</t>
  </si>
  <si>
    <t>H14/2W</t>
  </si>
  <si>
    <t>OC47</t>
  </si>
  <si>
    <t>PSL562</t>
  </si>
  <si>
    <t>LB562</t>
  </si>
  <si>
    <t>PH2870B</t>
  </si>
  <si>
    <t>WO370</t>
  </si>
  <si>
    <t>LF785</t>
  </si>
  <si>
    <t>P554770</t>
  </si>
  <si>
    <t>23.131.00</t>
  </si>
  <si>
    <t>H90W20</t>
  </si>
  <si>
    <t>PSL147</t>
  </si>
  <si>
    <t>LB147</t>
  </si>
  <si>
    <t>PH2964</t>
  </si>
  <si>
    <t>WO390</t>
  </si>
  <si>
    <t>LF3335</t>
  </si>
  <si>
    <t>P550335</t>
  </si>
  <si>
    <t>23.133.00</t>
  </si>
  <si>
    <t>HONDA: CIVIC 1.3L, 1.4L, 1.5L, 1.6L, CIVIC CRX 1.6L, CONCERTO 1.6L, ACCORD, INTEGRA, PRELUDE (15400 PC6 003, 15400 PC6 004, 15400 PH1 F01, 15400 PH1 F02, 15400 PH1 F03, 15400 PH1 004, 15400 PH1 014, 15400 PR3 003, 15400 PR3 004) / MAZDA: PROTEGE, MX5, 929</t>
  </si>
  <si>
    <t>OC115</t>
  </si>
  <si>
    <t>PSL818</t>
  </si>
  <si>
    <t>LB818</t>
  </si>
  <si>
    <t>PH3593A</t>
  </si>
  <si>
    <t>LF3649</t>
  </si>
  <si>
    <t>23.138.00</t>
  </si>
  <si>
    <t>MASSEY FERGUSON: 2654 408  /  PERKINS:  71 082</t>
  </si>
  <si>
    <t>W723/3</t>
  </si>
  <si>
    <t>H14W03</t>
  </si>
  <si>
    <t>OC38</t>
  </si>
  <si>
    <t>PSL408</t>
  </si>
  <si>
    <t>LB408</t>
  </si>
  <si>
    <t>PH2895</t>
  </si>
  <si>
    <t>WO765</t>
  </si>
  <si>
    <t>LF700</t>
  </si>
  <si>
    <t>P554408</t>
  </si>
  <si>
    <t>23.144.00</t>
  </si>
  <si>
    <t>VOLVO: CAMINHÕES ( TODOS ), ONIBUS INTERCOOLER</t>
  </si>
  <si>
    <t>42537127; 4666343; 478736;</t>
  </si>
  <si>
    <t>W11102/4</t>
  </si>
  <si>
    <t>H200W01</t>
  </si>
  <si>
    <t>OC121</t>
  </si>
  <si>
    <t>PSL417</t>
  </si>
  <si>
    <t>LB417</t>
  </si>
  <si>
    <t>PH49A</t>
  </si>
  <si>
    <t>WO630</t>
  </si>
  <si>
    <t>LF3379</t>
  </si>
  <si>
    <t>P553191</t>
  </si>
  <si>
    <t>23.144.02</t>
  </si>
  <si>
    <t>SCANIA: P / R / T 94, 114, 124</t>
  </si>
  <si>
    <t>W11102/18</t>
  </si>
  <si>
    <t>H200W02</t>
  </si>
  <si>
    <t>OC403</t>
  </si>
  <si>
    <t>PSL174</t>
  </si>
  <si>
    <t>LB174</t>
  </si>
  <si>
    <t>WO775</t>
  </si>
  <si>
    <t>LF3675</t>
  </si>
  <si>
    <t>P550519</t>
  </si>
  <si>
    <t>23.156.00</t>
  </si>
  <si>
    <t>MASSEY FERGUSSON  /  MICHIGAN  /  PERKINS:  71 029 / CATERPILLAR 416E (7W2326)</t>
  </si>
  <si>
    <t>W950/7</t>
  </si>
  <si>
    <t>H19W04</t>
  </si>
  <si>
    <t>OC308</t>
  </si>
  <si>
    <t>PSL675</t>
  </si>
  <si>
    <t>LB675</t>
  </si>
  <si>
    <t>PH977B</t>
  </si>
  <si>
    <t>WO440</t>
  </si>
  <si>
    <t>LF699</t>
  </si>
  <si>
    <t>P554407</t>
  </si>
  <si>
    <t>23.156.03</t>
  </si>
  <si>
    <t>BOBCAT: 2000 RTF; 843 /  CHRYSLER: AS700PD; AS900 / DENNIS: 1600; 2222; DB 24T; Lancet/ FORD 9600 / GEHL: SL5620; SL5625DX; SL6620; SL6625; SL7610; SL7810 / KOMATSU: PC120-5K; PC150-5K; PC180-5K; PC210-5K; PC240-5K/ LANDINI: 105 MYTHOS; 115 LEGEND; 145 / MANITOU: MI100C; MI90C; MLT633; MLT731; MRT1540;  MLT735120LSU; MRT2145M; MRT2150M; MVT628; MVT660; MVT665T / MCCORMICK:  G-MAX 115; G-MAX 130; G-MAX 160</t>
  </si>
  <si>
    <t>BOBCAT: 960698B
CAT: 9Y4458; 3I1165</t>
  </si>
  <si>
    <t>W950/4</t>
  </si>
  <si>
    <t>H19W06</t>
  </si>
  <si>
    <t>OC105</t>
  </si>
  <si>
    <t>PH4854</t>
  </si>
  <si>
    <t>LF3580</t>
  </si>
  <si>
    <t>P550299</t>
  </si>
  <si>
    <t>23.168.00</t>
  </si>
  <si>
    <t>FIAT: IMPORTADOS TEMPRA/TIPO ; BOBCAT</t>
  </si>
  <si>
    <t>W920/21</t>
  </si>
  <si>
    <t>23.198.00</t>
  </si>
  <si>
    <t>BOBCAT: BAP7; CT225; CT230; CT235; CT335; CT440; CT445; CT450 / CATERPILLAR: T25D; T40D; T40D; T40D; TC40D; TC60D; TC60D; V25D; V25D; V40D; V40D; V40D; VC40D; VC40D; VC60D; VC60D; VC60D/  TOWMOTOR T30D / JCB: Robot 165 - 675006; Robot 165 - 676799; 1CX (1992) ; 208S-727001;  208S-751599 / PEUGEOT: 605 3.0 24V (1993-2001); Boxer 1.9 TD (1994- &gt;); Boxer 2.5 TD (1996- &gt;) / ASIA MOTORS: Topic Furgão 2.7 (1994-1999); Topic Minibus 2.7 (1994-&gt;).</t>
  </si>
  <si>
    <t>BOBCAT: 22355481; 6696286 
JCB: 2900320</t>
  </si>
  <si>
    <t>W840</t>
  </si>
  <si>
    <t>OC503</t>
  </si>
  <si>
    <t>PSL325</t>
  </si>
  <si>
    <t>LB325</t>
  </si>
  <si>
    <t>PH4826</t>
  </si>
  <si>
    <t>WO210</t>
  </si>
  <si>
    <t>LF3647</t>
  </si>
  <si>
    <t>P550934</t>
  </si>
  <si>
    <t>23.210.00</t>
  </si>
  <si>
    <t>FIAT: Tipo 1.6 8V SPI (1993-1995) / FORD: Taurus V6 3.0 (1994-1995)</t>
  </si>
  <si>
    <t>W713/4</t>
  </si>
  <si>
    <t>H130W</t>
  </si>
  <si>
    <t>HC45</t>
  </si>
  <si>
    <t>PSL561</t>
  </si>
  <si>
    <t>LB561</t>
  </si>
  <si>
    <t>PH4482</t>
  </si>
  <si>
    <t>JFO0601</t>
  </si>
  <si>
    <t>P502031</t>
  </si>
  <si>
    <t>23.232.00</t>
  </si>
  <si>
    <t>KIA: Besta 2.7 8V (1998 &gt;); Besta 3.0 8V (1999-2003); K2700 2.7 8V (1997-2004); K3600 3.6 8V (1995-1996)</t>
  </si>
  <si>
    <t>KIA: OK01623802A</t>
  </si>
  <si>
    <t>W1035</t>
  </si>
  <si>
    <t>OC299</t>
  </si>
  <si>
    <t>PSL323</t>
  </si>
  <si>
    <t>LB323</t>
  </si>
  <si>
    <t>PH4853</t>
  </si>
  <si>
    <t>JFO0K00</t>
  </si>
  <si>
    <t>23.237.00</t>
  </si>
  <si>
    <t>HYUNDAI: H100 DIESEL ( 26300 42000 )  /  MITSUBISHI: L200 2.5L DIESEL ( MD 069 782 )</t>
  </si>
  <si>
    <t>WP928/81</t>
  </si>
  <si>
    <t>H209W</t>
  </si>
  <si>
    <t>PSL327</t>
  </si>
  <si>
    <t>LB327</t>
  </si>
  <si>
    <t>PH6355A</t>
  </si>
  <si>
    <t>JFO0505</t>
  </si>
  <si>
    <t>LF3564</t>
  </si>
  <si>
    <t>P551343</t>
  </si>
  <si>
    <t>23.241.00</t>
  </si>
  <si>
    <t>FIAT: ALFA ROMEO 2300 APÓS 1975  /  VOLKSWAGEN: KOMBI DIESEL</t>
  </si>
  <si>
    <t>W940</t>
  </si>
  <si>
    <t>H17W01</t>
  </si>
  <si>
    <t>PH5833</t>
  </si>
  <si>
    <t>WO590</t>
  </si>
  <si>
    <t>LF3402</t>
  </si>
  <si>
    <t>P550006</t>
  </si>
  <si>
    <t>23.243.00</t>
  </si>
  <si>
    <t>CATERPILLAR: 303CCR; 304C; 305.5D; 305C; 904B; 904H/ HITACHI: ZX27U-3; ZX30U-2; ZX35U-2; ZX40U-2; HYSTER; H40XM; H40XM; H40XM; S30XL/ JOHN DEERE: 1050; 27D; 3215B; 3225B; 3235B; 4052M; 4052R; 4066M; 4066R; 650; 650; 750; 850; 855; 855; 900HC; 950; F1145; F1145/ KOMATSU: WB150-2; WB150-2N; WB150AWS-2N; WB150PS-2; WB150PS-2; WB150PS-2N / BOBCAT: E20; E60; E80; E85; S100; X220; X313; X316; 320</t>
  </si>
  <si>
    <t>CAT: MD162326
JOHN DEERE: M801002</t>
  </si>
  <si>
    <t>W814/80</t>
  </si>
  <si>
    <t>H90W25</t>
  </si>
  <si>
    <t>LF3536</t>
  </si>
  <si>
    <t>P502051</t>
  </si>
  <si>
    <t>23.248.00</t>
  </si>
  <si>
    <t>TOYOTA: HILUX 3.0</t>
  </si>
  <si>
    <t>WP928/80</t>
  </si>
  <si>
    <t>H206W</t>
  </si>
  <si>
    <t>OC275</t>
  </si>
  <si>
    <t>PSL128</t>
  </si>
  <si>
    <t>LB128</t>
  </si>
  <si>
    <t>PH5123</t>
  </si>
  <si>
    <t>JFO0213</t>
  </si>
  <si>
    <t>LF3608</t>
  </si>
  <si>
    <t>23.251.00</t>
  </si>
  <si>
    <t>SUZUKI: GRAND VITARA 2.0 16V GAS. (02/08-); TOYOTA: RAV 4 2.4 16V (11/05-)</t>
  </si>
  <si>
    <t>W610/1</t>
  </si>
  <si>
    <t>H97W01</t>
  </si>
  <si>
    <t>OC217</t>
  </si>
  <si>
    <t>TM6-3</t>
  </si>
  <si>
    <t>LB134</t>
  </si>
  <si>
    <t>PH4967</t>
  </si>
  <si>
    <t>JFO0214</t>
  </si>
  <si>
    <t>LF3615</t>
  </si>
  <si>
    <t>P502019</t>
  </si>
  <si>
    <t>23.253.00</t>
  </si>
  <si>
    <t>TOYOTA: CAMRY 2.5L, 3.0L, CELICA SUPRA 3.0L, LEXUS GS 300, PREVIA 2.4L, SUPRA 2.8L, 3.0L(90915 03002, 90915 20001)</t>
  </si>
  <si>
    <t>W711/80</t>
  </si>
  <si>
    <t>H14W32</t>
  </si>
  <si>
    <t>OC235</t>
  </si>
  <si>
    <t>PSL127</t>
  </si>
  <si>
    <t>LB127</t>
  </si>
  <si>
    <t>PH3614</t>
  </si>
  <si>
    <t>JFO0211</t>
  </si>
  <si>
    <t>LF3874</t>
  </si>
  <si>
    <t>P502016</t>
  </si>
  <si>
    <t>23.254.00</t>
  </si>
  <si>
    <t>LAND ROVER: Discovery 2.0 MPI 16V  (1993 &gt;); Discovery 2.2 MPI 16V (1993 &gt;); Freelander I 1.8 16V (1999-2000); Freelander I 2.5 V6 24V (2003- 2005)</t>
  </si>
  <si>
    <t>LAND ROVER: LPW100230</t>
  </si>
  <si>
    <t>W713/28</t>
  </si>
  <si>
    <t>H90W29</t>
  </si>
  <si>
    <t>OC1236</t>
  </si>
  <si>
    <t>PSL161</t>
  </si>
  <si>
    <t>PH4952</t>
  </si>
  <si>
    <t>WO550</t>
  </si>
  <si>
    <t>23.257.00</t>
  </si>
  <si>
    <t>VOLVO: 240, 260, 360, 740, 760, 780, 850, 940, 960 ( 266 286, 418 432, 418 432-1,1266 286, 1266 186-2, 1266 388, 3517857, 3517857-3 )</t>
  </si>
  <si>
    <t>LF3400</t>
  </si>
  <si>
    <t>P550882</t>
  </si>
  <si>
    <t>23.258.00</t>
  </si>
  <si>
    <t>NISSAN: LIVINA 1.8 16V FLEX (06/09-); MARCH NOVO 1.0 12V FLEX (02/15-); 1.0 16V FLEX (05/14-); 1.6 16V FLEX (0911-); SENTRA 2.0 16V FLEX  (10/13-); VERSA 1.6 16V FLEX (10/11-) / RENAULT: FLUENCE 2.0 16V FLEX (02/10-); CLIO 1.0 16V FLEX (01/06-); 1.0 16V GASOLINA (01/00 - 01/05); 1.0 8V (09/99 - 12/06)</t>
  </si>
  <si>
    <t>RANAULT: 7700112686</t>
  </si>
  <si>
    <t>W67/80</t>
  </si>
  <si>
    <t>H97W06</t>
  </si>
  <si>
    <t>OC475</t>
  </si>
  <si>
    <t>PSL78</t>
  </si>
  <si>
    <t>LB78</t>
  </si>
  <si>
    <t>PH6607</t>
  </si>
  <si>
    <t>JFO0H00</t>
  </si>
  <si>
    <t>LF3692</t>
  </si>
  <si>
    <t>P502062</t>
  </si>
  <si>
    <t>23.263.00</t>
  </si>
  <si>
    <t>DAIHATSU: APPLAUSE, CHARADE, CHARMANT 1200, 1400, 1600, FEROZA ( 15601 13010, 15601 87104) /   TOYOTA: CAMRY 1.8L, 2.0L, 2.2L, CELICA 2000, COROLLA 1.3L, 1.6L, PASEO</t>
  </si>
  <si>
    <t>W68/80</t>
  </si>
  <si>
    <t>H97W07</t>
  </si>
  <si>
    <t>OC534</t>
  </si>
  <si>
    <t>PSL134</t>
  </si>
  <si>
    <t>LB129</t>
  </si>
  <si>
    <t>JFO0210</t>
  </si>
  <si>
    <t>LF3614</t>
  </si>
  <si>
    <t>P502015</t>
  </si>
  <si>
    <t>23.265.00</t>
  </si>
  <si>
    <t>HONDA: ACCORD, CR-V 2.0 (99-11), CIVIC 1.6 16V (91-00), 1.7 16V (01-06); 1.8 16V FLEX (07-), 2.0 16V (07-11), FIT 1.4 8V FLEX (06-08), 1.4 16V (08-), 1.5 16V GAS (05-08), 1.5 16V FLEX (08-)</t>
  </si>
  <si>
    <t>W610/10</t>
  </si>
  <si>
    <t>H97W05</t>
  </si>
  <si>
    <t>OC259/OC196</t>
  </si>
  <si>
    <t>PSL55</t>
  </si>
  <si>
    <t>LB55</t>
  </si>
  <si>
    <t>PH8999</t>
  </si>
  <si>
    <t>JFO0315</t>
  </si>
  <si>
    <t>LF3644</t>
  </si>
  <si>
    <t>P502007</t>
  </si>
  <si>
    <t>23.267.C0</t>
  </si>
  <si>
    <t>FORD: ECOSPORT 1.5 DRAGON (07/17-); 1.6 SIGMA (04/17-); 2.0 DURATEC (07/17-); FIESTA 1.6 16V SIGMA (01/16-); KA NEW 1.0 12V FLEX (08/14-) 3 CIL.; 1.5 16V FLEX SIGMA (08/14-); FUSION 2.0 16V HYBRID / ECOBOOST (01/16-); RANGER 2.5 16V FLEX SPORT 4X2 CS (03/14-) DURATEC - PARA REFERENCIA ORIGINAL EM5G/6714/AA/</t>
  </si>
  <si>
    <t>FORD: EM5G6714AA; JU2J6714AA</t>
  </si>
  <si>
    <t>W7008</t>
  </si>
  <si>
    <t>H11W01</t>
  </si>
  <si>
    <t>OC606</t>
  </si>
  <si>
    <t>TM1</t>
  </si>
  <si>
    <t>LBM1</t>
  </si>
  <si>
    <t>PH10044</t>
  </si>
  <si>
    <t>WO156</t>
  </si>
  <si>
    <t>H13W01</t>
  </si>
  <si>
    <t>23.284.00</t>
  </si>
  <si>
    <t>FERRARI: 456 5.5 V12 GT; 456 5.5 V12 GTA; 550 MARANELLO; 575 MARANELLO (2 FILTROS POR CARRO)</t>
  </si>
  <si>
    <t>141383, 151323, 206166</t>
  </si>
  <si>
    <t>23.288.00</t>
  </si>
  <si>
    <t>IVECO: STRALIS: HD 380; HD 450 E38; HD 450 S38T; HD 570 S38T - CURSOR 13 F3BE0681G (08/05-) / HD 450 S42T; HD 570 S42T; HD 740 S42T - CURSOR 13 F3BE0681V (08/05-)</t>
  </si>
  <si>
    <t>84346773 / 87422983 / 87422983 / 84818743 / 99445200 / 2992544 / 504082382 / 504026056 / 2994103 / 1931099 / 5001858099 / 5802037413</t>
  </si>
  <si>
    <t>W1170/7</t>
  </si>
  <si>
    <t>H230W</t>
  </si>
  <si>
    <t>OC1178</t>
  </si>
  <si>
    <t>PSL159</t>
  </si>
  <si>
    <t>LB159</t>
  </si>
  <si>
    <t>PH8944</t>
  </si>
  <si>
    <t>WO613</t>
  </si>
  <si>
    <t>LF3977</t>
  </si>
  <si>
    <t>P550639</t>
  </si>
  <si>
    <t>23.290.00</t>
  </si>
  <si>
    <t>SCANIA: B115 (1975- &gt;); B BR111 (1975- &gt;); B BR116 (1975- &gt;); F112 (1975- &gt;); F112HL (1975- &gt;); F94 (1998- &gt;); K112 (1986- &gt;); K113 CL (1988-1996); K113 (1997 - &gt;); L111 (1977 - &gt;); P114 (1998-2006); P93H/HS (1995- &gt;); R112 EW (1986- &gt;); R113 H (1991- &gt;); R114 (1998-2006); R140 LK/LKS/ LKT (1977- &gt;); R142 E/EW/H/HS/HW (1981- &gt;); S112 (1986- &gt;); T112 (1986- &gt;); T114 (1988-2006); T141 (1977- &gt;); T142 (1981- &gt;) /  AGRALE: 4000-4100 (2000- &gt;); 4000-4230 (1996- &gt;); 4000-4118.4 (2004- &gt;); 4000-4230.4 (2001- &gt;) /  CASE: 2470; 4490.</t>
  </si>
  <si>
    <t>Scania: 173171</t>
  </si>
  <si>
    <t>W920/7</t>
  </si>
  <si>
    <t>H10W02</t>
  </si>
  <si>
    <t>OC18</t>
  </si>
  <si>
    <t>PSL171</t>
  </si>
  <si>
    <t>LB171</t>
  </si>
  <si>
    <t>PH16</t>
  </si>
  <si>
    <t>WO671</t>
  </si>
  <si>
    <t>RL17</t>
  </si>
  <si>
    <t>P550318</t>
  </si>
  <si>
    <t>23.291.00</t>
  </si>
  <si>
    <t>AUDI: A4 1.6L, 1.8L, 1.8L 20V, A6 2.0L, S6 2.2L, CABRIOLET 2.0L E 2.3L, COUPÊ 2.0L E 2.2L, AUDI 80 2.0L 16V ( 034 115 561A ) / SEAT: CORDOBA 1.6; IBIZA 1.6 / VOLKSWAGEN: CORRADO 1.8L E 2.0L, GOLF III 1.8L, 2.0L, GTI 2.0L, 2.0L 16V, PASSAT 1.8E, 2.0E, 2.0E 16V, VE</t>
  </si>
  <si>
    <t>H14W27</t>
  </si>
  <si>
    <t>OC1241</t>
  </si>
  <si>
    <t>PSL564</t>
  </si>
  <si>
    <t>LB564</t>
  </si>
  <si>
    <t>WO181</t>
  </si>
  <si>
    <t>23.292.00</t>
  </si>
  <si>
    <t>VOLKSWAGEN: 28440, 29440, 31440 - MOTOR MAN (13-)</t>
  </si>
  <si>
    <t>W1160</t>
  </si>
  <si>
    <t>H210W01</t>
  </si>
  <si>
    <t>OC1447</t>
  </si>
  <si>
    <t>PSL908</t>
  </si>
  <si>
    <t>LB908</t>
  </si>
  <si>
    <t>WO782</t>
  </si>
  <si>
    <t>LF3506</t>
  </si>
  <si>
    <t>P550945</t>
  </si>
  <si>
    <t>23.293.00</t>
  </si>
  <si>
    <t>CITRÖEN: EVASION 2.0I, 2.0 TURBO, XANTIA 1.8I/2.0I, 1.8I 16V, 2.0I 16V, ZX VOLCANE 1.8I, 2.0, ZX REFLEX, C15 DIESEL ARG.</t>
  </si>
  <si>
    <t>W712/8</t>
  </si>
  <si>
    <t>H90W13</t>
  </si>
  <si>
    <t>OC100</t>
  </si>
  <si>
    <t>PSL135</t>
  </si>
  <si>
    <t>LB135</t>
  </si>
  <si>
    <t>PH4703</t>
  </si>
  <si>
    <t>WO160</t>
  </si>
  <si>
    <t>LF3624</t>
  </si>
  <si>
    <t>23.297.00</t>
  </si>
  <si>
    <t>FORD: F 1000 MOTOR HSD MAXION  /  GENERAL MOTORS: S 10 MOTOR 2.5 MAXION / MERCEDES BENZ:  SPRINTER 310 D OBS: TODOS C/ MOTOR MAXION ROVER</t>
  </si>
  <si>
    <t>W923/1</t>
  </si>
  <si>
    <t>OC261</t>
  </si>
  <si>
    <t>PSL902</t>
  </si>
  <si>
    <t>LB902</t>
  </si>
  <si>
    <t>PH5443</t>
  </si>
  <si>
    <t>WO290</t>
  </si>
  <si>
    <t>23.303.00</t>
  </si>
  <si>
    <t>IVECO: DAILY 2.8 TDI</t>
  </si>
  <si>
    <t>5983900; 1907583; 1930213; 4787410; 1902047; 4791113; 1907582; 7571569; 98432648;</t>
  </si>
  <si>
    <t>WP1144</t>
  </si>
  <si>
    <t>H210WN</t>
  </si>
  <si>
    <t>OC248</t>
  </si>
  <si>
    <t>PSL156</t>
  </si>
  <si>
    <t>LB156</t>
  </si>
  <si>
    <t>PH4847A</t>
  </si>
  <si>
    <t>WO330</t>
  </si>
  <si>
    <t>LF3480</t>
  </si>
  <si>
    <t>P550226</t>
  </si>
  <si>
    <t>23.305.00</t>
  </si>
  <si>
    <t>IVECO: EURO TECH; EURO TRAKKER</t>
  </si>
  <si>
    <t>WP1169</t>
  </si>
  <si>
    <t>H220WN</t>
  </si>
  <si>
    <t>PSL160</t>
  </si>
  <si>
    <t>LB160</t>
  </si>
  <si>
    <t>PH5103</t>
  </si>
  <si>
    <t>WO600</t>
  </si>
  <si>
    <t>LF3482</t>
  </si>
  <si>
    <t>P550342</t>
  </si>
  <si>
    <t>23.410.00</t>
  </si>
  <si>
    <t xml:space="preserve">JOHN DEERE: 6710; 6810 / CAT: 950G; 950 F / CLARK: 125C; 175C </t>
  </si>
  <si>
    <t>JOHN DEERE: 4283860
CAT: 1W8845</t>
  </si>
  <si>
    <t>WP1270</t>
  </si>
  <si>
    <t>H240W01</t>
  </si>
  <si>
    <t>OC532</t>
  </si>
  <si>
    <t>PSL277</t>
  </si>
  <si>
    <t>PH3555A</t>
  </si>
  <si>
    <t>WO720</t>
  </si>
  <si>
    <t>LF777</t>
  </si>
  <si>
    <t>P550777</t>
  </si>
  <si>
    <t>23.411.00</t>
  </si>
  <si>
    <t>Filtro Spin-on do Óleo</t>
  </si>
  <si>
    <t>AGCO: Série 6000; Série 8000; Série R / CASE: Série 2000; Steiger Série; 9000 Série / FREIGHTLINER: 120; 132; Columbia; Classic; Condor; FLD; M2 / JOHN DEER: Série 1000; Série 600; Série 700; Série 8070</t>
  </si>
  <si>
    <t>0986B01011; 3318853;</t>
  </si>
  <si>
    <t>WP12300</t>
  </si>
  <si>
    <t>H300W03</t>
  </si>
  <si>
    <t>OC482</t>
  </si>
  <si>
    <t>PSL300</t>
  </si>
  <si>
    <t>PH6349</t>
  </si>
  <si>
    <t>WO710</t>
  </si>
  <si>
    <t>LF3000</t>
  </si>
  <si>
    <t>RL332</t>
  </si>
  <si>
    <t>P553000</t>
  </si>
  <si>
    <t>23.412.00</t>
  </si>
  <si>
    <t>CATERPILLAR: 972H; 120H; 12H; 135H; 140H; 14H; 16 Série 93U1 - UP; 160M B9L1-UP; 160M; 245 Série 95V; 245 Série 96V; 245B; 24W; 25W; 330C - CYA1 UP; 330C - GKX1 UP; 330C DKY1 UP; 330C DKY1 UP; 330C FP B1K1; 330C FP B2L1; 330C FP B3M1; 330C FP B4N1; 330C GKX1 UP; 330C JCD1 UP; 330C JNK1 UP; 330C L CAP1 UP; 330C L CAP1-903; 330C L CAP226 UP; 330C L CAP904 UP; 330C L CGZ1 UP; 330C L CYA1 UP; 330C L DKY1 UP; 330C L DKY1-1243; 330C L DKY1243 UP; 330C L GKX1 UP; 330C L JAB1 UP; 330C L KDD1 UP; 330C LN CGZ1 UP; 330C LN CGZ1 UP; 330C MCA1 UP; 330C MH MKM1; 330C MKM1 UP; 330C/ MH; 330C; 330CL; 330CLN; 330D 9GR1; 330D/ L; 336D / 336D L / 336D LN; 336E / 336EL; 336F / 336F L; 3406 Série 70V; 3406 Série 90U; 3406 Série 91U; 3406 Série 92U / 3408 Série 28V; 3408 Série 67U; 3408B Série 99U - Motor V8; 3412 Série 38S; 3412 Série 60M; 345B 2ZW1 UP; 345B 3MW1 UP; 345B BFG1 UP; 345B CCC1 UP; 345B II CCC1 UP; 345B L 2WS1 UP; 345B L 2SW1 UP; 345B L 2ZW1 UP; 345B L 3MW1 UP; 345B L 5WS1 UP; 345B L 6XS1 UP; 345B L 7KS1 UP; 345B L 7KS1 UP; 345B L 7KS1 UP; 345B L BFG1 UP; 345B LC 2SW1 UP; 345B LC BFG1 UP; 375; 375; 375L; 45P; 5080; 511 511287-UP / 521 5221 - 247 / 521 5111 - 286 / 521 5211 - 315 / 521 521316-UP; 511 5221 - 247 / 511 5111 - 286 / 511 5211 - 315; 5110B; 522 5221 - 247 / 522 5111 - 286 / 522 5211 - 315 / 522 522248-UP / 532 5321 - 176; 5230; 5230B; 532 532177-UP / 541 5411 - 211 / 541 541212-UP / 551 5511 - 117 / 551 5521 - 145; 551 551118-UP / 551 552146-UP / 552 5511 - 117 / 552 5521 - 145 / 552 551118-UP / 552 552146-UP; 572R II - DSC1-301; 572R II - DSC302-UP; 583 78HI - UP; 594 96V1 - UP; 621 Série 45P1 - UP; 621B - Screp - Caterpillar 3406; 621F BZ - 8PL1 e 9NL1; 621F BZ - 8PL1 e 9NL1; 623 Série 46P1 - UP; 627 Série 14S1 - UP, 15S1 - UP; 627F; 627G e 637G; 631 Série 13G1 - UP; 631 Série 13G3687 - UP; 631 Série 24W1 - UP; 637 Séries 26W1 - UP e 27W1 - UP; 639D Série 99X1 - UP; 641 Série 65K901 - UP; 641B; 650 Série 58K355 - UP; 651 Série 67K509 - UP; 651 Série 89Z1 - UP; 651B; 657 Série 68K827 - UP Exceto 68K829; 657 Série 86Z1, 87Z1; 657 Série 90Z1, 91Z1; 65C - 2ZJ1-499; 65C - 2ZJ500-UP; 65E - 6GS1-UP; 660 Série 58K355 - UP; 666 Série 66K227; 666 Série 77F, 32G, g4H; 67M, 24W; 6RN1 e 7LN1; 725; 725; 725C; 730; 730; 730; 735; 735; 740; 740; 740; 740; 740E; 740E; 75C - 4KK1-499; 75D - 5AR1-UP; 769 1X1 - UP; 773 63G859 - UP; 773 63WI - UP; 775F - DLS1; 777B; 777F - JRP1; 784C; 784C; 785; 785; 789 Série 9ZC1 - UP; 789; 793B, 270 Ton.; 815F; 824; 824C Série 85X1 - UP; 824G; 825C Série 86X1 - UP; 825G; 826C Série 87X1 - UP; 826G; 834 Série 92Z1 - UP; 834G; 836G; 980 Série 63X1 - UP; 980 Série 8964784 - UP; 980F; 980G - 2KR1; 980G - 2SR1 650 / 2KR1 / 9CM1; 980G - 2SR1; 980G - 9CM1; 988B Série 50W1 - UP; 988G; 992B - Série 992B; 992C Série 42X1 - UP; Challenger 75C - 4KK1849 / 4KK1850; Challenger 65E; Challenger 70C 2YL1 / 75B; Challenger 75; Challenger 75B; Challenger 75C - 4KK1849; Challenger 75C / 75D / 75E; Challenger 75C; Challenger 85C; Challenger 85D; D10 Série 84W1 - UP; D11 N Série 74Z1 - UP; D350E - 2XW1; D350E - 9LR1-419 / 9LR420-UP; D350E - 9LR1-419 / 9LR420-UP; D350E - 9LR1-419 / 9LR420-UP; D350E - 9LR1; D350E II - 2XW1-UP; D350E II - 2XW1; D400 - 1MD / 2JJ / 2YR / 8TF; D400D - 1MD / 2JJ / 2YR / 8TF; D400E - 2YR1-685 / 2YR686-UP; D400E - 2YR1; D7R / D7R II; D8 Série 36A 5525 - UP; D8 Série 46A29450 - UP, 9449; D8K Série 76CV1 - UP, 77V1 - UP; D8L Série 53Y1 - UP; D8R Série 9EM; D9 Série 90V1 - UP; D9H Série 90V, 3965 - 5541; D9L Série 14Y1 - UP; D9L Série 14Y1 - UP; Motores; PM465; PM565; RM300 - BWR1-UP; TK1051 ~ ~ 9HZ1-UP; TK711 101-1 / TK721 102-1 / TK722 103-1 / TK732 104-1; W345C</t>
  </si>
  <si>
    <t>CAT: 2P4005; 1W2660; 2P4005; 2Y8097</t>
  </si>
  <si>
    <t>WD13145</t>
  </si>
  <si>
    <t>OC122</t>
  </si>
  <si>
    <t>PSL405</t>
  </si>
  <si>
    <t>LB405</t>
  </si>
  <si>
    <t>PH3335</t>
  </si>
  <si>
    <t>LF691A</t>
  </si>
  <si>
    <t>P554005</t>
  </si>
  <si>
    <t>23.416.00</t>
  </si>
  <si>
    <t>FORD:FIESTA, ORION 1.3L(5008 718, 5012 000, 6057 166, 6057 167, 6141 811, 77BM 6714 C1A)</t>
  </si>
  <si>
    <t>W712/43</t>
  </si>
  <si>
    <t>H90W19</t>
  </si>
  <si>
    <t>PSL145</t>
  </si>
  <si>
    <t>LB145</t>
  </si>
  <si>
    <t>PH5713</t>
  </si>
  <si>
    <t>WO150</t>
  </si>
  <si>
    <t>LF3826</t>
  </si>
  <si>
    <t>23.418.00</t>
  </si>
  <si>
    <t>PEUGEOT: 206 - 1.0; / RENAULT: CLIO 1.0 / 1.6 16V NACIONAL; CLIO I 1.4 - EUROPEU; KANGOO 1.4; LAGUNA - 2.0I, 2.0 / 2.0 RT, RXE, LAGUNA II 1.6 16V / 1.8 16V; MEGANE 1.6E / 1.6I, 1.6I 16V, 2.0 16V, 2.0I; MEGANE SCÉNIC I 1.6, 2.0; MEGANE SCÉNIC II 1.6 16V; R; DUSTER 1.6 16V HI-FLEX (10/11-)</t>
  </si>
  <si>
    <t>W75/2</t>
  </si>
  <si>
    <t>H11W02</t>
  </si>
  <si>
    <t>OC309</t>
  </si>
  <si>
    <t>PSL77</t>
  </si>
  <si>
    <t>LB77</t>
  </si>
  <si>
    <t>PH5796</t>
  </si>
  <si>
    <t>WO200</t>
  </si>
  <si>
    <t>23.436.00</t>
  </si>
  <si>
    <t>W719/30</t>
  </si>
  <si>
    <t>23.438.00</t>
  </si>
  <si>
    <t>FIAT: PALIO FIRE (TODOS); SIENA FIRE (TODOS), UNO FIRE / KIA MOTROS: SPORTAGE DLX 2.0, 2.2 / MAZDA: 626 2.0 16V, 2.2 12V MAZDA: 626 2.0L 16V, 808, 818, 929 1.8, MPV 3.0I, MX3 1.9L 24V, MX6 2.5I, RX2-3-4-5, XEDOS 6-9 2.0I, B 1600, 1800, 2000 PICK UP, E 200 / NISSAN: MARCH E VERSA 1.6 16V  / MITSUBISHI</t>
  </si>
  <si>
    <t>46544820; 46751179; 71765459; 55259645;</t>
  </si>
  <si>
    <t>W610</t>
  </si>
  <si>
    <t>OC259</t>
  </si>
  <si>
    <t>PH5949</t>
  </si>
  <si>
    <t>WO120</t>
  </si>
  <si>
    <t>23.440.00</t>
  </si>
  <si>
    <t>FORD: ESCORT C/ MOTOR ZETEC 16V;  MONDEO 1.6L 16V E 1.8L 16V, SCORPIO 2.0L E 2.0L 16V (1663 050, 1663 051, 6937 011) - FIESTA 1.0/1.6, COURIER 1.6, MONDEO, ECOSPORT, RANGER 3.0 V6</t>
  </si>
  <si>
    <t>W719/27</t>
  </si>
  <si>
    <t>H14W23</t>
  </si>
  <si>
    <t>OC266</t>
  </si>
  <si>
    <t>PSL144</t>
  </si>
  <si>
    <t>LB144</t>
  </si>
  <si>
    <t>PH5803</t>
  </si>
  <si>
    <t>WO180</t>
  </si>
  <si>
    <t>LF3409</t>
  </si>
  <si>
    <t>23.446.00</t>
  </si>
  <si>
    <t>VOLVO: Bus B10M (1998- &gt;); Bus B12M (2003- &gt;); Bus B7R (2002- &gt;); Bus Série B11R (2012- &gt;); Truck FH série (2003- &gt;); Truck FM série (2006- &gt;); Truck FMX série (2012- &gt;); Truck NH12 série (1998- &gt;)</t>
  </si>
  <si>
    <t xml:space="preserve">21707132; 477556; </t>
  </si>
  <si>
    <t>WP11102</t>
  </si>
  <si>
    <t>H200WN01</t>
  </si>
  <si>
    <t>OC282</t>
  </si>
  <si>
    <t>PSL419</t>
  </si>
  <si>
    <t>LB419</t>
  </si>
  <si>
    <t>P3555PL</t>
  </si>
  <si>
    <t>WO750</t>
  </si>
  <si>
    <t>LF3654</t>
  </si>
  <si>
    <t>P550425</t>
  </si>
  <si>
    <t>23.450.00</t>
  </si>
  <si>
    <t>Filtro Blindado do Óleo Lubrificante</t>
  </si>
  <si>
    <t>DAF: 85CF / 95XF</t>
  </si>
  <si>
    <t>DAF
1310901</t>
  </si>
  <si>
    <t>W13145/6</t>
  </si>
  <si>
    <t>H300W02</t>
  </si>
  <si>
    <t>PH9046</t>
  </si>
  <si>
    <t>LF3737</t>
  </si>
  <si>
    <t>P550452</t>
  </si>
  <si>
    <t>23.452.00</t>
  </si>
  <si>
    <t>HYUNDAI HB20 1.0 12V (12- ) / KIA MOTORS : PICANTO 1.0, 1.1 (04-11 / 11-)</t>
  </si>
  <si>
    <t>HYUNDAY: 2630002503</t>
  </si>
  <si>
    <t>W6030</t>
  </si>
  <si>
    <t>OC1225</t>
  </si>
  <si>
    <t>PSL166</t>
  </si>
  <si>
    <t>LB166</t>
  </si>
  <si>
    <t>PH5441</t>
  </si>
  <si>
    <t>JFO0313</t>
  </si>
  <si>
    <t>23.453.00</t>
  </si>
  <si>
    <t>VOLKSWAGEN: GOL 1000 (16V E 8V APÓS 1996), GOL MI 8V/16V, GOLF ( A PARTIR DE 2002), PARATI MI 16V, SAVEIRO MI 16V.</t>
  </si>
  <si>
    <t>030115561K; 030115561P; 030115561T;</t>
  </si>
  <si>
    <t>W712/53</t>
  </si>
  <si>
    <t>H90W17</t>
  </si>
  <si>
    <t>OC250</t>
  </si>
  <si>
    <t>PSL560</t>
  </si>
  <si>
    <t>LB560</t>
  </si>
  <si>
    <t>PH5548</t>
  </si>
  <si>
    <t>WO340</t>
  </si>
  <si>
    <t>23.455.00</t>
  </si>
  <si>
    <t>FIAT: Argo 1.0 Flex  Firefly 3 Cilindros (05/17-); 1.3 Flex Firefly 4 Cilindros (05/17-); Mobi 1.0 6V Flex Drive Firefly 3 Cilindros (01/17-); Uno 1.0 6V Flex Attractive/ Way Firefly 3 cilindros (09/16-); 1.3 8V Flex Way/ Sporting Firefly 4 cilindros (09/16-)</t>
  </si>
  <si>
    <t>W712/30</t>
  </si>
  <si>
    <t>H90W28</t>
  </si>
  <si>
    <t>PSL56</t>
  </si>
  <si>
    <t>LB56</t>
  </si>
  <si>
    <t>PH12208</t>
  </si>
  <si>
    <t>WO121</t>
  </si>
  <si>
    <t>23.461.00</t>
  </si>
  <si>
    <t>MITSUBISHI: CELESTE 1400, 1600 E 2000; GALANT; LANCER 1500I; PAJERO DIESEL 2.6L</t>
  </si>
  <si>
    <t>W811/80</t>
  </si>
  <si>
    <t>OC205</t>
  </si>
  <si>
    <t>PSL152</t>
  </si>
  <si>
    <t>LB152</t>
  </si>
  <si>
    <t>JFO0H01</t>
  </si>
  <si>
    <t>23.463.00</t>
  </si>
  <si>
    <t>FORD: MUSTANG V6 4.0L (2016&gt;...), TAURUS LX 3.0 (1995&gt;1999)</t>
  </si>
  <si>
    <t>W920/45</t>
  </si>
  <si>
    <t>H10W18</t>
  </si>
  <si>
    <t>OC288</t>
  </si>
  <si>
    <t>PH2</t>
  </si>
  <si>
    <t>WO261</t>
  </si>
  <si>
    <t>LF3681</t>
  </si>
  <si>
    <t>23.467.00</t>
  </si>
  <si>
    <t>CHRYSLER: 300C, GRAND CARAVAN, SEBRING, TOWN&amp;COUNTRY, VISION / DODGE: DAKOTA (1998&gt;2001) / JEEP: CHEROKEE 2.5 (2000&gt;2001), CHEROKEE 4.0L (1993&gt;2001), GRAND CHEROKEE 4.0 4.7 5.9 (1997&gt;2004), WRANGLER SPORT 4.0</t>
  </si>
  <si>
    <t>W930/20</t>
  </si>
  <si>
    <t>H24W03</t>
  </si>
  <si>
    <t>PH5106</t>
  </si>
  <si>
    <t>WO250</t>
  </si>
  <si>
    <t>LF3353</t>
  </si>
  <si>
    <t>P550941</t>
  </si>
  <si>
    <t>FORD: F-250 3.9 CUMMINS (06-), 712E INTERACT 4 (07-), 815E INTERACT 4 (04-), 1317E/1517E/1717E INTERACT 4 (05-), 1722E/2422E/2428E/2628E INTERACT 6 (06-), 2622E INTERACT 6 (05-) / IVECO: EUROCARGO 170E22, 230E22 E 230E24 TECTOR F4AE0681D( 04-) / VOLKSWAGEN: 9-150E CUMMINS INT. 4 ISBE (03-06) , 13-170E CUMMINS INT. 4 ISBE (00-06), 15-170E CUMMINS INT. 4 ISBE (00-06), 17-250 CONST. CUMMINS INT. 6 ISBE (03-), 23-250E CUMMINS INT. 6 ISBE (04-), 24-250 CONST. CUMMINS INT. 6 ISBE (03-)</t>
  </si>
  <si>
    <t>504118385, 2992242, 504033399, 504074043, 84228510, 87803260</t>
  </si>
  <si>
    <t>W950/26</t>
  </si>
  <si>
    <t>H19W10</t>
  </si>
  <si>
    <t>OC502</t>
  </si>
  <si>
    <t>PSL283</t>
  </si>
  <si>
    <t>LB283</t>
  </si>
  <si>
    <t>PH9617</t>
  </si>
  <si>
    <t>WO612</t>
  </si>
  <si>
    <t>LF16015</t>
  </si>
  <si>
    <t>RL377</t>
  </si>
  <si>
    <t>P550520</t>
  </si>
  <si>
    <t>23.470.00</t>
  </si>
  <si>
    <t>RENAULT: CLIO 1.0 16V (00-), 1.0 16V FLEX (06-), 1.0 8V (98-), KANGOO 1.0 16V (00-), 1.0 8V (04-), LOGAN 1.0 16V HI-FLEX (07-), SANDERO 1.0 16V HI-FLEX (07-), TWINGO 1.0 16V (99-) - PARA REFERÊNCIA ORIGINAL: 8200257642 OU 8200292649</t>
  </si>
  <si>
    <t>W66/1</t>
  </si>
  <si>
    <t>OC195</t>
  </si>
  <si>
    <t>WO205</t>
  </si>
  <si>
    <t>23.472.00</t>
  </si>
  <si>
    <t>KIA: BONGO (K2700) 2.7 8V (97-) / HYUNDAI: HR 2.5 8V TCI HD SOHC (05-)</t>
  </si>
  <si>
    <t>W9020</t>
  </si>
  <si>
    <t>H10W19</t>
  </si>
  <si>
    <t>PSL332</t>
  </si>
  <si>
    <t>LB332</t>
  </si>
  <si>
    <t>JFO0505P</t>
  </si>
  <si>
    <t>23.475.00</t>
  </si>
  <si>
    <t>MITSUBISHI: PAJERO 3.2 2012&gt;; L200 3.2 2012&gt; N°ORIGINAL: CD120013</t>
  </si>
  <si>
    <t>ME013307; ME202472; ME215002;</t>
  </si>
  <si>
    <t>W9069</t>
  </si>
  <si>
    <t>H96W03</t>
  </si>
  <si>
    <t>OC1062</t>
  </si>
  <si>
    <t>PSL158</t>
  </si>
  <si>
    <t>LB158</t>
  </si>
  <si>
    <t>PH5529</t>
  </si>
  <si>
    <t>JFO0597</t>
  </si>
  <si>
    <t>LF3830</t>
  </si>
  <si>
    <t>P502008</t>
  </si>
  <si>
    <t>23.480.00</t>
  </si>
  <si>
    <t>CASE: SÉRIE 400 SÉRIE (2008&gt;...), 500 SÉRIE (2012&gt;...) / CASE IH: FARMALL 55C, 65A, 65C, 75C, 85A, 95U, 105U, 115U (2010&gt;...) / IVECO: MOTORES F4, F5 / NEW HOLLAND: C SÉRIE, L100 SÉRIE, T4 SÉRIE, T4000 SÉRIE (2007&gt;...)</t>
  </si>
  <si>
    <t>87679496 , 87679494,  87679598</t>
  </si>
  <si>
    <t>W10050</t>
  </si>
  <si>
    <t>H386W</t>
  </si>
  <si>
    <t>LF16121</t>
  </si>
  <si>
    <t>23.481.00</t>
  </si>
  <si>
    <t>RENAULT: R 19 RN 1.6L, R 19 RT 1.8L, CLIO 1.4L, TWINGO 1.3L</t>
  </si>
  <si>
    <t>W79</t>
  </si>
  <si>
    <t>H221W</t>
  </si>
  <si>
    <t>OC704</t>
  </si>
  <si>
    <t>PSL51</t>
  </si>
  <si>
    <t>LB51</t>
  </si>
  <si>
    <t>PH9739</t>
  </si>
  <si>
    <t>WO410</t>
  </si>
  <si>
    <t>23.484.00</t>
  </si>
  <si>
    <t>W6025</t>
  </si>
  <si>
    <t>OC1052</t>
  </si>
  <si>
    <t>PH5594A</t>
  </si>
  <si>
    <t>23.485.00</t>
  </si>
  <si>
    <t>PH3950</t>
  </si>
  <si>
    <t>23.489.00</t>
  </si>
  <si>
    <t>FIAT: DUCATO 2.3 (01/09-) / CITROËN: JUMPER 2.8 8V (12/01-08/05)</t>
  </si>
  <si>
    <t>W914/28</t>
  </si>
  <si>
    <t>H12W08</t>
  </si>
  <si>
    <t>OC1222</t>
  </si>
  <si>
    <t>PSL657</t>
  </si>
  <si>
    <t>LB657</t>
  </si>
  <si>
    <t>PH10268</t>
  </si>
  <si>
    <t>WO421</t>
  </si>
  <si>
    <t>LF17497</t>
  </si>
  <si>
    <t>23.493.00</t>
  </si>
  <si>
    <t>VOLKSWAGEN: JETTA III 2.0 (05-); TIGUAN 2.0 16V (07-) (TODOS GAS.)</t>
  </si>
  <si>
    <t>W719/45</t>
  </si>
  <si>
    <t>H14W30</t>
  </si>
  <si>
    <t>PSL557</t>
  </si>
  <si>
    <t>LB557</t>
  </si>
  <si>
    <t>PH10600</t>
  </si>
  <si>
    <t>WO592</t>
  </si>
  <si>
    <t>23.497.00</t>
  </si>
  <si>
    <t>CUMMINS:  FAMÍLIA "B "  ( 3 908 615 )</t>
  </si>
  <si>
    <t>W950/18</t>
  </si>
  <si>
    <t>H19W08</t>
  </si>
  <si>
    <t>OC320</t>
  </si>
  <si>
    <t>PSL280</t>
  </si>
  <si>
    <t>LB280</t>
  </si>
  <si>
    <t>PH3976</t>
  </si>
  <si>
    <t>WO680</t>
  </si>
  <si>
    <t>LF3959</t>
  </si>
  <si>
    <t>P558615</t>
  </si>
  <si>
    <t>23.503.00</t>
  </si>
  <si>
    <t>AGRALE: Optima 650 / ATLAS-COPCO: MT2010; ST1030/ CASE: 912C / HITACHI: EX1100-3; EX1800-3 / HYUNDAI: HL770; R290LC3; R290LC7; R320LC7; R320LC7A; R360LC3; R360LC7; R360LC7; R450LC3 / JOHN DEERE: 6750; 744E; 7950; 844; 8770; 8870 / KOMATSU: PC300HD-7EO; PC300HD-8;  PC300LC-7EO; PC300LC-8; PC300LL-7EO/ NEW HOLLAND: EC600; TJ275 - TJ325 / FORD: 1617 (2004-&gt;); 1622 (2002-&gt;); 1722 (2004-&gt;); 1731 (2004-&gt;); 1932 (2011-&gt;); 1933 (2012-&gt;); 2422 (2003-&gt;); 2425 (2003-&gt;); 2626 (2001-&gt;); 2630 (2001-&gt;); 2631 (2001-&gt;); 2632E (2006-&gt;); 2831 (2005-2006); 3222 (2002-2006); 3224 (2002-2006); 3224 (2001- &gt;); 4030 (2001- &gt;); 4031 (2002- &gt;); 4031; 4331(2003- 2006); 4432E (2006-2007); 4532E; 5031 (2005-2006); 5032E; 6332E / VOLKSWAGEN: 17320; 17330; ; 18310; 19320; 19320E; 19330; 19360; 19390; 19420; 23210; 23220; 23310 (2002-2005); 24220 (2000-2005); 24220; 24320; 24330; 25320E; 25390; 25420; 26220; 26260; 26300; 26310; 26390; 26420; 31310; 31320; 31320E; 31330.</t>
  </si>
  <si>
    <t>CUMMIS: 3401544
JOHN DEERE: AT193242</t>
  </si>
  <si>
    <t>WP12121</t>
  </si>
  <si>
    <t>H300W07</t>
  </si>
  <si>
    <t>OC1176</t>
  </si>
  <si>
    <t>PSL909</t>
  </si>
  <si>
    <t>LB909</t>
  </si>
  <si>
    <t>PH11009</t>
  </si>
  <si>
    <t>WO711</t>
  </si>
  <si>
    <t>LF9009</t>
  </si>
  <si>
    <t>RL370</t>
  </si>
  <si>
    <t>23.519.00</t>
  </si>
  <si>
    <t>GM: CAPTIVA ECOTEC 3.6 V6 DOHC GASOLINA (08/08-)</t>
  </si>
  <si>
    <t>W7030</t>
  </si>
  <si>
    <t>OC1239</t>
  </si>
  <si>
    <t>PSL615</t>
  </si>
  <si>
    <t>LB615</t>
  </si>
  <si>
    <t>PH10060</t>
  </si>
  <si>
    <t>WO133</t>
  </si>
  <si>
    <t>23.546.00</t>
  </si>
  <si>
    <t>IVECO: DAILY 35S14, 45S14, 50C16, 70C16 - FPT F1C IVECO 3.0 L 16V DIESEL (01/08-)</t>
  </si>
  <si>
    <t>W9009</t>
  </si>
  <si>
    <t>H17W29</t>
  </si>
  <si>
    <t>OC613</t>
  </si>
  <si>
    <t>PSL655</t>
  </si>
  <si>
    <t>LB655</t>
  </si>
  <si>
    <t>PH10267</t>
  </si>
  <si>
    <t>WO331</t>
  </si>
  <si>
    <t>LF17472</t>
  </si>
  <si>
    <t>23.548.00</t>
  </si>
  <si>
    <t>CASE: 400 SÉRIE (2005&gt;2007), 500 SÉRIE / CASE CONSTRUCTION: 580M / CASE IH: AXIAL FLOW SÉRIE 5130, 6130, 7130, FARMALL 95A, MAGNUM 180, 200, 220, 240, MAXXUM / NEW HOLLAND: LW SÉRIE, T5000 SÉRIE, T6 SÉRIE</t>
  </si>
  <si>
    <t>2854749, 2854750, 84228488, 87803205, 504084161, 5801727307</t>
  </si>
  <si>
    <t>W9019</t>
  </si>
  <si>
    <t>H360W</t>
  </si>
  <si>
    <t>PSL856</t>
  </si>
  <si>
    <t>LB856</t>
  </si>
  <si>
    <t>LF16117</t>
  </si>
  <si>
    <t>23.575.00</t>
  </si>
  <si>
    <t>VOLKSWAGEN: UP / FOX 1.0</t>
  </si>
  <si>
    <t>W712/89</t>
  </si>
  <si>
    <t>H317W01</t>
  </si>
  <si>
    <t>OC1449</t>
  </si>
  <si>
    <t>PSL545</t>
  </si>
  <si>
    <t>LB545</t>
  </si>
  <si>
    <t>PH11457</t>
  </si>
  <si>
    <t>WO346</t>
  </si>
  <si>
    <t>23.588.00</t>
  </si>
  <si>
    <t>JOHN DEERE: 7505; 1165; 1175; 1450; 6615; 7515 - JD6068T / 5605; 5705 - JD4045D / 6405; 6415 - JD4045T</t>
  </si>
  <si>
    <t>W925</t>
  </si>
  <si>
    <t>H26W01</t>
  </si>
  <si>
    <t>PSL597</t>
  </si>
  <si>
    <t>PH8476</t>
  </si>
  <si>
    <t>WO712</t>
  </si>
  <si>
    <t>LF3703</t>
  </si>
  <si>
    <t>P551352</t>
  </si>
  <si>
    <t>23.589.00</t>
  </si>
  <si>
    <t>CASE CONSTRUCTION: CX SÉRIE CX 240 MOTOR CUMMINS 6TAA (2003&gt;...) / CUMMINS: 3937736, 3937144 / HYNDAI: 11N870110 / JCB: 32-925413 / KOMATSU: 21U-60-11330</t>
  </si>
  <si>
    <t>W951</t>
  </si>
  <si>
    <t>H320W</t>
  </si>
  <si>
    <t>PSL284</t>
  </si>
  <si>
    <t>WO777</t>
  </si>
  <si>
    <t>LF3970</t>
  </si>
  <si>
    <t>P550428</t>
  </si>
  <si>
    <t>23.590.00</t>
  </si>
  <si>
    <t>JOHN DEERE: 1010D; 120C; 1410D; 1470; 1490D; 160CLC; 160DLC; 200C/LC; 210LJ; 230CLC; 240DLC; 270C/ LC; 270D/ LC; 310J; 310J;310SJ/ TMC; 310SJ; 310SK; 315SJ; 3215; 3220; 3415; 3420; 360DC; 4045H; 410J; 410K; 444J; 444K; 450H LPG; 450H LT; 450H; 460DC; 460DG; 4630; 4720; 5070M; 5080G; 5080GF;5080M; 5080R; 5080RN; 5083E; 5085E; 5090M; 5093E; 5095M; 5100E; 5100GF; 5100M; 5100R; 5101E; 5101EN; 5115M; 540GII; 5425; 544J; 548GIII; 550H; 5525N; 5603 (5000-Serie); 5627525; 0; 5625; 5715; 5715HC; 5725; 6020SE; 605C; 6090MC; 6100D; 6100MC; 6105D; 6110D; 6110MC; 6115D; 6115M; 6120L; 6120SE; 6125D; 6130; 6130D; 6130R; 6140M; 6215; 6220L; 6300L; 6320SE; 6403; 640G; 640GII; 6425; 6430; 643J; 6515; 6520SE; 6530 / 6530 PREMIUM; 6534; 6603; 6615; 6620; 6620SE; 6715; 6830 / 6830 PREMIUM; 6930 / 6930 PREMIUM; 7130/ 7130 PREMIUM; 7230 / 7230 PREMIUM; 7330 PREMIUM; 7425; 748H; 7525; 7815; 7820; 843J; 848H; 850J; 9450; 9550; C230-3518CTS; R450; Y2106488; 5720; 6415; 7220; 7320; 7420; 7520; 7720 / CLASS: ARES 546; ARES 556; ARES 566; ARES 616; ARES 617ATZ; ARES 656; ARES 657; ARES 696; ARES 697ATZ; ARES 816; ARES 826; ARES 836; ARION 410; ARION 420;  ARION 430; ARION 430; ARION 520; ARION 530; ARION 540; ARION 610; ARION 620; ARION 630; ARION 640; AXION 810; AXION 820; AXION 830; AXION 840; AXION 850; CELTIS 426; CELTIS 436; CELTIS 446; CELTIS 456.</t>
  </si>
  <si>
    <t>John deere: RE504836;RE541420</t>
  </si>
  <si>
    <t>W1022</t>
  </si>
  <si>
    <t>PSL598</t>
  </si>
  <si>
    <t>PH10220</t>
  </si>
  <si>
    <t>WO761</t>
  </si>
  <si>
    <t>RE504836</t>
  </si>
  <si>
    <t>P550779</t>
  </si>
  <si>
    <t>23.591.00</t>
  </si>
  <si>
    <t>MASSEY FERGUNSON: MF6485 (2003-&gt;); MF6490 (2003-&gt;); MF6495 (2003-&gt;); MF6497 (-); MF7485 (2003-2008); MF7490 (2003-&gt;); MF7495 (2003-&gt;);  7180 (2013-&gt;); MF6499 / VALMET - VALTRA: 1180 (94-&gt;); 1380 (94-&gt;); 1680 (97-&gt;); 1880S (98-&gt;); 19850 (96-&gt;); 600 (2001-&gt;); 885 (94-&gt;); 985 (94-&gt;); A950 (2016-&gt;); BF65 (2000-&gt;); BF75 (2001-&gt;); BH 180 - Linha Leve (2001-&gt;); BH140 - Linha Leve; BH145; BH160 - Linha Leve; BH165; BH180 (2004-&gt;); BH185i; BH215i; BL77 (2003-&gt;); BL88 (2003-&gt;); BM100; BM110; BM125i</t>
  </si>
  <si>
    <t>VALMET: 836647133
AGCO: 6219784M1</t>
  </si>
  <si>
    <t>W1135/3</t>
  </si>
  <si>
    <t>OC335</t>
  </si>
  <si>
    <t>PSL836</t>
  </si>
  <si>
    <t>LB836</t>
  </si>
  <si>
    <t>PH9748</t>
  </si>
  <si>
    <t>WO764</t>
  </si>
  <si>
    <t>RL406</t>
  </si>
  <si>
    <t>P502433</t>
  </si>
  <si>
    <t>23.592.00</t>
  </si>
  <si>
    <t>LIEBHERR: A900 Série; L500 Série; R900 Série</t>
  </si>
  <si>
    <t>Liebherr: 10297295</t>
  </si>
  <si>
    <t>W1170/13</t>
  </si>
  <si>
    <t>LF3749</t>
  </si>
  <si>
    <t>P502596</t>
  </si>
  <si>
    <t>23.593.00</t>
  </si>
  <si>
    <t>JOHN DEERE: 900-Serie - 950 C - D9306T; LIEBHERR: A/R900-Serie; A/R900-Serie; HS-Serie; L500-Serie; LG-Serie; LTL-Serie; LTM-Serie; PR700-Serie;</t>
  </si>
  <si>
    <t>LIEBHERR: 0011990; 7381111; 738111123;</t>
  </si>
  <si>
    <t>W1170/5</t>
  </si>
  <si>
    <t>H355W</t>
  </si>
  <si>
    <t>23.602.00</t>
  </si>
  <si>
    <t>LIEBHERR:  Série L ; Série A; Série HS; Série LTM; Série PR; Série R / JOHN DEERE: 655C; 755C</t>
  </si>
  <si>
    <t>LIEBHERR: 5700043
JOHN DEERE: AT274340</t>
  </si>
  <si>
    <t>W962/27</t>
  </si>
  <si>
    <t>H18W08</t>
  </si>
  <si>
    <t>OC143</t>
  </si>
  <si>
    <t>LF3744</t>
  </si>
  <si>
    <t>P550562</t>
  </si>
  <si>
    <t>23.603.00</t>
  </si>
  <si>
    <t>JCB: 3CX; 3DX; 3DX SUPER; 3CX ECO; 3C-14; 3C-15; 4CX; 4DX</t>
  </si>
  <si>
    <t>JCB: 32004133A; 32004134; 320B4420</t>
  </si>
  <si>
    <t>W950/47</t>
  </si>
  <si>
    <t>H361W</t>
  </si>
  <si>
    <t>PSL285</t>
  </si>
  <si>
    <t>PH9723</t>
  </si>
  <si>
    <t>WO900</t>
  </si>
  <si>
    <t>LF17556</t>
  </si>
  <si>
    <t>P502465</t>
  </si>
  <si>
    <t>23.608.00</t>
  </si>
  <si>
    <t>CASE IH: FARMALL 85C, 95C, 95U PRO, 105C, 115U PRO / JOHN DEERE: 5G SÉRIE (2014&gt;...) / NEW HOLLAND: 200 SÉRIE, C SÉRIE, T5 SÉRIE, U SÉRIE</t>
  </si>
  <si>
    <t>47535939, 5801724485</t>
  </si>
  <si>
    <t>23.632.00</t>
  </si>
  <si>
    <t>FORD: ECOSPORT 2.0 DURATEC 2012&gt;... FOCUS 2.0 DURATEC 2013&gt;...; FUSION 2.0 E 2.5 DURATEC 2013&gt;...; RANGER 2.5 DURATEC 2012&gt;...</t>
  </si>
  <si>
    <t xml:space="preserve">9W7Z6731A; AA6E6714A; BE8Z6731AB; 7STG6714AA; 9W7E6714BA; 31330050; </t>
  </si>
  <si>
    <t>W7013/1; W7015;</t>
  </si>
  <si>
    <t>H319W</t>
  </si>
  <si>
    <t>OC1446</t>
  </si>
  <si>
    <t xml:space="preserve">WO153 </t>
  </si>
  <si>
    <t>23.654.00</t>
  </si>
  <si>
    <t>KIA: Besta 3.0 (2005- &gt;); Bongo 2700 2.7L (1996 - 2005)</t>
  </si>
  <si>
    <t>KIA: 0K41023802</t>
  </si>
  <si>
    <t>PSL330</t>
  </si>
  <si>
    <t>LB330</t>
  </si>
  <si>
    <t>JFO0984</t>
  </si>
  <si>
    <t>23.723.00</t>
  </si>
  <si>
    <t>JOHN DEERE:  1188; 2056; 2058; 2064; 2066; 2254; 2256; 2258; 2264; 230LC; Série 300; série 4000; Série 500; Série 600; Série 8000; Série 9000</t>
  </si>
  <si>
    <t>JOHN DEERE: AR98329; 39937; RE57394</t>
  </si>
  <si>
    <t>W1254x</t>
  </si>
  <si>
    <t>H215W</t>
  </si>
  <si>
    <t>LF3567</t>
  </si>
  <si>
    <t>P558329</t>
  </si>
  <si>
    <t>23.732.00</t>
  </si>
  <si>
    <t>Case: 7120, 9210, 9260, 450E/ Motor Cummins série C  / VOLKSWAGEN: 13210, 14210, 16210, 22210 ( 1988-&gt;)</t>
  </si>
  <si>
    <t>Volkswagen 3313281</t>
  </si>
  <si>
    <t>W1262</t>
  </si>
  <si>
    <t>H216W</t>
  </si>
  <si>
    <t>OC319</t>
  </si>
  <si>
    <t>PSL281</t>
  </si>
  <si>
    <t>LB281</t>
  </si>
  <si>
    <t>PH4683</t>
  </si>
  <si>
    <t>WO700</t>
  </si>
  <si>
    <t>LF734</t>
  </si>
  <si>
    <t>RL313</t>
  </si>
  <si>
    <t>P551381</t>
  </si>
  <si>
    <t>23.733.00</t>
  </si>
  <si>
    <t>CASE/CASE IH SÉRIE STX; MOTORES CUMMINS ISX11.9 / QSM11 / QSM12 / QSM15; DOOSAN DL450 / DL500; KOMATSU BR580JG1 / D155AX6 / D155AX6SL / PC400 / PC400-7 / PC400-8 / PC450-8. N. ORIGINAL CUMMINS: 3101869; CUMMINS: 2882673</t>
  </si>
  <si>
    <t>N. ORIGINAL CUMMINS: 3101869; CUMMINS: 2882673</t>
  </si>
  <si>
    <t>WP12120</t>
  </si>
  <si>
    <t>PSL901</t>
  </si>
  <si>
    <t>PH8691</t>
  </si>
  <si>
    <t>LF9070</t>
  </si>
  <si>
    <t>P550949</t>
  </si>
  <si>
    <t>23.734.00</t>
  </si>
  <si>
    <t>KOMATSU: HD255-5; HD325-6; HD465-7R; HD785-7; HM300-2; HM350-1; BR580JG-1; D155A-6; D155AX-5; D155AX-5; D275A-5; D275AX-5; D65EX-15; D65EX-15; D65PX-15; D65WX-15; D85EX-15E0; D85PX-15E0; PC1250-8; PC1250LC-8; PC400LC-7; PC450-7K; PC450LC-8; PC800; WA500-HLLG;/ CASE: STX375; STX440; 921C</t>
  </si>
  <si>
    <t>CASE: 324617A1</t>
  </si>
  <si>
    <t>W11022</t>
  </si>
  <si>
    <t>H371W</t>
  </si>
  <si>
    <t>LF14000NN</t>
  </si>
  <si>
    <t>23.745.00</t>
  </si>
  <si>
    <t>CASE, CASE IH, KOMATSU, VOLVO CONSTRUCTION EQUIPMENT, VOLVO PENTA</t>
  </si>
  <si>
    <t>CASE: 5801477167; 84534796</t>
  </si>
  <si>
    <t>LF790</t>
  </si>
  <si>
    <t>P559130</t>
  </si>
  <si>
    <t>23.752.00</t>
  </si>
  <si>
    <t>CITROEN Jumper III 2.0 BlueHDi - 130 cv  (01.2019-&gt;) /  PEUGEOT Boxer III 2.0 BlueHDi - 130 cv (01.2019-&gt;)</t>
  </si>
  <si>
    <t>CITROEN: 9809532380</t>
  </si>
  <si>
    <t>W7063</t>
  </si>
  <si>
    <t>H388W</t>
  </si>
  <si>
    <t>OC1397</t>
  </si>
  <si>
    <t>PH12221</t>
  </si>
  <si>
    <t>WO161</t>
  </si>
  <si>
    <t>24.007.00</t>
  </si>
  <si>
    <t>Filtro Spin-On Do Combustível</t>
  </si>
  <si>
    <t>Fuel filter</t>
  </si>
  <si>
    <t>MERCEDES BENZ: SPRINTER 311, 313 (MOTOR OM 611) COM CONEXÃO PARA SENSOR DE ÁGUA</t>
  </si>
  <si>
    <t>WK842/18</t>
  </si>
  <si>
    <t>H167WK</t>
  </si>
  <si>
    <t>KL174</t>
  </si>
  <si>
    <t>PSC882</t>
  </si>
  <si>
    <t>FBD882</t>
  </si>
  <si>
    <t>PS9514</t>
  </si>
  <si>
    <t>FCD2158</t>
  </si>
  <si>
    <t>24.008.01</t>
  </si>
  <si>
    <t>COLHEDORAS DE CANA CASE - COM MOTORES IVECO (504199551) / CASE MAXXUM MOTOR CUMMINS 6BT 5.9</t>
  </si>
  <si>
    <t>500054588, 5801364481, 504199551, 5801364481</t>
  </si>
  <si>
    <t>WDK962/16</t>
  </si>
  <si>
    <t>PSC492</t>
  </si>
  <si>
    <t>FCD2219</t>
  </si>
  <si>
    <t>FF5457</t>
  </si>
  <si>
    <t>24.011.00</t>
  </si>
  <si>
    <t>NEW HOLLAND: T4 SÉRIE, T4000 SÉRIE, TD5000 SÉRIE, TK4000 SÉRIE (2008&gt;...)</t>
  </si>
  <si>
    <t>87487345, 504287009, 87487344, 504287009, 87487344</t>
  </si>
  <si>
    <t>WK724/6</t>
  </si>
  <si>
    <t>H545WK</t>
  </si>
  <si>
    <t>24.021.00</t>
  </si>
  <si>
    <t>DOOSAN: DH225LC-9; DL160; DL200</t>
  </si>
  <si>
    <t>DOOSAN: 40040300022; A463513</t>
  </si>
  <si>
    <t>PL270/7X</t>
  </si>
  <si>
    <t>H304WK</t>
  </si>
  <si>
    <t>FS19907</t>
  </si>
  <si>
    <t>P502594</t>
  </si>
  <si>
    <t>24.039.C0</t>
  </si>
  <si>
    <t>CASE: 480; 580, 680; 788; Série 7000; Série 8000; Série 9000 / MASSEY FERGUNSON: 6360; 6350; 9240 / MULLER: TM14; TM16; TM17</t>
  </si>
  <si>
    <t>3903410; 0986450713;</t>
  </si>
  <si>
    <t>WK940/7</t>
  </si>
  <si>
    <t>H17WK06</t>
  </si>
  <si>
    <t>KC107</t>
  </si>
  <si>
    <t>PSC410</t>
  </si>
  <si>
    <t>FCD2041</t>
  </si>
  <si>
    <t>24.068.00</t>
  </si>
  <si>
    <t>IVECO: TRAKKER MOTOR CURSOR 8 E CURSOR 13 (2006&gt;...) / NEW HOLLAND: CR SÉRIE CURSOR 9 (2015&gt;...)</t>
  </si>
  <si>
    <t>504086268; 42549295; 504272431; 2997376;</t>
  </si>
  <si>
    <t>WK1070X</t>
  </si>
  <si>
    <t>H7091WK10</t>
  </si>
  <si>
    <t>KC635</t>
  </si>
  <si>
    <t>PS10789</t>
  </si>
  <si>
    <t>24.107.00</t>
  </si>
  <si>
    <t>JEEP: GRAND CHEROKEE 3.0 CRD LIMITED L 24V (2005&gt;2011) / MERCDES BENZ: E-CLASS E280 3.0L (2004&gt;2009)</t>
  </si>
  <si>
    <t>WK842/23X</t>
  </si>
  <si>
    <t>H278WK</t>
  </si>
  <si>
    <t>KL228/2D</t>
  </si>
  <si>
    <t>P10148</t>
  </si>
  <si>
    <t>FCD2163</t>
  </si>
  <si>
    <t>24.111.00</t>
  </si>
  <si>
    <t>MERCDES BENZ: CLASSE ML 350 CDI TURBO DIESEL 3.0 (2009&gt;...), CLASSE S 250 CDI TURBO DIESEL 2.2 (2010&gt;...)</t>
  </si>
  <si>
    <t>WK8016X</t>
  </si>
  <si>
    <t>H331WK</t>
  </si>
  <si>
    <t>FCD2156</t>
  </si>
  <si>
    <t>FF258</t>
  </si>
  <si>
    <t>24.112.00</t>
  </si>
  <si>
    <t>Mercedes-Benz: Sprinter 2500 3.0; Sprinter 3500 3.0</t>
  </si>
  <si>
    <t>MB: 6420902252; 6420902352; 6420920401; A6420920401
RENAULT: 7424999337</t>
  </si>
  <si>
    <t>WK9014Z</t>
  </si>
  <si>
    <t>H330WK</t>
  </si>
  <si>
    <t>KL490/1D</t>
  </si>
  <si>
    <t>P11419</t>
  </si>
  <si>
    <t>24.119.00</t>
  </si>
  <si>
    <t>MITSUBISHI: L200 3.2 TDI (12/07-12/08); L200 3.2 (2008-2010)</t>
  </si>
  <si>
    <t>Mitsubishi: CD130102; CD130061</t>
  </si>
  <si>
    <t>WK9023Z</t>
  </si>
  <si>
    <t>KC388D</t>
  </si>
  <si>
    <t>PSC890</t>
  </si>
  <si>
    <t>FBD890</t>
  </si>
  <si>
    <t>JFC500</t>
  </si>
  <si>
    <t>RC390</t>
  </si>
  <si>
    <t>24.120.00</t>
  </si>
  <si>
    <t>VOLVO: CAMINHÕES FH 12 E FM 12 340, 380, 400, 420, 440, 460, 480 E 520; NH 12 340, 380, 420 E 460. ÔNIBUS B12 TD 122/123, D 12A340/380/420; B 12R 340, 380 E 420; B 12M 340</t>
  </si>
  <si>
    <t>20405160; 20430751; 20976003;</t>
  </si>
  <si>
    <t>WDK11102/25</t>
  </si>
  <si>
    <t>H200WDK01</t>
  </si>
  <si>
    <t>KC251</t>
  </si>
  <si>
    <t>PSC80</t>
  </si>
  <si>
    <t>FBD80</t>
  </si>
  <si>
    <t>FCD2207</t>
  </si>
  <si>
    <t>FF254</t>
  </si>
  <si>
    <t>RC358</t>
  </si>
  <si>
    <t>VOLVO CARREGADEIRA RODAS L120F, MB ACTROS, BOMAG COMPACTADOR, LIEBHERR</t>
  </si>
  <si>
    <t>WK1080/7X</t>
  </si>
  <si>
    <t>H701WK</t>
  </si>
  <si>
    <t>PSD160</t>
  </si>
  <si>
    <t>FCD2234</t>
  </si>
  <si>
    <t>FS19914</t>
  </si>
  <si>
    <t>24.122.00</t>
  </si>
  <si>
    <t>HYUNDAI: HR 2.5 TCI 2006&gt;2012</t>
  </si>
  <si>
    <t>WK8019</t>
  </si>
  <si>
    <t>JFCH27</t>
  </si>
  <si>
    <t>24.131.00</t>
  </si>
  <si>
    <t>Ssangyong: Actyon; Korando; Kyron; Rexton II; Rexton RX; / Effa: JMC;</t>
  </si>
  <si>
    <t>WK829/6</t>
  </si>
  <si>
    <t>PSC459</t>
  </si>
  <si>
    <t>PS10672</t>
  </si>
  <si>
    <t>JFCS01</t>
  </si>
  <si>
    <t>24.138.00</t>
  </si>
  <si>
    <t>LIEBHERR: TA230 / VOLVO: FM12 340, 380, 420 (2000&gt;2003)</t>
  </si>
  <si>
    <t>WK1060/5X</t>
  </si>
  <si>
    <t>H7090WK10</t>
  </si>
  <si>
    <t>KC123</t>
  </si>
  <si>
    <t>PSD490/1</t>
  </si>
  <si>
    <t>FBS490/1</t>
  </si>
  <si>
    <t>PS9624A</t>
  </si>
  <si>
    <t>FCD3090/3</t>
  </si>
  <si>
    <t>FS19551</t>
  </si>
  <si>
    <t>P551855</t>
  </si>
  <si>
    <t>24.139.00</t>
  </si>
  <si>
    <t>VOLVO CONSTRUCTION: ABG5820; ABG7820; ABG8820; ABG9820</t>
  </si>
  <si>
    <t>VOLVO: 80766462</t>
  </si>
  <si>
    <t>WDK962/1</t>
  </si>
  <si>
    <t>H419WK</t>
  </si>
  <si>
    <t>KC601</t>
  </si>
  <si>
    <t>FF5702</t>
  </si>
  <si>
    <t>P502536</t>
  </si>
  <si>
    <t>24.140.00</t>
  </si>
  <si>
    <t>CAT: 120H; 320D; 320C; 320L; 924F; 928G; 938F; 938G; 950F; 950G; 960F; D5M</t>
  </si>
  <si>
    <t>CAT: 1R0751; 1R0759</t>
  </si>
  <si>
    <t>WK850/3</t>
  </si>
  <si>
    <t>H178WK</t>
  </si>
  <si>
    <t>KC134</t>
  </si>
  <si>
    <t>PSC745</t>
  </si>
  <si>
    <t>FBD745</t>
  </si>
  <si>
    <t>P8264</t>
  </si>
  <si>
    <t>FCD2289</t>
  </si>
  <si>
    <t>FF5321</t>
  </si>
  <si>
    <t>PERI355</t>
  </si>
  <si>
    <t>P551315</t>
  </si>
  <si>
    <t>24.141.00</t>
  </si>
  <si>
    <t>VOLVO EQUIPMENTS: BL60; BL61; BL70; BL71; BL86; EC290B; L110E; L120E; L50E; L60E; L70E; L90E</t>
  </si>
  <si>
    <t>VOLVO EQUIPMENTS: 11708555</t>
  </si>
  <si>
    <t>WK930/5</t>
  </si>
  <si>
    <t>H158WK</t>
  </si>
  <si>
    <t>PSC555</t>
  </si>
  <si>
    <t>FF5645</t>
  </si>
  <si>
    <t>P550662</t>
  </si>
  <si>
    <t>24.142.C0</t>
  </si>
  <si>
    <t xml:space="preserve">DAF: CF85; XF105; </t>
  </si>
  <si>
    <t>1433649; 11110683</t>
  </si>
  <si>
    <t xml:space="preserve">PL420X </t>
  </si>
  <si>
    <t>H710WK</t>
  </si>
  <si>
    <t>KC652D</t>
  </si>
  <si>
    <t>PSD163</t>
  </si>
  <si>
    <t>FCD2211</t>
  </si>
  <si>
    <t>FS19769</t>
  </si>
  <si>
    <t>P559118</t>
  </si>
  <si>
    <t>24.143.00</t>
  </si>
  <si>
    <t>VOLVO: VM330 2012&gt; E SCANIA: T112H, T142 2004&gt; Nº ORIGINAL RACOR: R9030M - Nº ORIGINAL SCANIA: 1393640</t>
  </si>
  <si>
    <t>WK1060/1</t>
  </si>
  <si>
    <t>H7090WK30</t>
  </si>
  <si>
    <t>KC124</t>
  </si>
  <si>
    <t>PSD470/6</t>
  </si>
  <si>
    <t>FBS470/1</t>
  </si>
  <si>
    <t>PS9025</t>
  </si>
  <si>
    <t>FCD3090</t>
  </si>
  <si>
    <t>FS19932</t>
  </si>
  <si>
    <t>P550747</t>
  </si>
  <si>
    <t>24.145.00</t>
  </si>
  <si>
    <t>VOLKSWAGEN: AMAROK 2.0 16V TDI TURBO DIESEL - (HIGHLINE / TRENDLINE / CD / SE / CS) - AUTOMÁTICO / MECÂNICO CDBA / CDCA (10-);</t>
  </si>
  <si>
    <t>WK9016</t>
  </si>
  <si>
    <t>H345WK</t>
  </si>
  <si>
    <t>KL787</t>
  </si>
  <si>
    <t>FCI1274</t>
  </si>
  <si>
    <t>FBI1274</t>
  </si>
  <si>
    <t>P10695</t>
  </si>
  <si>
    <t>FCD0919</t>
  </si>
  <si>
    <t>FF5874</t>
  </si>
  <si>
    <t>24.146.00</t>
  </si>
  <si>
    <t>VOLVO: FH 400, FH 440, FH 480 (TRACTOR); FH 520 (TRACTOR E RIGIDO) - D13A (07-) / FM 400, FM 440, FM 480 (TRACTOR E RIGIDO) - D13A (07-) (TODOS DIESEL)</t>
  </si>
  <si>
    <t>WK11001X</t>
  </si>
  <si>
    <t>H328WK</t>
  </si>
  <si>
    <t>PSD261</t>
  </si>
  <si>
    <t>FBS261</t>
  </si>
  <si>
    <t>FCD30122</t>
  </si>
  <si>
    <t>FS19920</t>
  </si>
  <si>
    <t>P954895</t>
  </si>
  <si>
    <t>24.149.00</t>
  </si>
  <si>
    <t>MBB: SPRINTER 311 CDI, 312 CDI, 313 CDI, 415 CDI - OM651 (13-)</t>
  </si>
  <si>
    <t>WK820/18</t>
  </si>
  <si>
    <t>H413WK</t>
  </si>
  <si>
    <t>PSC884</t>
  </si>
  <si>
    <t>FBD884</t>
  </si>
  <si>
    <t>FCD2184</t>
  </si>
  <si>
    <t>24.151.00</t>
  </si>
  <si>
    <t>MB: Sprinter 416  2.2 16V (2020- &gt;); Sprinter 311  2.2 16V (2018- &gt;); GLK220 2.2 (2013- 2015)</t>
  </si>
  <si>
    <t>MB: A6510902852</t>
  </si>
  <si>
    <t>WK820/17</t>
  </si>
  <si>
    <t>H406WK</t>
  </si>
  <si>
    <t>PSC852</t>
  </si>
  <si>
    <t>PS12355</t>
  </si>
  <si>
    <t>FCD2190</t>
  </si>
  <si>
    <t>24.154.00</t>
  </si>
  <si>
    <t>LIEBHERR: LTM Série; L566 (460); L576; L580 Tier 4F; ; LH22C Litronic (Tipo 1209) / LIEBHERR MOTORES: D934L; D934S; D936L; D946L</t>
  </si>
  <si>
    <t>LIEBHERR: 10044303; 10429946</t>
  </si>
  <si>
    <t>WK1150/2</t>
  </si>
  <si>
    <t>H561WK</t>
  </si>
  <si>
    <t>FF5856</t>
  </si>
  <si>
    <t>24.156.00</t>
  </si>
  <si>
    <t>LAND ROVER: FREELANDER 2.2 16V ED4 TDI (09/10-)</t>
  </si>
  <si>
    <t>LR001313</t>
  </si>
  <si>
    <t>WK12001</t>
  </si>
  <si>
    <t>H346WK</t>
  </si>
  <si>
    <t>FCI779</t>
  </si>
  <si>
    <t>FCD0940</t>
  </si>
  <si>
    <t>24.157.00</t>
  </si>
  <si>
    <t>VOLVO: FM 370 TRACTOR DIESEL - D13A (08-)</t>
  </si>
  <si>
    <t>WK10006Z</t>
  </si>
  <si>
    <t>H392WK</t>
  </si>
  <si>
    <t>FS19966</t>
  </si>
  <si>
    <t>P550913</t>
  </si>
  <si>
    <t>24.157.B0</t>
  </si>
  <si>
    <t>VOLVO:FH460 (2013- &gt;); FH500 (2013- &gt;); FH540 (2013- &gt;); FM370 (2008- &gt;); FM380(2009- &gt;); B360 (2007- &gt;)</t>
  </si>
  <si>
    <t>VOLVO: 21380475; 21764964</t>
  </si>
  <si>
    <t>PSD243</t>
  </si>
  <si>
    <t>R60HDPVOL</t>
  </si>
  <si>
    <t>24.190.00</t>
  </si>
  <si>
    <t>Land Rover: DISCOVERY 5-  3.0 D 4x4 (09/2016 -&gt;); RANGE ROVER 4- 3.0 SDV6 4x4 (08/2012-&gt;); RANGE ROVER 4- 3.0 SDV6 Hybrid 4x4 (10/2013- &gt;); RANGE ROVER 4-3.0 TDV6 4x4 (10/2013) / RANGE ROVER SPORT II- 3.0 SDV6 4x4 (04/2013 - 12/2016); RANGE ROVER SPORT II- 3.0 SDV6 Hybrid 4x4 (12/2014 - 12/2017);  RANGE ROVER SPORT II- 3.0 TDV6 4x4 (04/2013 - 12/2018)</t>
  </si>
  <si>
    <t>Land Rover: LR041978</t>
  </si>
  <si>
    <t>H603WK</t>
  </si>
  <si>
    <t>24.193.00</t>
  </si>
  <si>
    <t>MB: Sprinter 416CDI 2.2 - 163 cv (2020- &gt;); Sprinter 314CDI 2.2 - 163 cv (2020- &gt;); Sprinter 516CDI 2.2 - 163 cv (2020- &gt;)</t>
  </si>
  <si>
    <t>MB: A6510901952; A6510903052; A6510903600</t>
  </si>
  <si>
    <t>WK820/23</t>
  </si>
  <si>
    <t>H412WK</t>
  </si>
  <si>
    <t>PS12358</t>
  </si>
  <si>
    <t>FCD2189</t>
  </si>
  <si>
    <t>24.257.00</t>
  </si>
  <si>
    <t>CASE: 1066; 1466; 1468; 1566; 1568; 1586; 3388; 3488; 3588; 368; 3788; 4166; 4186; 966; 403;453; 100 Hydro; Hydro 10; Hydro 70; Hydro 86</t>
  </si>
  <si>
    <t>CASE: A184774
JOHN DEERE: F041795
CAT: A184774</t>
  </si>
  <si>
    <t>PSC588</t>
  </si>
  <si>
    <t>FF5019</t>
  </si>
  <si>
    <t>P552603</t>
  </si>
  <si>
    <t>24.258.00</t>
  </si>
  <si>
    <t>HITACHI: EX- Serie (Raupenbagger / Crawler Excavator); EX 100WD Isuzu 6BB1 Spec; EX 100WD-3 Isuzu 4BD1T; EX 160WD Isuzu 6BB1; LX- Serie (Radlader / Wheel Loader); LX 145E Isuzu BB 6BG1 TRF; LX 145E-2 Isuzu BB 6BG1 TRF | 01.2006-&gt;; ZX- Serie (Mobilbagger / Wheel Excavator); 200(LC) Isuzu 6BG1 TRA; 200(LC)-E Isuzu 6BG1 TRA; 210(LC)H Isuzu 6BG1 TRA; 210(LC)K Isuzu 6BG1 TRA; 210W Isuzu AA 6BG1 T; 225US(LC) Isuzu 6BG1T TRA03; 225US(LC)-E Isuzu 6BG1T TRA03; 225USR(LC) Isuzu 6BG1T; 225USR(LC)K Isuzu 6BG1T; 225USR-E(LC) Isuzu 6BG1T; 230(LC) Isuzu CC 6BG1 TRA01; 240(LC)H Isuzu CC 6BG1 TRA01; 240(LC)K Isuzu CC 6BG1 TRA01; 250LC(N) Isuzu CC 6BG1; 270LC Isuzu 6BG1TRA02; 280(LC)N Isuzu 6BG1 TRA02; JCB (J.C. BAMFORD); JS / JZ (Hydraulikbagger / Hydraulic Excavators); JS 160 (9802/5770) Isuzu 4BG1 TRA05 Tier 2 | 81 KW / 110 HP; JS 160 AUTO (9802/5740) Isuzu 4BG1-TRA05 Low Emission; JS 160 W-T2 (9802/5690) Isuzu 4BG1-TRA05 Low Emission; JS 220, HD, L.Reach, XD (9802/5820) Isuzu 6BG1 TRB05 Tier 2 | 102 KW / 139 HP; JZ 140 (9802/5730) Isuzu 4BG1-TRA04 Tier 2 Low Em | 72 KW / 98 HP</t>
  </si>
  <si>
    <t xml:space="preserve">HITACHI: 4206080; 4616545
</t>
  </si>
  <si>
    <t>WK9059</t>
  </si>
  <si>
    <t>H530WK</t>
  </si>
  <si>
    <t>FF5108</t>
  </si>
  <si>
    <t>P552564</t>
  </si>
  <si>
    <t>24.264.00</t>
  </si>
  <si>
    <t>Filtro Blindado do Combustível</t>
  </si>
  <si>
    <t>BOMAG: MPH 100 GMC / 100 R GMC; GROVE: 2535 Detroit 6V53, HL 150, RT65S, TR740, RT755, RT865; KOMATSU: 222G / 229G, 252FT; SULLAIR: 750D, 750Q; TEREX: 82-20, 82-30, 700A, 750 Detroit 8V71, TS24;</t>
  </si>
  <si>
    <t>KOMATSU: 135968
BOMAG: 853535036</t>
  </si>
  <si>
    <t>WK962/11</t>
  </si>
  <si>
    <t>H185WK</t>
  </si>
  <si>
    <t>KC216</t>
  </si>
  <si>
    <t>FF5207</t>
  </si>
  <si>
    <t>P550915</t>
  </si>
  <si>
    <t>24.265.00</t>
  </si>
  <si>
    <t>KOMATSU: 445E; 630E; 685E; 780E; 930E / TEREX: S32; S35; 5528; 5540; 90C; D800; HMK260</t>
  </si>
  <si>
    <t>KOMATSU: VE0047
TEREX: 102660; TP959</t>
  </si>
  <si>
    <t>H201WK</t>
  </si>
  <si>
    <t>FF5037</t>
  </si>
  <si>
    <t>P550959</t>
  </si>
  <si>
    <t>24.272.00</t>
  </si>
  <si>
    <t>CATERPILLAR: D5M LGP; D6M LGP; 320; 120H; 325B; 525B; 539; 950G; Charllenger 35-45</t>
  </si>
  <si>
    <t>CAT: 1R0753</t>
  </si>
  <si>
    <t>WK970/2</t>
  </si>
  <si>
    <t>H516WK</t>
  </si>
  <si>
    <t>PSC746</t>
  </si>
  <si>
    <t>FBD746</t>
  </si>
  <si>
    <t>FF5322</t>
  </si>
  <si>
    <t>P551312</t>
  </si>
  <si>
    <t>24.274.00</t>
  </si>
  <si>
    <t>CATERPILLAR: 140H; 143H; 235; 245 série, 330; 3406 série; 3412 sérire; 845G; 972G; 966G;  980F</t>
  </si>
  <si>
    <t>CAT: 4N5823; 2Y8675; 2W2134</t>
  </si>
  <si>
    <t>WK11102/5</t>
  </si>
  <si>
    <t>H170WK</t>
  </si>
  <si>
    <t>KC29</t>
  </si>
  <si>
    <t>PSC085</t>
  </si>
  <si>
    <t>FBD085</t>
  </si>
  <si>
    <t>P3376</t>
  </si>
  <si>
    <t>FF211</t>
  </si>
  <si>
    <t>P555823</t>
  </si>
  <si>
    <t>24.276.00</t>
  </si>
  <si>
    <t>KOMATSU: HD325-6; HD465-7; HD605-7; HM400-1; D155AX-5; D275A-5; D275AX-5; D375A-5; PC1250-7; WA700-3</t>
  </si>
  <si>
    <t>CUMMINS: 3089916</t>
  </si>
  <si>
    <t>PL601/3</t>
  </si>
  <si>
    <t>H574WK</t>
  </si>
  <si>
    <t>PSD987/1</t>
  </si>
  <si>
    <t>PS10979</t>
  </si>
  <si>
    <t>FS1006</t>
  </si>
  <si>
    <t>P552006</t>
  </si>
  <si>
    <t>24.278.00</t>
  </si>
  <si>
    <t xml:space="preserve">NEW HOLLAND: 4635 3-1995; 4835; 6635; 7635; TD60D; TD70D; TD75D; TD95D; TD80D PLUS HC; TD80D; TD90D PLUS HC; TD95D PLUS HC; TL65, TL70; TL75; TL80; TL90; TL100; TL80 /CASE: JX100U; JX70U; JX80U; JX90U; L60; L65; L75  </t>
  </si>
  <si>
    <t>NEW HOLLAND: 19305811; 84217953</t>
  </si>
  <si>
    <t>WK9029</t>
  </si>
  <si>
    <t>H289WK</t>
  </si>
  <si>
    <t>PSC504</t>
  </si>
  <si>
    <t>FS19504</t>
  </si>
  <si>
    <t>P502486</t>
  </si>
  <si>
    <t>24.304.01</t>
  </si>
  <si>
    <t>VOLVO: ZL 402 C ; ZL 502 C; L20B; L25B; L25F; L30B; L32; L32B; L35; L35B / IVECO BUS: crossway 10.6/ 12/ 13  / ATLAS: AR52E; AR65; AR72E</t>
  </si>
  <si>
    <t>VOLVO: 2905303; 8299133</t>
  </si>
  <si>
    <t>WK712/2</t>
  </si>
  <si>
    <t>H30WK01</t>
  </si>
  <si>
    <t>FF5040</t>
  </si>
  <si>
    <t>P550345</t>
  </si>
  <si>
    <t>24.308.00</t>
  </si>
  <si>
    <t>FIAT ALLIS: FL1414C; A20; AD10; AD14 B/C; AD18; AD20; AD7D; AD9; ADDB14; BD10B; BD14; BD14B; BD14L; FE16; FE14; FE18R; FE20; FE24; FE28; FE40; FE40L; FE45; S15; SL15; FG75; FG75A; FG85A; FG95; FG85; FG95; FL14;D7; FD5; FL5; FD20; FR12C /  New Holland: 7630 Iveco BSD450T (1993-&gt;); 7830 Iveco BSD666 (1993-&gt;); 8030 Iveco BSD675 (1993-&gt;); 8630 Iveco 8365-5T (1993-&gt;); 8830 Iveco 8365-5T (1993-&gt;) /  FIAT: 120 (1978-1984); 130 8.3 L 12V (1977-1978); 140 8.3 L 12V  (1978-1979); 190E/F/H (1985- &gt;); 210S (1985- &gt;)</t>
  </si>
  <si>
    <t>FIAT: 4671001; 7121213; 7111677; 7122729 / IVECO: 1909103</t>
  </si>
  <si>
    <t>WK1162</t>
  </si>
  <si>
    <t>H19WK02</t>
  </si>
  <si>
    <t>KC4</t>
  </si>
  <si>
    <t>PSC100</t>
  </si>
  <si>
    <t>FBD100</t>
  </si>
  <si>
    <t>P4105</t>
  </si>
  <si>
    <t>FCD2170</t>
  </si>
  <si>
    <t>FF5039</t>
  </si>
  <si>
    <t>P551605</t>
  </si>
  <si>
    <t>24.310.00</t>
  </si>
  <si>
    <t>ATLAS; CASE; CATERPILLAR; DYNAPAC; KOMATSU;</t>
  </si>
  <si>
    <t>Caterpillar: 9Y4402; Cummins: 154709; 252811; 3315844;</t>
  </si>
  <si>
    <t>WK950/3</t>
  </si>
  <si>
    <t>H19WK01</t>
  </si>
  <si>
    <t>KC114</t>
  </si>
  <si>
    <t>PSC744</t>
  </si>
  <si>
    <t>FBD744</t>
  </si>
  <si>
    <t>P1104</t>
  </si>
  <si>
    <t xml:space="preserve">FCD2208 </t>
  </si>
  <si>
    <t>FF105</t>
  </si>
  <si>
    <t>PER53</t>
  </si>
  <si>
    <t>P550105</t>
  </si>
  <si>
    <t>WK950/13</t>
  </si>
  <si>
    <t>H169WK</t>
  </si>
  <si>
    <t>FCD2208</t>
  </si>
  <si>
    <t>FF185</t>
  </si>
  <si>
    <t>P557440</t>
  </si>
  <si>
    <t>24.314.00</t>
  </si>
  <si>
    <t>CASE: 115CL, 115P; 125CK; 125PB; 160P; 170CK; 220B; 300CK; 350CK / VOLVO: EC135B; EC150B; EC180B; EC210B; EC240B; EC290B</t>
  </si>
  <si>
    <t>Deutz: 1174422; 1181245
Volvo: 1181245</t>
  </si>
  <si>
    <t>WK940/19</t>
  </si>
  <si>
    <t>H17WK02</t>
  </si>
  <si>
    <t>KC8</t>
  </si>
  <si>
    <t>PSC663</t>
  </si>
  <si>
    <t>P4100A</t>
  </si>
  <si>
    <t>FCD2292</t>
  </si>
  <si>
    <t>FF5709</t>
  </si>
  <si>
    <t>P554620</t>
  </si>
  <si>
    <t>24.323.00</t>
  </si>
  <si>
    <t>VOLVO: CAMINHÕES E ÔNIBUS-TODOS (6888794); PÁ CARREGADEIRA L90 - MOTOR TD61G / FORD:CARGO - CUMMINS / VOLKSWAGENC: TODOS (3903640) SISTEMA SECUNDÁRIO / DEUTZ / FIAT CAMINHÕES / MWM / VOLKSWAGENC</t>
  </si>
  <si>
    <t xml:space="preserve">72430049; 84557099; </t>
  </si>
  <si>
    <t>WK723</t>
  </si>
  <si>
    <t>H60WK07</t>
  </si>
  <si>
    <t>KC24</t>
  </si>
  <si>
    <t>PSC72/2</t>
  </si>
  <si>
    <t>FBD72/2</t>
  </si>
  <si>
    <t>P4102</t>
  </si>
  <si>
    <t>FCD2045B</t>
  </si>
  <si>
    <t>FF5074</t>
  </si>
  <si>
    <t xml:space="preserve">RC344 </t>
  </si>
  <si>
    <t>P553004</t>
  </si>
  <si>
    <t>24.326.00</t>
  </si>
  <si>
    <t>ALLIS-CHALMERS: 5015; 5020; 5030; 5220; 5230/ BOBCAT; BAP7 / CASE; 1818; 1825; CK13; CK15; CK36; CK62 / CUMMIS: C25D5P /HITACHI: EX24;  EX35-2 / HOLDER TRACTORS; 2-42;  240;  330;  340 / JOHN DEERE; 1250; 1450; 2520; 2720 / KAWASAKI:  25Z;  30Z;  35Z; 5ZII;  40Z / KUBOTA; AM3300; B2420; D1101; D1102; D1105; D1105E; D1301; D1302; D1402;  D722; D722E; D750B;  D850;  D950; DC-70G; GV1125Q60; GV3170;  GV3170SW; GV3190Q; GV3250QSW; KH008-1; KH012; KH014; KH015; KH024; KH026; KH030; KH031; KH033; KH035; KH036; KH040; KH041; KH050; KH066; KH090;  KH10; KH101; KH10D; KH12FD; KH130;  KH14;  KH15; KH151;  KH16; KH16W; KH170; KH170L; KH191;  KH1D;  KH31;  KH35;  KH36;  KH41;  KH50;  KH51;  KH55;  KH60;  KH61;  KH66;  KH70;  KH8; KH8-1;  KH90;  KH91;  KH91; KJ3150VX;  KJS130D; KJS130DX; KJS150VX; KJT130; KJT180V; KJT210V; KJT210VX; KJT270FXSW; KX012; KX018-4; KX057-4; KX080-3; KX080-4; KX101; KX101-3;  KX101H; KX121; KX121-2; KX121-2; X121-2S; X121-3S; KX151; KX151H; KX155; KX161; KX161-2; KX161-2S;  KX36; KX41-2;  KX41-2S;  KX412SV;  KX41H;  KX61; KX61-2;  KX71;  KX71; KX71-2; KX71H; KX91-2; L175 DT;  L185; L185DT; L185FP; L185TP; L2050; 2050DT; L2050F;  L225; L225DT; L2350;  L245; L245DTP;  L245FP;  L245HC;  L245TP;  L2500;  L295;  L295DT;  L345; L345W; M6040SU;  R310;  R350;  R400; R400B;  R410;  R420;  R510;  R520; RA300; U15-3; U17-3; A U35; U48-4; U50-3; U55-4; V1908; Z482E/ LIEBHERR:  L506;  L507;  L508;  L509 / MASSEY FERGUSON: MF1035DI; MF1035DI; MF5245DI; MF7250DI/ NEW HOLLAND; T3010; T3020; T3030; T3040</t>
  </si>
  <si>
    <t>FIAT: 74531050; 745310508
JOHN DEERE: TT223816
NEW HOLLAND: 87289612</t>
  </si>
  <si>
    <t>WK812</t>
  </si>
  <si>
    <t>H173WK</t>
  </si>
  <si>
    <t>KC99</t>
  </si>
  <si>
    <t>FF42003</t>
  </si>
  <si>
    <t>P550127</t>
  </si>
  <si>
    <t>24.329.00</t>
  </si>
  <si>
    <t>IVECO: EURO TECH; EURO TRAKKER (98-&gt;)</t>
  </si>
  <si>
    <t>1907640, 1930953, 1931606</t>
  </si>
  <si>
    <t>WK724</t>
  </si>
  <si>
    <t>H60WK09</t>
  </si>
  <si>
    <t>KC113</t>
  </si>
  <si>
    <t>PSC73/1</t>
  </si>
  <si>
    <t>FBD73/1</t>
  </si>
  <si>
    <t>P4587</t>
  </si>
  <si>
    <t>FCD2046</t>
  </si>
  <si>
    <t>FF5284</t>
  </si>
  <si>
    <t>24.336.00</t>
  </si>
  <si>
    <t>VOLVO: FH 12 GLOBETROTTER ( 420 799, 420 799-9 )</t>
  </si>
  <si>
    <t>20805349; 420799; 8193841;</t>
  </si>
  <si>
    <t>WK962/7</t>
  </si>
  <si>
    <t>H18WK03</t>
  </si>
  <si>
    <t>KC75</t>
  </si>
  <si>
    <t>PSC79</t>
  </si>
  <si>
    <t>FBD79</t>
  </si>
  <si>
    <t>P5694</t>
  </si>
  <si>
    <t>FCD2051</t>
  </si>
  <si>
    <t>FF5272</t>
  </si>
  <si>
    <t>RC339</t>
  </si>
  <si>
    <t>P550372</t>
  </si>
  <si>
    <t>24.341.00</t>
  </si>
  <si>
    <t>SCANIA: TRUCKS: SÉRIE  G; P; R; T;  K - DETALHES MODELOS E MOTOR VIDE CATÁLOGO</t>
  </si>
  <si>
    <t>WK940/10</t>
  </si>
  <si>
    <t>H17WK11</t>
  </si>
  <si>
    <t>KC441</t>
  </si>
  <si>
    <t>PSC82</t>
  </si>
  <si>
    <t>FBD82</t>
  </si>
  <si>
    <t>P9422</t>
  </si>
  <si>
    <t>FCD2294</t>
  </si>
  <si>
    <t>FF5424</t>
  </si>
  <si>
    <t>RC381</t>
  </si>
  <si>
    <t>P550515</t>
  </si>
  <si>
    <t>24.342.00</t>
  </si>
  <si>
    <t>VOLVO: FH12 340 E FH12 380 COM MOTOR D12D D E01/03&gt;, FH 12 400, 440 E 480 COM MOTOR D13A DE 11/06&gt; - NÚMERO ORIGINAL VOLVO: 20430751.</t>
  </si>
  <si>
    <t>H200WDK</t>
  </si>
  <si>
    <t>FF5507</t>
  </si>
  <si>
    <t>P550529</t>
  </si>
  <si>
    <t>24.347.00</t>
  </si>
  <si>
    <t>IVECO: Eurocargo 170E25 (2009- &gt;); 170E25T (2009- &gt;); 240E25 (2009- &gt;); 240E25S (2009- &gt;); 260E25 (2009- &gt;); 170E22 (2004- 2006); 230E22 (2004- 2006); 230E24 (2004- 2006) / DAF: CF65.180 (2001- &gt;); CF65.220(2001- &gt;); CF65.250 (2001- &gt;); CF65.290(2006- &gt;).</t>
  </si>
  <si>
    <t>IVECO: 504033400; 503120786</t>
  </si>
  <si>
    <t>H414WKD421</t>
  </si>
  <si>
    <t>KC188</t>
  </si>
  <si>
    <t>PSC403</t>
  </si>
  <si>
    <t>FBD403</t>
  </si>
  <si>
    <t>FCD2098</t>
  </si>
  <si>
    <t>FF5421</t>
  </si>
  <si>
    <t>P550881</t>
  </si>
  <si>
    <t>24.349.00</t>
  </si>
  <si>
    <t>WK950/21</t>
  </si>
  <si>
    <t>H18WK05</t>
  </si>
  <si>
    <t>KC440</t>
  </si>
  <si>
    <t>PSC75</t>
  </si>
  <si>
    <t>FBD75</t>
  </si>
  <si>
    <t>P9454</t>
  </si>
  <si>
    <t>FCD2093</t>
  </si>
  <si>
    <t>FF5485</t>
  </si>
  <si>
    <t>24.351.00</t>
  </si>
  <si>
    <t>CUMMINS: MOTORES DAS FAMÍLIAS "B" E "C" ( 3 903 202 ) / AGRALE  /  FORD: F 1000, 2000, 4000, 12000 ( TURBO À PARTIR DE 1992 )  /   MWM  / VOLKSWAGEN: KOMBI DIESEL ( 068 127 177 )</t>
  </si>
  <si>
    <t>5951661, 71736113</t>
  </si>
  <si>
    <t>WK736</t>
  </si>
  <si>
    <t>H70WK02</t>
  </si>
  <si>
    <t>KC18</t>
  </si>
  <si>
    <t>PSC496</t>
  </si>
  <si>
    <t>FBD496</t>
  </si>
  <si>
    <t>FCD2058</t>
  </si>
  <si>
    <t>FF5060</t>
  </si>
  <si>
    <t>P550588</t>
  </si>
  <si>
    <t>24.360.00</t>
  </si>
  <si>
    <t xml:space="preserve">PEUGEOT: PICK UP DIESEL C/ BOMBA CAV ( 1906-08, 1906-13 ) /  RENAULT: PICK UP DIESEL C/ BOMBA CAV ( 0855 589 600, 6005 000894, 6005 07 409, 7700 858 863, 7701 010 100, 7701 016 181 ) </t>
  </si>
  <si>
    <t>1901687, 1901929; 1851890M91; 1909100;</t>
  </si>
  <si>
    <t>P917X</t>
  </si>
  <si>
    <t>E75KD42</t>
  </si>
  <si>
    <t>KX23</t>
  </si>
  <si>
    <t>PC2/155</t>
  </si>
  <si>
    <t>FBS2/155</t>
  </si>
  <si>
    <t>C1191</t>
  </si>
  <si>
    <t>FCD0296</t>
  </si>
  <si>
    <t>FF167A</t>
  </si>
  <si>
    <t>RC149A</t>
  </si>
  <si>
    <t>P556245</t>
  </si>
  <si>
    <t>24.361.00</t>
  </si>
  <si>
    <t>BOMBA ROTATIVA CAV</t>
  </si>
  <si>
    <t>1896287M91; 73403484; 47377748;</t>
  </si>
  <si>
    <t>P945X</t>
  </si>
  <si>
    <t>E76KD42</t>
  </si>
  <si>
    <t>KX24</t>
  </si>
  <si>
    <t>PC2/255</t>
  </si>
  <si>
    <t>FBS2/255</t>
  </si>
  <si>
    <t>C4163</t>
  </si>
  <si>
    <t>FCD0796</t>
  </si>
  <si>
    <t>FF4052a</t>
  </si>
  <si>
    <t xml:space="preserve">RC253A </t>
  </si>
  <si>
    <t>P556287</t>
  </si>
  <si>
    <t>24.365.00</t>
  </si>
  <si>
    <t>FORD: VAN P 100 MOTOR 1.8 DIESEL, RANGER</t>
  </si>
  <si>
    <t>WK842/3</t>
  </si>
  <si>
    <t>H70WK04</t>
  </si>
  <si>
    <t>KL41</t>
  </si>
  <si>
    <t>PSC498</t>
  </si>
  <si>
    <t xml:space="preserve">FBD498 </t>
  </si>
  <si>
    <t>P4836</t>
  </si>
  <si>
    <t>FCD2066</t>
  </si>
  <si>
    <t>P552440</t>
  </si>
  <si>
    <t>24.365.01</t>
  </si>
  <si>
    <t>FORD: F250 4.2 Sprint 6.0 (2003-2006)/ GM: S10 2.8 MWM (2002- &gt;) / VOLKSWAGEN: EURO VAN T4 2.4 L D; Caravelle 2.4 DIESEL;</t>
  </si>
  <si>
    <t>FORD: BG1T9W365AA</t>
  </si>
  <si>
    <t>WK842/4</t>
  </si>
  <si>
    <t>H70WK12</t>
  </si>
  <si>
    <t>KL75</t>
  </si>
  <si>
    <t>PSC498/1</t>
  </si>
  <si>
    <t>FBD498/1</t>
  </si>
  <si>
    <t>P5328</t>
  </si>
  <si>
    <t>FCD2067</t>
  </si>
  <si>
    <t>FF5312</t>
  </si>
  <si>
    <t>24.366.C0</t>
  </si>
  <si>
    <t>HYUNDAI: H100 DIESEL / MITSUBISHI: L200 2.5; L300 2.5 D</t>
  </si>
  <si>
    <t>WK940/11 / WK940/11x</t>
  </si>
  <si>
    <t>H17WK09</t>
  </si>
  <si>
    <t>KC46</t>
  </si>
  <si>
    <t>PSC990</t>
  </si>
  <si>
    <t>FBD998</t>
  </si>
  <si>
    <t>P4886</t>
  </si>
  <si>
    <t>JFC901</t>
  </si>
  <si>
    <t>FF5160</t>
  </si>
  <si>
    <t>P550390</t>
  </si>
  <si>
    <t>24.370.00</t>
  </si>
  <si>
    <t xml:space="preserve">CASE: Serie 10;  9013; CX28 / KOMATSU: GD Serie; PC Serie; PW Serie; WA Serie </t>
  </si>
  <si>
    <t>KOMATSU: 6003116220
CASE: 282203A1</t>
  </si>
  <si>
    <t>WK815/80</t>
  </si>
  <si>
    <t>H168WK</t>
  </si>
  <si>
    <t>P553240</t>
  </si>
  <si>
    <t>24.374.00</t>
  </si>
  <si>
    <t>TOYOTA: LAND CRUISER / HILUX 3.0(98-&gt;)</t>
  </si>
  <si>
    <t>WK828X</t>
  </si>
  <si>
    <t>H17WK07</t>
  </si>
  <si>
    <t>KC83</t>
  </si>
  <si>
    <t>PSC999</t>
  </si>
  <si>
    <t>FBD999</t>
  </si>
  <si>
    <t>P4922</t>
  </si>
  <si>
    <t>JFC215</t>
  </si>
  <si>
    <t>FF5159</t>
  </si>
  <si>
    <t>P550385</t>
  </si>
  <si>
    <t>24.384.00</t>
  </si>
  <si>
    <t>CASE: 1896; 2096 / BOB CAT: 225; 231; 250; 319; 323; 329; 425; 430; 430ZHS; 435ZHS; 453C; 775; 8300; 8400; 873H; A220; X220; X231; X320; 1102D; 1288; 580; 602BD; 602D; LS170; SV170; SV185 / NEW HOLLAND: C175; C190; L150; L160; L170; L175; L190; L218; L220; L465; LS140; LS150; LS160; LX465; LX485; LX565; LX665</t>
  </si>
  <si>
    <t>CASE: J911213; BOB CAT:6667352</t>
  </si>
  <si>
    <t>WK715/1x</t>
  </si>
  <si>
    <t>PSC253</t>
  </si>
  <si>
    <t>FCD2266</t>
  </si>
  <si>
    <t>FS1235</t>
  </si>
  <si>
    <t>P550690</t>
  </si>
  <si>
    <t>24.392.00</t>
  </si>
  <si>
    <t>HYUNDAI: H 100 Diesel / MITSUBISHI: L200 2.5; L300 2.5 D</t>
  </si>
  <si>
    <t>HYUNDAI: 31962-04010; 31973-44000</t>
  </si>
  <si>
    <t>WK940/11x</t>
  </si>
  <si>
    <t>PSC998</t>
  </si>
  <si>
    <t>P502158</t>
  </si>
  <si>
    <t>24.395.00</t>
  </si>
  <si>
    <t>2994048, 500315480, 504082384, 1931108, 84160468, 84818744, BH2X9155AA</t>
  </si>
  <si>
    <t>WK1149</t>
  </si>
  <si>
    <t>H152WK</t>
  </si>
  <si>
    <t>KC171</t>
  </si>
  <si>
    <t>PSC404</t>
  </si>
  <si>
    <t>FBD404</t>
  </si>
  <si>
    <t>P9421</t>
  </si>
  <si>
    <t>FCD2224</t>
  </si>
  <si>
    <t>FF5471</t>
  </si>
  <si>
    <t>P763995</t>
  </si>
  <si>
    <t>24.395.01</t>
  </si>
  <si>
    <t>IVECO: STRALIS CURSOR 10, 13; TRAKKER CURSOR 13</t>
  </si>
  <si>
    <t>2995711, 504112123</t>
  </si>
  <si>
    <t>WDK940/7</t>
  </si>
  <si>
    <t>H201WDK</t>
  </si>
  <si>
    <t>FCD2235</t>
  </si>
  <si>
    <t>24.396.00</t>
  </si>
  <si>
    <t>2991585, 504082383</t>
  </si>
  <si>
    <t>H18WDK04</t>
  </si>
  <si>
    <t>P550472</t>
  </si>
  <si>
    <t>24.398.00</t>
  </si>
  <si>
    <t>NISSAN: Pathfinder 2.5 DCI(2006-2009); Frontier 2.5 16V 206cv (2012 &gt;); Frontier 2.5 16V 206cv Turbo Diesel (2010-2011); Frontier 2.5 172 cv (2018-2012)</t>
  </si>
  <si>
    <t>1640501T0A; 1640501T70</t>
  </si>
  <si>
    <t>WK850/1</t>
  </si>
  <si>
    <t>KC239</t>
  </si>
  <si>
    <t>PSC995</t>
  </si>
  <si>
    <t>FBD995</t>
  </si>
  <si>
    <t>P5162</t>
  </si>
  <si>
    <t>JFC197</t>
  </si>
  <si>
    <t>FF5368</t>
  </si>
  <si>
    <t>P502167</t>
  </si>
  <si>
    <t>24.411.00</t>
  </si>
  <si>
    <t>TOYOTA: Hilux; Land Cruiser; Bandeirante; FJ Cruiser;</t>
  </si>
  <si>
    <t xml:space="preserve">2330364010; 2330356040; 1861000653; </t>
  </si>
  <si>
    <t>WK8052Z</t>
  </si>
  <si>
    <t>KC135</t>
  </si>
  <si>
    <t>FF5412</t>
  </si>
  <si>
    <t>24.416.00</t>
  </si>
  <si>
    <t>MERCEDES BENZ: SPRINTER 311, 313 (MOTOR OM 611)</t>
  </si>
  <si>
    <t>WK842/13</t>
  </si>
  <si>
    <t>H70WK11</t>
  </si>
  <si>
    <t>KL100/2</t>
  </si>
  <si>
    <t>PSC881</t>
  </si>
  <si>
    <t>FBD881</t>
  </si>
  <si>
    <t>P9436</t>
  </si>
  <si>
    <t>FCD2158/1</t>
  </si>
  <si>
    <t>24.423.00</t>
  </si>
  <si>
    <t>MITSUBISHI: PAJERO DAKAR 3.2L (2008&gt;..), PAJERO FULL 3.2 (2014&gt;...), PAJERO GLS 3.2L (2000&gt;2006), PAJERO HPE 3.2 DID-D L (2013&gt;...), PAJERO HPE FULL GLS 3.2L (2000&gt;2011)</t>
  </si>
  <si>
    <t>WK940/37X</t>
  </si>
  <si>
    <t>H237WK</t>
  </si>
  <si>
    <t>KC208</t>
  </si>
  <si>
    <t>PSC525</t>
  </si>
  <si>
    <t>FBD525</t>
  </si>
  <si>
    <t>P9529</t>
  </si>
  <si>
    <t>JFC574</t>
  </si>
  <si>
    <t>24.427.00</t>
  </si>
  <si>
    <t>LAND ROVER: RANGE ROVER III 4.0 HSE V8 (2002&gt;2005)</t>
  </si>
  <si>
    <t>WK841/1</t>
  </si>
  <si>
    <t>H150WK</t>
  </si>
  <si>
    <t>KL160</t>
  </si>
  <si>
    <t>PSC449</t>
  </si>
  <si>
    <t>P9554</t>
  </si>
  <si>
    <t>FCD2080</t>
  </si>
  <si>
    <t>24.443.00</t>
  </si>
  <si>
    <t>HYUNDAI: Tucson 2.0 16V - 112 cv - 2005</t>
  </si>
  <si>
    <t>319222E900; 319223A850;</t>
  </si>
  <si>
    <t>WK824/1</t>
  </si>
  <si>
    <t>H70WK13</t>
  </si>
  <si>
    <t>KC229</t>
  </si>
  <si>
    <t>PSC901/1</t>
  </si>
  <si>
    <t>PS10235</t>
  </si>
  <si>
    <t>JFCH09</t>
  </si>
  <si>
    <t>24.444.00</t>
  </si>
  <si>
    <t>NISSAN: NOVA FORNTIER 2.5 16V TD ELETRÔNICA LE 4X4 MT / LE 4X4 AT / 2.5 16V TD ELETRÔNICA XE 4X2 / SE 4X2 / SE 4X4 (01/08-) / PATHFINDER 2.5 DCI DIESEL (06-)</t>
  </si>
  <si>
    <t>WK940/22</t>
  </si>
  <si>
    <t>H240WK</t>
  </si>
  <si>
    <t>KC189</t>
  </si>
  <si>
    <t>PSC993</t>
  </si>
  <si>
    <t>FBD993</t>
  </si>
  <si>
    <t>PS9638</t>
  </si>
  <si>
    <t>FCD2066/3</t>
  </si>
  <si>
    <t>24.445.00</t>
  </si>
  <si>
    <t>KIA CARNIVAL TURBO DIESEL 2.9 16V 2004&gt;2005</t>
  </si>
  <si>
    <t>0K52A23570A; 31390H1970;</t>
  </si>
  <si>
    <t>WK829/3</t>
  </si>
  <si>
    <t>KL446</t>
  </si>
  <si>
    <t>PSC458</t>
  </si>
  <si>
    <t>PS9451</t>
  </si>
  <si>
    <t>FCD2063/1</t>
  </si>
  <si>
    <t>24.454.00</t>
  </si>
  <si>
    <t>LAND ROVER: DISCOVERY 3 2.7 TD V6 24V (09/04-08/09); DISCOVERY 4 3.0 24V V6 DIESEL (09/09-08/10); DISCOVERY 4 3.0 24V V6 DIESEL (09/09-)</t>
  </si>
  <si>
    <t>LR009705 / WJI500020</t>
  </si>
  <si>
    <t>WK8022</t>
  </si>
  <si>
    <t>H432WK</t>
  </si>
  <si>
    <t>PC4/155</t>
  </si>
  <si>
    <t>FCD2167</t>
  </si>
  <si>
    <t>24.461.B0</t>
  </si>
  <si>
    <t>VOLVO: FH 16.540 (2003&gt;); FH 16.540 (2009&gt;); FH 16.540 (2003&gt;); FH 16.540 (2009&gt;); FH 16.540 (2007&gt;); FH 16.550 (2003&gt;); FH 16.550 (2007&gt;); FH 16.580 (2009&gt;); FH 16.580 (2006&gt;); FH 16.600 (200640057); FH 16.610 (2003&gt;); FH 16.660 (200740057); FH 16.660 (2006&gt;); FH 16.700 (2009&gt;); FH12340 (2003&gt;); FH12380 (2003&gt;); FH12420 (2003&gt;); FH12460 (2004&gt;); FH13400 (2005&gt;); FH13420 (2009&gt;); FH13440 (2005&gt;); FH13460 (2009&gt;); FH13480 (2005&gt;); FH13500 (2005&gt;); FH13500 (2007&gt;); FH13500 (2013&gt;); FH13520 (2005&gt;); FH13540 (2013&gt;); FH13550 (2005&gt;); FH13610 (2005&gt;); FM12340 (2003&gt;); FM12380 (2003&gt;); FM12400 (2006&gt;); FM12420 (2003&gt;); FM12440 (2006&gt;); FM12460 (2004&gt;); FM12480 (2006&gt;); FM12520 (2006&gt;); FM460 (2013&gt;); NH12420 (2003&gt;); NH12460 (2004&gt;); B11R B340R (2012&gt;); B11R B380R (2012&gt;); B11R B420R (2012&gt;); B11R B450R (2015&gt;); B12M340 (2004&gt;); B12M340 (2004&gt;); B12R340 (2003&gt;); B12R380 (2003&gt;); B12R420 (2003&gt;); B340R (2012&gt;); B380R (2012&gt;); B420R (2012&gt;); B450E (2015&gt;); BM12340 (2004&gt;)</t>
  </si>
  <si>
    <t>VOLVO: 20514654; 20450423</t>
  </si>
  <si>
    <t>WK940/26</t>
  </si>
  <si>
    <t>H700WK</t>
  </si>
  <si>
    <t>PSD260</t>
  </si>
  <si>
    <t>FBS260</t>
  </si>
  <si>
    <t>R260P</t>
  </si>
  <si>
    <t>P551843</t>
  </si>
  <si>
    <t>24.472.00</t>
  </si>
  <si>
    <t xml:space="preserve">IVECO: Tracker 420 (2006- &gt;); Tracker 380 (2005- &gt;); Tracker 410 (2006- &gt;); Stralis 480 (2012- &gt;) </t>
  </si>
  <si>
    <t>IVECO: 42549295; 504086268</t>
  </si>
  <si>
    <t>KC374D</t>
  </si>
  <si>
    <t>PSD900</t>
  </si>
  <si>
    <t>FS19950</t>
  </si>
  <si>
    <t>R90TDMAX</t>
  </si>
  <si>
    <t>P954925</t>
  </si>
  <si>
    <t>24.477.00</t>
  </si>
  <si>
    <t>VOLVO: FH 460 (2013 -&gt;); FH 500 (2013 -&gt;); FH 540 (2013 -&gt;); FM370 (2008 -&gt;); FM380 (2009 -&gt;); B360S (2007- &gt;)</t>
  </si>
  <si>
    <t>VOLVO: 21764964; 21380475; 20879806</t>
  </si>
  <si>
    <t>KC491C</t>
  </si>
  <si>
    <t>FS20082</t>
  </si>
  <si>
    <t>R60RDRCR01</t>
  </si>
  <si>
    <t>P551838</t>
  </si>
  <si>
    <t>24.478.00</t>
  </si>
  <si>
    <t>JOHN DEERE: 8960; 8670;762A-B; 862B / CASE: STX275; STX325; CPX610 / NEW HOLLAND: 9684; 9282; 9482; 9682</t>
  </si>
  <si>
    <t>JOHN DEERE: RE1600384
NEW HOLLAND: 3329289</t>
  </si>
  <si>
    <t>WK965X</t>
  </si>
  <si>
    <t>PSC289</t>
  </si>
  <si>
    <t>PS8048</t>
  </si>
  <si>
    <t>FCD2287</t>
  </si>
  <si>
    <t>FS1000</t>
  </si>
  <si>
    <t>P551000</t>
  </si>
  <si>
    <t>24.479.00</t>
  </si>
  <si>
    <t>MERCEDES-BENZ; Actros I MP2+MP3 (930, 932, 933, 934) 03-; 1832 BlueTec 4+5  02.2005-&gt;; 1836 BlueTec 4+5  02.2005-&gt;; 1841 BlueTec 4+5  02.2005-&gt;; 1844 BlueTec 4+5  02.2005-&gt;; 1846 BlueTec 4+5  02.2005-&gt;; 1848 BlueTec 4+5  02.2005-&gt;; 1851 BlueTec 4+5  02.2005-&gt;; 1855 BlueTec 4+5  07.2005-&gt;; 1860 BlueTec 4+5  07.2005-&gt;; 2032 BlueTec 4+5  09.2008-&gt;; 2036 BlueTec 4+5  09.2008-&gt;; 2041 BlueTec 4+5  09.2008-&gt;; 2044 BlueTec 4+5  09.2008-&gt;; 2046 BlueTec 4+5  09.2008-&gt;; 2048 BlueTec 4+5  02.2005-&gt;; 2051 BlueTec 4+5  09.2008-&gt;; 2055 BlueTec 4+5  07.2005-&gt;; 2432 BlueTec 4+5  09.2008-&gt;; 2436 BlueTec 4+5  09.2008-&gt;; 2441 BlueTec 4+5  09.2008-&gt;; 2444 BlueTec 4+5  09.2008-&gt;; 2446 BlueTec 4+5  09.2008-&gt;; 2448 BlueTec 4+5  09.2008-&gt;; 2451 BlueTec 4+5  09.2008-&gt;; 2455 BlueTec 4+5  09.2008-&gt;; 2460 BlueTec 4+5  09.2008-&gt;; 2532 BlueTec 4+5  02.2005-&gt;; 2536 BlueTec 4+5  02.2005-&gt;; 2541 BlueTec 4+5  02.2005-&gt;; 2544 BlueTec 4+5  02.2005-&gt;; 2546 BlueTec 4+5  02.2005-&gt;; 2548 BlueTec 4+5  02.2005-&gt;; 2551 BlueTec 4+5  02.2005-&gt;; 2555 BlueTec 4+5  02.2005-&gt;; 2560 BlueTec 4+5  02.2005-&gt;; 2632 BlueTec 4+5  09.2008-&gt;; 2636 BlueTec 4+5  09.2008-&gt;; 2641 BlueTec 4+5  09.2008-&gt;; 2644 BlueTec 4+5  09.2008-&gt;; 2646  04.2003-&gt;12.2008; 2646 BlueTec 4+5  09.2008-&gt;; 2648 BlueTec 4+5  02.2005-&gt;; 2651 BlueTec 4+5  02.2005-&gt;; 2655 BlueTec 4+5  02.2005-&gt;; 2660 BlueTec 4+5  09.2006-&gt;; 2665 BlueTec 4+5  09.2008-&gt;; 3232 BlueTec 4+5  09.2008-&gt;; 3236 BlueTec 4+5  09.2008-&gt;; 3241 BlueTec 4+5  09.2008-&gt;; 3244 BlueTec 4+5  09.2008-&gt;; 3246 BlueTec 4+5  09.2008-&gt;; 3248 BlueTec 4+5  02.2005-&gt;; 3332 BlueTec 4+5  09.2008-&gt;; 3336 BlueTec 4+5  09.2008-&gt;; 3341 BlueTec 4+5  09.2008-&gt;; 3344 BlueTec 4+5  09.2008-&gt;; 3346 BlueTec 4+5  09.2008-&gt;; 3348 BlueTec 4+5  02.2005-&gt;; 3351 BlueTec 4+5  09.2008-&gt;; 3355 BlueTec 4+5  02.2005-&gt;; 3360 BlueTec 4+5  02.2005-&gt;; 3365 BlueTec 4+5  09.2008-&gt;; 4141 BlueTec 4+5  09.2008-&gt;; 4144  04.2003-&gt;12.2008; 4144 BlueTec 4+5  09.2008-&gt;; 4146 BlueTec 4+5  09.2008-&gt;; 4148 BlueTec 4+5  02.2005-&gt;; 4151  BlueTec 5 SLT 07.2006-&gt;12.2008; 4151 BlueTec 4+5  09.2008-&gt;; 4154 BlueTec 5 SLT 07.2006-&gt;12.2008; 4155 BlueTec 4+5 SLT 02.2005-&gt;; 4160 BlueTec 4+5 SLT 09.2008-&gt;; 4160 BlueTec 5 SLT 07.2006-&gt;12.2008; 4165 BlueTec 4+5 SLT 09.2008-&gt;; 5041 BlueTec 4+5  09.2008-&gt;; 5044 BlueTec 4+5  09.2008-&gt;; 5046 BlueTec 4+5  09.2008-&gt;; 5048 BlueTec 4+5  09.2008-&gt;; Atego; 1318 BlueTec 4+5/EEV  02.2006-&gt;12.2011; 1518 BlueTec 4+5/EEV  09.2004-&gt;12.2011; Axor (940, 942, 943, 944, 950, 954) 05-; 2536  01.2012-&gt;; 2540  09.2004-&gt;; 2543  06.2005-&gt;12.2011; 3341K / 3341P / 3341S  01.2012-&gt;; 4143  09.2004-&gt;; SCANIA; Serie G; G 480  10.2007-&gt;12.2017; Serie P; P 250  01.2012-&gt;12.2017; P 320  10.2013-&gt;12.2017; Serie R; R 340  10.2005-&gt;; R 360  10.2007-&gt;12.2017; R 400  01.2012-&gt;12.2017; R 450  10.2013-&gt;12.2017; R 480  01.2007-&gt;; R 560  01.2012-&gt;</t>
  </si>
  <si>
    <t>MB: A0004771702
VOLVO:20754418; 21380500</t>
  </si>
  <si>
    <t>WK1080/6X</t>
  </si>
  <si>
    <t>H7160WK30</t>
  </si>
  <si>
    <t>KC375</t>
  </si>
  <si>
    <t>FS19737</t>
  </si>
  <si>
    <t>PDS194</t>
  </si>
  <si>
    <t>P955607</t>
  </si>
  <si>
    <t>24.503.00</t>
  </si>
  <si>
    <t xml:space="preserve">CASE: 2344; 2366; 2380; 8920; 9350; 9370; 8940; 9370; 9380; 9150; 9260; 9270; 9280; 9390; 9250 / MASSEY FERGUNSON: MF8780; MF34; MF38 </t>
  </si>
  <si>
    <t xml:space="preserve">CASE: 47372223; 84557704
</t>
  </si>
  <si>
    <t>WK950/16</t>
  </si>
  <si>
    <t>KC133</t>
  </si>
  <si>
    <t>PSC172</t>
  </si>
  <si>
    <t>FBD172</t>
  </si>
  <si>
    <t>FT4896</t>
  </si>
  <si>
    <t>FCD2048</t>
  </si>
  <si>
    <t>FS1212</t>
  </si>
  <si>
    <t>PER23-1</t>
  </si>
  <si>
    <t>P558000</t>
  </si>
  <si>
    <t>24.999.03</t>
  </si>
  <si>
    <t>84337381, 84348882</t>
  </si>
  <si>
    <t>WK950/19</t>
  </si>
  <si>
    <t>KC214</t>
  </si>
  <si>
    <t>PSC493</t>
  </si>
  <si>
    <t>FBD493</t>
  </si>
  <si>
    <t>PS10061</t>
  </si>
  <si>
    <t>FCD2099</t>
  </si>
  <si>
    <t>24.999.04</t>
  </si>
  <si>
    <t>IVECO: EURO CARGO (1998&gt;...)</t>
  </si>
  <si>
    <t>84348883, 84360512, 6513263M1</t>
  </si>
  <si>
    <t>WK950/6</t>
  </si>
  <si>
    <t>KC186</t>
  </si>
  <si>
    <t>PSC494</t>
  </si>
  <si>
    <t>FBD494</t>
  </si>
  <si>
    <t>PS5989</t>
  </si>
  <si>
    <t>FCD2057</t>
  </si>
  <si>
    <t>24.A02.00</t>
  </si>
  <si>
    <t>CATERPILLAR: 924H; 924H; 930H; 938H; 953D; 963D; CP54; CP56; CP64; 120M; 12M; 420E; 430E; 450E</t>
  </si>
  <si>
    <t>Caterpillar: 2719385; 2998229
Perkins: 2656F843</t>
  </si>
  <si>
    <t>WDK7001</t>
  </si>
  <si>
    <t>H540WK</t>
  </si>
  <si>
    <t>FCD2268</t>
  </si>
  <si>
    <t>FF261</t>
  </si>
  <si>
    <t>P502504</t>
  </si>
  <si>
    <t>24.A04.00</t>
  </si>
  <si>
    <t>KOMATSU: ; D31EX-22; D31PX-22; D37EX-22; D37PX-22; FD35-10; FD40-10; FD40Z-10; FD45-10; FD50A-10; FD60-10; FD70-10; FD70T-10; FD80-10; FD80T-10; PC130-8; PC138US-8; PC78US-8; PC88MR-8; PW98MR-6; WA100M-6; WA150-6; WA150PZ-6; WA90-6.</t>
  </si>
  <si>
    <t>KOMATSU: 6003113530; 6003193530</t>
  </si>
  <si>
    <t>WK8215</t>
  </si>
  <si>
    <t>FF5638</t>
  </si>
  <si>
    <t>P553995</t>
  </si>
  <si>
    <t>24.A05.B0</t>
  </si>
  <si>
    <t>8003453807280</t>
  </si>
  <si>
    <t>SCANIA: 114; 124;164R; G360; G380; G420; G440; G470; P230; P270; P310; P340; P420; R380; R420; R440; E470; R480; R500; R560; R580; R620; T112E / VOLVO: FH12340; FH12380; FH12420; FM12340; FM12420; NH12340; NH12360; NH12420; NL10320; NL10340; NL12360; NL12360; VM17210; VM17240; VM23210; VM23240 / JOHN DEERE 6850; 744H</t>
  </si>
  <si>
    <t>SCANIA: 1518512: MERCEDES: A4760927201; VOLVO: 20569040</t>
  </si>
  <si>
    <t>WK1156</t>
  </si>
  <si>
    <t>H466WK</t>
  </si>
  <si>
    <t>PS9028</t>
  </si>
  <si>
    <t>FCD3090/2</t>
  </si>
  <si>
    <t>FS19934</t>
  </si>
  <si>
    <t>R9010HPRA</t>
  </si>
  <si>
    <t>24.A06.B0</t>
  </si>
  <si>
    <t>8003453807297</t>
  </si>
  <si>
    <t>FORD: 1215; 1217; 1317; 1415; 1417; 1421; 1422; 1517; 1521; 1615; 1617 / VOLKSWAGEN: 17210EOD; 17230EOD; 17260EOT; 18320EOT; 9150EOD</t>
  </si>
  <si>
    <t>VW: 2TD127491A; 2R0127177D</t>
  </si>
  <si>
    <t>WK947/2</t>
  </si>
  <si>
    <t>H329WK</t>
  </si>
  <si>
    <t>PSD960/1</t>
  </si>
  <si>
    <t>PS6829</t>
  </si>
  <si>
    <t>FCD2052F</t>
  </si>
  <si>
    <t>FS1015</t>
  </si>
  <si>
    <t>S3242</t>
  </si>
  <si>
    <t>24.A07.B0</t>
  </si>
  <si>
    <t>8003453807303</t>
  </si>
  <si>
    <t xml:space="preserve">IVECO Daily Ecoline 2013&gt; </t>
  </si>
  <si>
    <t>IVECO: 5801671974</t>
  </si>
  <si>
    <t>H500WK</t>
  </si>
  <si>
    <t>PSD940</t>
  </si>
  <si>
    <t>FBS940</t>
  </si>
  <si>
    <t>FCD3029</t>
  </si>
  <si>
    <t>R6010MJ</t>
  </si>
  <si>
    <t>24.A08.B0</t>
  </si>
  <si>
    <t>8003453807310</t>
  </si>
  <si>
    <t>JOHN DEERE: 9400; 9500; 9600; 9410; 9510; 9610 / Mercedes Benz: 308CDI; 311CDI; 313CDI</t>
  </si>
  <si>
    <t>MERCEDES: A0004779415</t>
  </si>
  <si>
    <t>H703WK</t>
  </si>
  <si>
    <t>R2610MBAQII</t>
  </si>
  <si>
    <t>P551866</t>
  </si>
  <si>
    <t>24.A26.00</t>
  </si>
  <si>
    <t>DEUTZ: TCD 3.6 L4; TD 3.6 L4; 5100 TTV; 37.7 / CATERPILLAR: TH255C; TH414C GC; TH417C GC; TH417D / CLAAS: Scorpion 1033; Scorpion 6030; Scorpion 6035; Scorpion 635; Scorpion 7030; Scorpion 7035; Scorpion 7044; Scorpion 7050; Scorpion 732; Scorpion 736; Scorpion 741; Scorpion 746; Scorpion 756 / LIEBHERR: A910; A912; TL432-7; TL436-7; TL441-7</t>
  </si>
  <si>
    <t>CAT: 4664177
CLASS: 	19951210
DEUTZ: 04130241; 4130650</t>
  </si>
  <si>
    <t>PL250</t>
  </si>
  <si>
    <t>H637WK</t>
  </si>
  <si>
    <t>P959143</t>
  </si>
  <si>
    <t>24.A29.00</t>
  </si>
  <si>
    <t>CATERPILLAR: 1R-0749
308-9679</t>
  </si>
  <si>
    <t>WK980/1</t>
  </si>
  <si>
    <t>H175WK</t>
  </si>
  <si>
    <t>KC255</t>
  </si>
  <si>
    <t>24.A40.00</t>
  </si>
  <si>
    <t>Filtro Completo Do Combustível</t>
  </si>
  <si>
    <t>MERCEDES BENZ: 1215C (1998- &gt;); 1218E (2001-2007); 1418L/EL (2002- &gt;); 1418L/LK/LA/LAK-R (1996- &gt;); 1618M (1998- &gt;); 1718M (2001- &gt;); LO712 (2006- &gt;)</t>
  </si>
  <si>
    <t>WK1060</t>
  </si>
  <si>
    <t>PSD420/6</t>
  </si>
  <si>
    <t>FCD2203</t>
  </si>
  <si>
    <t>FS20041</t>
  </si>
  <si>
    <t>R12030MB</t>
  </si>
  <si>
    <t>P551086</t>
  </si>
  <si>
    <t>24.A57.B0</t>
  </si>
  <si>
    <t>Filtro Completo do Combustível</t>
  </si>
  <si>
    <t>VOLKSWAGEN: Motor 2.0 16v TDI - Amarok - 2015 -&gt; - Diesel</t>
  </si>
  <si>
    <t>2H0127401D; 2H0127401G;</t>
  </si>
  <si>
    <t>WK10034z</t>
  </si>
  <si>
    <t>KL1079</t>
  </si>
  <si>
    <t>FCI1275</t>
  </si>
  <si>
    <t>FCD0922</t>
  </si>
  <si>
    <t>24.H2O.00</t>
  </si>
  <si>
    <t>ALFA ROMEO: 145, 146, 147, 156, 166 DIESEL (1997&gt;2002) / CITROËN: JUMPER I 2.0 HDI 2.8 HDI, JUMPER II 2.0 HDI 2.2 HDI 2.8 HDI / FIAT: DUCATO: 2.0, 2.8JTD / PEUGEOT: BOXER I E II 2.0 E 2.8 (2000&gt;2002</t>
  </si>
  <si>
    <t>60816460, 46797378</t>
  </si>
  <si>
    <t>WK854/6</t>
  </si>
  <si>
    <t>H159WK</t>
  </si>
  <si>
    <t>KC140</t>
  </si>
  <si>
    <t>PS9420WST</t>
  </si>
  <si>
    <t>FCD2076</t>
  </si>
  <si>
    <t>24.H2O.01</t>
  </si>
  <si>
    <t>52129238AA, 2992300, 504018807, 504071913, 5801512159</t>
  </si>
  <si>
    <t>WK854/2</t>
  </si>
  <si>
    <t>H160WK</t>
  </si>
  <si>
    <t>KC182</t>
  </si>
  <si>
    <t>PSC455</t>
  </si>
  <si>
    <t>FBD455</t>
  </si>
  <si>
    <t>PS9553WST</t>
  </si>
  <si>
    <t>FCD2096</t>
  </si>
  <si>
    <t>FS19781</t>
  </si>
  <si>
    <t>P550903</t>
  </si>
  <si>
    <t>24.H2O.07</t>
  </si>
  <si>
    <t>IVECO: DAILY (NOVA) 3.0 TURBOELETRÔNICA 08&gt; - N. ORIGINAL IVECO: 2992300</t>
  </si>
  <si>
    <t>46807036, 9949267</t>
  </si>
  <si>
    <t>WK854/1</t>
  </si>
  <si>
    <t>H212WK</t>
  </si>
  <si>
    <t>JFCK05/1</t>
  </si>
  <si>
    <t>25.002.00</t>
  </si>
  <si>
    <t>MERCEDES BENZ: CLK 320, CLK 430, ML320, ML430, S500 (98-&gt;)</t>
  </si>
  <si>
    <t>HU718/1X</t>
  </si>
  <si>
    <t>E11HD155</t>
  </si>
  <si>
    <t>OX153/7D</t>
  </si>
  <si>
    <t>CH8902ECO</t>
  </si>
  <si>
    <t>WOE300/2</t>
  </si>
  <si>
    <t>P550564</t>
  </si>
  <si>
    <t>25.004.00</t>
  </si>
  <si>
    <t>BMW: 320I - E36 (01/95-10/99); 320I - E36 (09/90-10/99); 323I - E36 (03/95-10/99); 328I CABRIOLET - 2.8 - E36 (9/95-); 320I/CI - E46 (05/98-09/00); 320I/CI - E46 (08/00-); 325I/CI - E46 (08/00-); 328I/CI - E46 (05/98-09/00); 330I/CI/XI - E46 (06/00-); 520</t>
  </si>
  <si>
    <t>HU925/4X</t>
  </si>
  <si>
    <t>E106HD34</t>
  </si>
  <si>
    <t>OX154/1D</t>
  </si>
  <si>
    <t>PEL117</t>
  </si>
  <si>
    <t>LE117</t>
  </si>
  <si>
    <t>CH8081ECO</t>
  </si>
  <si>
    <t>WOE220</t>
  </si>
  <si>
    <t>25.005.00</t>
  </si>
  <si>
    <t>VOLKSWAGEN: 17.280 4X2 CONSTELLATION; 24.280 6X2 CONSTELLATION; 26.280 6X4 CONSTELLATION / WORKER; 31.280 6X4 CONSTELLATION - MAN D08 36 280 (11/11-)</t>
  </si>
  <si>
    <t>HU947/2X</t>
  </si>
  <si>
    <t>E161HD28</t>
  </si>
  <si>
    <t>PEL2011</t>
  </si>
  <si>
    <t>LE2011</t>
  </si>
  <si>
    <t>WOE473</t>
  </si>
  <si>
    <t>LF3754</t>
  </si>
  <si>
    <t>P550451</t>
  </si>
  <si>
    <t>25.006.00</t>
  </si>
  <si>
    <t>MERCEDES BENZ: 1938 L - OM 457 ELETRÔNICO</t>
  </si>
  <si>
    <t>HU12140X</t>
  </si>
  <si>
    <t>E500HD129</t>
  </si>
  <si>
    <t>OX168D</t>
  </si>
  <si>
    <t>PEL2001</t>
  </si>
  <si>
    <t>LE2001</t>
  </si>
  <si>
    <t>CH5933ECO</t>
  </si>
  <si>
    <t>WOE420</t>
  </si>
  <si>
    <t>LF3829</t>
  </si>
  <si>
    <t>P550453</t>
  </si>
  <si>
    <t>25.007.00</t>
  </si>
  <si>
    <t>MERCEDES BENZ: OF 1417, 712C, 914C - OM 904 ELETRÔNICO</t>
  </si>
  <si>
    <t>A 904 180 00 09 / A 000 180 16 09 / A 906 184 02 25 / A 904 180 00 09</t>
  </si>
  <si>
    <t>HU931/5X</t>
  </si>
  <si>
    <t>E160H01D28</t>
  </si>
  <si>
    <t>OX161D</t>
  </si>
  <si>
    <t>PEL2003</t>
  </si>
  <si>
    <t>LE2003</t>
  </si>
  <si>
    <t>CH5957ECO</t>
  </si>
  <si>
    <t>WOE440</t>
  </si>
  <si>
    <t>LF3827</t>
  </si>
  <si>
    <t>P550768</t>
  </si>
  <si>
    <t>25.008.00</t>
  </si>
  <si>
    <t>BMW: SÉRIE 3 (E30/E36) 316I (1990&gt;1994), 318I (1993&gt;2000)</t>
  </si>
  <si>
    <t>HU715/3X</t>
  </si>
  <si>
    <t>E104HD43</t>
  </si>
  <si>
    <t>OX127/1D</t>
  </si>
  <si>
    <t>CH8087ECO</t>
  </si>
  <si>
    <t>WOE230</t>
  </si>
  <si>
    <t>25.009.00</t>
  </si>
  <si>
    <t>LAND ROVER: RANGE ROVER II 4.6I V8 (1994&gt;2002)</t>
  </si>
  <si>
    <t>HU848/1X</t>
  </si>
  <si>
    <t>E12HD53</t>
  </si>
  <si>
    <t>OX126D ECO</t>
  </si>
  <si>
    <t>CH5979ECO</t>
  </si>
  <si>
    <t>WOE210</t>
  </si>
  <si>
    <t>25.010.00</t>
  </si>
  <si>
    <t>VOLKSWAGEN: GOLF 2.8 12V VR6 (01/96-); TOUAREG 3.6 24V FSI V6 (06/10-); TOUAREG 3.2 24V V6 (01/05-12/06)</t>
  </si>
  <si>
    <t>HU932/6N</t>
  </si>
  <si>
    <t>E1001HD28</t>
  </si>
  <si>
    <t>OX1015D</t>
  </si>
  <si>
    <t>PEL672</t>
  </si>
  <si>
    <t>LE672</t>
  </si>
  <si>
    <t>CH8158</t>
  </si>
  <si>
    <t>WOE620</t>
  </si>
  <si>
    <t>25.013.00</t>
  </si>
  <si>
    <t>CHRYSLER: JEEP GRAND CHEROKEE 2.7 (09/01-07/05) / MERCEDES BENZ: SPRINTER 313, 413 CDI (04/01-&gt;)</t>
  </si>
  <si>
    <t>HU718/1K</t>
  </si>
  <si>
    <t>E11HD57</t>
  </si>
  <si>
    <t>PEL311</t>
  </si>
  <si>
    <t>LE311</t>
  </si>
  <si>
    <t>CH9301ECO</t>
  </si>
  <si>
    <t>WOE300/1</t>
  </si>
  <si>
    <t>LF3997</t>
  </si>
  <si>
    <t>25.014.00</t>
  </si>
  <si>
    <t>MERCEDES BENZ: CLASSE A 1.6 (99-&gt;)</t>
  </si>
  <si>
    <t>HU610X</t>
  </si>
  <si>
    <t>E105HD51</t>
  </si>
  <si>
    <t>OX135/1D</t>
  </si>
  <si>
    <t>PEL109</t>
  </si>
  <si>
    <t>LE109</t>
  </si>
  <si>
    <t>CH8776</t>
  </si>
  <si>
    <t>WOE410</t>
  </si>
  <si>
    <t>25.016.00</t>
  </si>
  <si>
    <t>MAN: 18.310 HOCLN; 18.460 HOCL; 19.233F; 19.293F; 19.314F; 19343; 19.343F; 19.364F; 19.403F; 19.414F; 19.463F; 19.464F; 23.314F; 23.343FNL; 23.364F; 23.403FNL; 23.414F; 23.463FNL; 23.464F; 24.293FNL; 24.314F; 24.343FNL; 24.364F; 24.403FNL; 24.414F; 24.460 HOCLN; 24.463FNL; 24.464F; 26.233F; 26.314F; 26.343DF; 26.364F; 26.403DF; 26.414F; 26.463DF; 26.464F; 27.273DF; 27.293DF; 27.314F; 27.343DF; 27.364F; 27.403DF; 27.414F; 27.463DF; 27.464F; 28.293FNL; 28.314FNLC; 28343; 28403; 28463; 28464; 29.414FV; 29.464FV; 30.293FNL; 30.314FN; 30343; 30.364FN; 30403; 30.414FN; 30463; 30464; 32.293VF; 32314; 32.343VF; 32364; 32.403VF; 32414; 32.463VF; 32464; 33.343DF; 33.364DF; 33.403DF; 33414; 33.463DF; 33.464DF; 35.343VF; 35364; 35.403VF; 35414; 35.463VF; 35464; 40.403DF; 40.414DF; 40463; 40.464DF; 41.343VF; 41.364VF; 41.403VF; 41.414VF; 41.463VF; 42.414VFAK; 42464; 50.373VFK; 50.403VF; 50414; 50463; 50.464VF; D2866L; D2886; FE310A; FE360A; FE410A; FE460A; LIONS COACH 414; LIONS COACH 462; LIONS COACH 463; LIONS COACH 464; LIONS STAR 414; LIONS STAR 463; LIONS STAR 464; LIONS STAR 464; NL363; NL363F; TG310A; TG360A; TG410A; TG460A; TG480A; TG510A; TG530A; TGA 18.310; TGA 18.313; TGA 18.360; TGA 18.363; TGA 18.410; TGA 18.413; TGA 18.460; TGA 18.463; TGA 18.480; TGA 18.483; TGA 18.510; TGA 18.513; TGA 18.530; TGA 18.533; TGA 19.360; TGA 19.363; TGA 19.410; TGA 19.413; TGA 19.460; TGA 19.463; TGA 19.480; TGA 19.483; TGA 24.360; TGA 24.410; TGA 24.460; TGA 24.480; TGA 24.510; TGA 24.530; TGA 25.310; TGA 26.310; TGA 26.313; TGA 26.360; TGA 26.363; TGA 26.410; TGA 26.413; TGA 26.460; TGA 26.463; TGA 26.480; TGA 26.483; TGA 26.510; TGA 26.513; TGA 26.530; TGA 26.533; TGA 28.310; TGA 28.313; TGA 28.360; TGA 28.363; TGA 28.410; TGA 28.413; TGA 28.460; TGA 28.463; TGA 28.480; TGA 28.483; TGA 28.510; TGA 28.513; TGA 28.530; TGA 28.533; TGA 32.310; TGA 32.313; TGA 32.360; TGA 32.363; TGA 32.410; TGA 32.413; TGA 32.460; TGA 32.463; TGA 32.480; TGA 32.483; TGA 33.360; TGA 33.410; TGA 33.460; TGA 33.480; TGA 33.510; TGA 33.530; TGA 35.310; TGA 35.360; TGA 35.410; TGA 35.460; TGA 35.480; TGA 35.530; TGA 37.410; TGA 37.530; TGA 40.410; TGA 40.460; TGA 40.480; TGA 41.360; TGA 41.410; TGA 41.460; TGA 41.480; TGA 41.510; TGA 41.530 / LIEBHERR: LTC1055; LTM1090-4; LTM1100-4; LTM1200 / NEOPLAN:  N1116; N1116/3; N1116/3 HC; N2216 SHD; N2216/3 SHD-L; N2216/3 SHD-L; N4420; N4421; N4426/3; N4521; N516; N516/3; N5217 SHD; N5218 SHD; N5218 SHD; SKYLINERL</t>
  </si>
  <si>
    <t>MAN: 51055040098</t>
  </si>
  <si>
    <t>HU1381X</t>
  </si>
  <si>
    <t>E13HD47</t>
  </si>
  <si>
    <t>LF3867</t>
  </si>
  <si>
    <t>P550765</t>
  </si>
  <si>
    <t>25.018.00</t>
  </si>
  <si>
    <t>VOLVO: S60 2.5 T DE 2003&gt;; XC90 4.4 V8 DE 2005&gt;; S60 2.0 T DE 2004&gt; - N. ORIGINAL VOLVO: 1275810</t>
  </si>
  <si>
    <t>HU819X</t>
  </si>
  <si>
    <t>E15HD58</t>
  </si>
  <si>
    <t>PEL162</t>
  </si>
  <si>
    <t>LE162</t>
  </si>
  <si>
    <t>CH8905ECO</t>
  </si>
  <si>
    <t>WOE800</t>
  </si>
  <si>
    <t>25.022.00</t>
  </si>
  <si>
    <t>RENAULT: CLIO 1.0 16V - D4D (99-); TWINGO 1.0 16V - D4D (99-)</t>
  </si>
  <si>
    <t>HU611X</t>
  </si>
  <si>
    <t>E45HD113</t>
  </si>
  <si>
    <t>OX209D</t>
  </si>
  <si>
    <t>PEL705</t>
  </si>
  <si>
    <t>LE705</t>
  </si>
  <si>
    <t>CH9580ECO</t>
  </si>
  <si>
    <t>WOE500</t>
  </si>
  <si>
    <t>25.023.00</t>
  </si>
  <si>
    <t>VOLKSWAGEN: PASSAT 4 MOTION 3.2L (2005&gt;2010), PASSAT CC 3.6V6 (2013&gt;2014), PASSAT VARIANT HIGHLINE 3.2L (2005&gt;2010)</t>
  </si>
  <si>
    <t>HU719/7X</t>
  </si>
  <si>
    <t>E19HD83</t>
  </si>
  <si>
    <t>OX188D</t>
  </si>
  <si>
    <t>CH9463AECO</t>
  </si>
  <si>
    <t>WOE630</t>
  </si>
  <si>
    <t>25.024.00</t>
  </si>
  <si>
    <t>GM: CAPTIVA 2.4 8V GASOLINA (09-)</t>
  </si>
  <si>
    <t>HU6007X</t>
  </si>
  <si>
    <t>E630H02D103</t>
  </si>
  <si>
    <t>OX974D</t>
  </si>
  <si>
    <t>PEL113</t>
  </si>
  <si>
    <t>LE113</t>
  </si>
  <si>
    <t>CH9018ECO</t>
  </si>
  <si>
    <t>WOE312</t>
  </si>
  <si>
    <t>25.027.00</t>
  </si>
  <si>
    <t>Motor Honda aplicação Maritima (Cód. Original 15430-PLZ-D00)</t>
  </si>
  <si>
    <t>HONDA
15430-PLZ-D00</t>
  </si>
  <si>
    <t>HU820x</t>
  </si>
  <si>
    <t>E22HD88</t>
  </si>
  <si>
    <t>CH9305ECO</t>
  </si>
  <si>
    <t>25.028.00</t>
  </si>
  <si>
    <t>BMW: 320I (03/05-02/12); 320I 16V (03/05-02/12); X1 18I 2.0 16V (03/10-)</t>
  </si>
  <si>
    <t>HU815/2X</t>
  </si>
  <si>
    <t>E29HD89</t>
  </si>
  <si>
    <t>OX166/1D</t>
  </si>
  <si>
    <t>PEL211</t>
  </si>
  <si>
    <t>LE211</t>
  </si>
  <si>
    <t>CH9547ECO</t>
  </si>
  <si>
    <t>WOE211</t>
  </si>
  <si>
    <t>25.030.00</t>
  </si>
  <si>
    <t>LAND ROVER: RANGE ROVER 3.0 177V ( 02-06)</t>
  </si>
  <si>
    <t>HU818X</t>
  </si>
  <si>
    <t>E15H D59</t>
  </si>
  <si>
    <t>WOE212</t>
  </si>
  <si>
    <t>25.032.00</t>
  </si>
  <si>
    <t>CITROËN: C3 (1.4 8V, 1.6 16V)  (03-&gt;)/ PEUGEOT: 206 1.6 16V (02-&gt;), 306 1.6 16V (04-&gt;)</t>
  </si>
  <si>
    <t>HU612X</t>
  </si>
  <si>
    <t>E35HD102</t>
  </si>
  <si>
    <t>OX193D</t>
  </si>
  <si>
    <t>PEL110</t>
  </si>
  <si>
    <t>LE110</t>
  </si>
  <si>
    <t>CH9443ECO</t>
  </si>
  <si>
    <t>WOE700</t>
  </si>
  <si>
    <t>25.033.00</t>
  </si>
  <si>
    <t>RENAULT: MASTER 2.5 DCI 16V TURBO DIESEL (05-)</t>
  </si>
  <si>
    <t>HU923X</t>
  </si>
  <si>
    <t>E64HD96</t>
  </si>
  <si>
    <t>OX210D</t>
  </si>
  <si>
    <t>PEL312</t>
  </si>
  <si>
    <t>LE312</t>
  </si>
  <si>
    <t>CH9462ECO</t>
  </si>
  <si>
    <t>WOE510</t>
  </si>
  <si>
    <t>25.034.00</t>
  </si>
  <si>
    <t>FIAT: PALIO; PALIO WEEKEND; SIENA E IDEA - E.TORQ 1.6 16V (06/10-)</t>
  </si>
  <si>
    <t>7087808, 11 42 7 512 446, 11 42 7 509 208</t>
  </si>
  <si>
    <t>HU816/2X</t>
  </si>
  <si>
    <t>E31HD93</t>
  </si>
  <si>
    <t>OX175/D</t>
  </si>
  <si>
    <t>PEL119</t>
  </si>
  <si>
    <t>LE119</t>
  </si>
  <si>
    <t>CH9584</t>
  </si>
  <si>
    <t>WOE912</t>
  </si>
  <si>
    <t>25.036.00</t>
  </si>
  <si>
    <t>MERCEDES BENZ: 1623 L / 1723 L / OF 1721 - OM 906 ELETRÔNICO (98-&gt;) ; 2324 B / K - OM 906 LA</t>
  </si>
  <si>
    <t>A 906 180 02 09, A 000 180 17 09</t>
  </si>
  <si>
    <t>HU945/2X</t>
  </si>
  <si>
    <t>E161H01D28</t>
  </si>
  <si>
    <t>OX174D</t>
  </si>
  <si>
    <t>PEL2002</t>
  </si>
  <si>
    <t>LE2002</t>
  </si>
  <si>
    <t>CH9389ECO</t>
  </si>
  <si>
    <t>WOE450</t>
  </si>
  <si>
    <t>LF3914</t>
  </si>
  <si>
    <t>P550761</t>
  </si>
  <si>
    <t>25.039.00</t>
  </si>
  <si>
    <t>VOLVO: C30, C70, S40, V50, V70 - N. ORIGINAL  VOLVO: 30788821</t>
  </si>
  <si>
    <t>HU719/8X</t>
  </si>
  <si>
    <t>E27HD84</t>
  </si>
  <si>
    <t>PEL163</t>
  </si>
  <si>
    <t>LE163</t>
  </si>
  <si>
    <t>CH9496ECO</t>
  </si>
  <si>
    <t>WOE810</t>
  </si>
  <si>
    <t>25.040.00</t>
  </si>
  <si>
    <t>VOLKSWAGEN: PASSAT 2.0 16V (10/05-&gt;); JETTA 2.5(09/06-&gt;)</t>
  </si>
  <si>
    <t>HU719/6X</t>
  </si>
  <si>
    <t>E27HD125</t>
  </si>
  <si>
    <t>OX379/D</t>
  </si>
  <si>
    <t>PEL313</t>
  </si>
  <si>
    <t>LE313</t>
  </si>
  <si>
    <t>CH9911</t>
  </si>
  <si>
    <t>WOE640</t>
  </si>
  <si>
    <t>25.041.00</t>
  </si>
  <si>
    <t>MERCEDES-BENZ : E-CLASS E321 CDI (1999&gt;2003); ACCELO 715C (2002&gt;2009)</t>
  </si>
  <si>
    <t>A6131800009; A6131840025</t>
  </si>
  <si>
    <t>HU721/2X</t>
  </si>
  <si>
    <t>E17HD57</t>
  </si>
  <si>
    <t>OX179D</t>
  </si>
  <si>
    <t xml:space="preserve">PEL107 </t>
  </si>
  <si>
    <t>LE107</t>
  </si>
  <si>
    <t>CH9232</t>
  </si>
  <si>
    <t>WOE242</t>
  </si>
  <si>
    <t>25.043.00</t>
  </si>
  <si>
    <t>FIAT: 1.4 T-JET (08-)</t>
  </si>
  <si>
    <t>HU713/1X</t>
  </si>
  <si>
    <t>E60HD110</t>
  </si>
  <si>
    <t>OX827D</t>
  </si>
  <si>
    <t>PEL118</t>
  </si>
  <si>
    <t>LE118</t>
  </si>
  <si>
    <t>CH9713ECO</t>
  </si>
  <si>
    <t>WOE909</t>
  </si>
  <si>
    <t>25.044.00</t>
  </si>
  <si>
    <t>SCANIA: SÉRIE R / NOVO R (R420-R500)</t>
  </si>
  <si>
    <t>HU1072X</t>
  </si>
  <si>
    <t>E21HD361</t>
  </si>
  <si>
    <t>OX376D</t>
  </si>
  <si>
    <t>PEL416</t>
  </si>
  <si>
    <t>CH9518ECO</t>
  </si>
  <si>
    <t>WOE476</t>
  </si>
  <si>
    <t>LF3895</t>
  </si>
  <si>
    <t>P550629</t>
  </si>
  <si>
    <t>25.050.00</t>
  </si>
  <si>
    <t>MB: C 180 E C 120 KOMPRESSOR - N. ORIGINAL MB: A2711800109/A2711840225</t>
  </si>
  <si>
    <t>HU514X</t>
  </si>
  <si>
    <t>E38HD106</t>
  </si>
  <si>
    <t>PEL719</t>
  </si>
  <si>
    <t>LE719</t>
  </si>
  <si>
    <t>CH9918ECO</t>
  </si>
  <si>
    <t>WOE460</t>
  </si>
  <si>
    <t>25.051.00</t>
  </si>
  <si>
    <t>IVECO: STRALIS 2013&gt; N°ORIGINAL: 2996570</t>
  </si>
  <si>
    <t>2996570, 84565867</t>
  </si>
  <si>
    <t>HU12007X</t>
  </si>
  <si>
    <t>E214HD300</t>
  </si>
  <si>
    <t>PEL1999</t>
  </si>
  <si>
    <t>LE1999</t>
  </si>
  <si>
    <t>WOE820</t>
  </si>
  <si>
    <t>LF17557</t>
  </si>
  <si>
    <t>25.053.00</t>
  </si>
  <si>
    <t xml:space="preserve">CHRYSLER: VOYAGER 2.5 CRD (2000&gt;2001) / HYUNDAI: ELANTRA, SANTA FÉ, TUCSON COM MOTORES 2.0 DIESEL / JEEP: CHEROKEE 2.5 CRD (2001&gt;2003) / KIA: CARENS, CERATO, SPORTAGE II 2.0 CRDI (2004&gt;2010) / </t>
  </si>
  <si>
    <t>HU718X</t>
  </si>
  <si>
    <t>E811HD62</t>
  </si>
  <si>
    <t>PEL116</t>
  </si>
  <si>
    <t>CH9685ECO</t>
  </si>
  <si>
    <t>WOE900</t>
  </si>
  <si>
    <t>25.056.00</t>
  </si>
  <si>
    <t>FORD: ECOSPORT 2.0 DURATECH (-02/03); FUSION 2.3 145PS (05/06-); MONDEO 2.0 DURATEC (-12/05)</t>
  </si>
  <si>
    <t>HU711X</t>
  </si>
  <si>
    <t>E20HD79</t>
  </si>
  <si>
    <t>OX979</t>
  </si>
  <si>
    <t>PEL106</t>
  </si>
  <si>
    <t>LE106</t>
  </si>
  <si>
    <t>CH10502</t>
  </si>
  <si>
    <t>WOE120</t>
  </si>
  <si>
    <t>25.058.00</t>
  </si>
  <si>
    <t>BMW: SÉRIE 1 3.0 24V TURBO GASOLINA (04/11-); SÉRIE 3 - 325I 2.5 24V GAS. (01/05-12/11); 328I XDRIVE 2.0 16V GAS. (07/12-); X1 XDRIVE 28I 2.0 16V FLEX (10/14-); X1 28 IX 3.0 (10/09-08/11); X6 35IX 3.0 24V GAS. (04/10-); Z4 23I 2.5 24V GAS. (04/09-08/11)</t>
  </si>
  <si>
    <t>HU816X</t>
  </si>
  <si>
    <t>E61HD127</t>
  </si>
  <si>
    <t>OX387D</t>
  </si>
  <si>
    <t>CH10075ECO</t>
  </si>
  <si>
    <t>WOE221</t>
  </si>
  <si>
    <t>25.059.00</t>
  </si>
  <si>
    <t>MERCEDES BENZ: Classe C 2.4 V6 - 170 cv (00 -- 03);Classe C 3.2 V6 18V - 354 cv (2001 --&gt;);Classe C 3.2 V6 24V - 218 cv (01 -- 05);Classe C 5.5 V8 - 367 cv (05 -- 06);Classe C 2.5 V6 24V - 204 cv (06 -- 07);Classe C 3.5 V6 - 272 cv (06 -- 07);Classe C 3.0 V6 - 231 cv (08 -- 10);Classe C 3.0 V6 24V - 231 cv (09 -- 11);Classe C 3.5 V6 - 272 cv (07 -- 10);Classe CL 6.0 V12 - 367 cv (00 -- 02);Classe CL 6.2 V8 - 445 cv (01 -- 02);Classe CL 5.6 V8 - 306 cv (99 -- 06);Classe CL 5.5 V6 - 360 cv (00 -- 02);Classe CL 5.5 V6 - 361 cv (02 -- 06);Classe CL 5.6 V8 - 388 cv (07 -- 10);Classe CLK 3.2 V6 - 218 cv (02 -- 05);Classe CLK 5.0 V8 - 306 cv (03 -- 08);Classe CLK 5.5 V8 - 367 cv (01 -- 06);Classe CLK 3.5 V6 - 272 cv (06 -- 09);Classe CLS 3.5 V6 - 272 cv (04 -- 10);Classe CLS 5.0 V8 - 388 cv (07 -- 10);Classe CLS 5.0 V8 - 306 cv (05 -- 06);Classe CLS 5.5 V8 - 476 cv (05 -- 06);Classe E 230 2.3 - 204 cv (07 -- 09);Classe E 240 2.6 V6 - 177 cv (02 -- 05);Classe E 280 2.8 V6 - 204 cv (97 -- 98);Classe E 280 2.8 V6 - 204 cv (99 -- 03);Classe E 280 2.8 V6 - 231 cv (05 -- 09);Classe E 320 3.2 V6 - 224 cv (02 -- 05);Classe E 350 3.5 V6 - 272 cv (04 -- 09);Classe E 350 3.5 V6 - 306 cv (2010 --&gt;);Classe E 500 5.0 V8 - 306 cv (02 -- 07);Classe E 500 5.0 V8 - 388 cv (06 -- 09);Classe E 500 5.0 V8 - 306 cv (02 -- 07);Classe E 500 5.5 V8 - 388 cv (2010 --&gt;);Classe E 55 AMG 5.4 V8 - 476 cv (02 -- 06);Classe G 320 3.2 - 215 cv (1998 --&gt;);Classe G 500 5.0 - 296 cv (2000 --&gt;);Classe G 55 5.5 V8 - 354 cv (99 -- 04);Classe G 55 AMG 5.5 V8 - 476 cv (2004 --&gt;);Classe GL 500 5.5 V8 - 388 cv (2007 --&gt;);Classe GLK 220 2.1 - 170 cv (13 -- 15);Classe GLK 220 2.2 - 170 cv (13 -- 15);Classe GLK 280 3.0 V6 - 231 cv (08 -- 09);Classe GLK 300 3.0 V6 - 231 cv (10 -- 13);Classe ML 350 3.5 V6 - 245 cv (02 -- 05);Classe ML 350 3.5 V6 - 272 cv (06 -- 11);Classe ML 500 5.0 V8 - 292 cv (02 -- 05);Classe ML 500 5.6 V8 - 388 cv (2008 --&gt;);Classe ML 500 5.6 V8 - 306 cv (06 -- 07);Classe ML 55 AMG 5.5 V8 - 347 cv (00 -- 05);Classe R 500 5.0 V8 - 306 cv (06 -- 08);Classe R 500 5.5 V8 - 388 cv (2007 --&gt;);Classe S 350 3.5 V6 - 245 cv (02 -- 05);Classe S 350 3.5 V6 - 272 cv (05 -- 10);Classe S 400 3.5 V6 - 279 cv (2009 --&gt;);Classe S 430 4.3 - 279 cv (99 -- 05);Classe S 450 4.0 - 340 cv (2006 --&gt;);Classe S 500 5.0 V8 - 388 cv (05 -- 10);Classe S 55 AMG 5.0 V8 - 500 cv (02 -- 05);Classe S 600 6.0 - 368 cv (00 -- 02);Classe S 63 AMG 6.3 V8 - 445 cv (01 -- 02);Classe SL 280 2.8 (93 -- 95);Classe SL 350 3.5 V6 - 245 cv (2002 --&gt;);Classe SL 500 5.0 V8 - 307 cv (2002 --&gt;);Classe SL AMG 5.5 V8 - 517 cv (06 -- 08);Classe SL AMG 55 V8 - 500 cv (02 -- 06);Classe SLK 32 AMG 3.2 - 354 cv (01 -- 04);Classe SLK 320 3.2 - 218 cv (01 -- 04);Classe SLK 350 3.5 - 272 cv (04 -- 12);</t>
  </si>
  <si>
    <t>MERCEDES BENZ: 1121840525; 1121840625; 6111800967; 1802609</t>
  </si>
  <si>
    <t>HU718/5X</t>
  </si>
  <si>
    <t>E11H02D155</t>
  </si>
  <si>
    <t>OX345D</t>
  </si>
  <si>
    <t>PEL718</t>
  </si>
  <si>
    <t>LE718</t>
  </si>
  <si>
    <t>CH12138ECO</t>
  </si>
  <si>
    <t>WOE300/4</t>
  </si>
  <si>
    <t>LF16447</t>
  </si>
  <si>
    <t>P550798</t>
  </si>
  <si>
    <t>25.060.00</t>
  </si>
  <si>
    <t>CITROËN: BERLINGO 1.6I 16V (10/00-); C3 1.4I 8V FLEX (01/06-); XSARA PICASSO 1.6 16V (09/05-) / PEUGEOT: 206 1.4 E 1.6L (01/06-) 307 1.6 16V (01-); 2.0 16V (05-) E 1.6 16V FLEX (01/07-)</t>
  </si>
  <si>
    <t xml:space="preserve">1109Z2, 1109X4,  1109X3 </t>
  </si>
  <si>
    <t>HU711/51X</t>
  </si>
  <si>
    <t>E44HD110</t>
  </si>
  <si>
    <t>OX339/2D</t>
  </si>
  <si>
    <t>PEL108</t>
  </si>
  <si>
    <t>LE108</t>
  </si>
  <si>
    <t>CH9973ECO</t>
  </si>
  <si>
    <t>WOE710</t>
  </si>
  <si>
    <t>25.062.00</t>
  </si>
  <si>
    <t>Elemento Filtrante do Óleo Lubrificante</t>
  </si>
  <si>
    <t>MERCEDES BENZ: AXOR 2035; 2040; 2044; 2540; 2544; 2640; 2644; 3340; 3340 K; 3340 S; 3344; 3344 K; 3344 S - OM 457 LA (01/06-&gt;)</t>
  </si>
  <si>
    <t>Mercedes Benz: 0001802109; A4571840125; A4601800009</t>
  </si>
  <si>
    <t>HU12110X</t>
  </si>
  <si>
    <t>E175HD129</t>
  </si>
  <si>
    <t>OX348/D</t>
  </si>
  <si>
    <t>PEL2004</t>
  </si>
  <si>
    <t>LE2004</t>
  </si>
  <si>
    <t>CH9558</t>
  </si>
  <si>
    <t>WOE451</t>
  </si>
  <si>
    <t>LF16046</t>
  </si>
  <si>
    <t>REL100</t>
  </si>
  <si>
    <t>P550769</t>
  </si>
  <si>
    <t>25.063.00</t>
  </si>
  <si>
    <t xml:space="preserve">MERCEDES-BENZ: CLASSE A200 KW100  (04-11) / CLASSE B 180 KW 85 (09-11)  / CLASSE B200 KW100 (05-11) </t>
  </si>
  <si>
    <t>PEL720</t>
  </si>
  <si>
    <t>LE720</t>
  </si>
  <si>
    <t>WOE308</t>
  </si>
  <si>
    <t>25.064.00</t>
  </si>
  <si>
    <t>GM: CRUZE 1.8 8V FLEX (11-); SONIC 1.6 (12-)</t>
  </si>
  <si>
    <t>55594651, 93185674</t>
  </si>
  <si>
    <t>HU612/2X</t>
  </si>
  <si>
    <t>E611HD122</t>
  </si>
  <si>
    <t>OX1018D</t>
  </si>
  <si>
    <t>PEL674</t>
  </si>
  <si>
    <t>LE674</t>
  </si>
  <si>
    <t>CH10246ECO</t>
  </si>
  <si>
    <t>WOE313</t>
  </si>
  <si>
    <t>25.066.00</t>
  </si>
  <si>
    <t>LAND ROVER: DISCOVERY III DE 2005 A 2009 / DISCOVERY IV DE 2010 A 2012 - N. ORIGINAL LAND ROVER: 1311289</t>
  </si>
  <si>
    <t>HU934/1X</t>
  </si>
  <si>
    <t>E102HD156</t>
  </si>
  <si>
    <t>PEL723</t>
  </si>
  <si>
    <t>CH10035ECO</t>
  </si>
  <si>
    <t>WOE243</t>
  </si>
  <si>
    <t>25.069.00</t>
  </si>
  <si>
    <t xml:space="preserve">CHRYSLER: 300 C 3.0 CRD (2005&gt;...) / JEEP: GRAND CHEROKEE 3.0 CRD LIMITED L 24V (EXL) 03/05 → 10/11 / MERCEDES BENZ: CLASSE C, CLK, CLS, E, G, GL, GLE, GLK, M, R, S, X COM MOTORES DIESEL OM642 </t>
  </si>
  <si>
    <t>HU821X</t>
  </si>
  <si>
    <t>E71HD141</t>
  </si>
  <si>
    <t>OX380D</t>
  </si>
  <si>
    <t>CH10323ECO</t>
  </si>
  <si>
    <t>WOE304</t>
  </si>
  <si>
    <t>25.073.02</t>
  </si>
  <si>
    <t>JAGUAR: F-PACE 3.0 (2015&gt;...), XE 3.0 (2015&gt;...), XF 3.0V6, 5.0V8, XFR, XFR-S 5.0V8, XK, XKR (2009&gt;...) / LAND ROVER: DISCOVERY 4 3.0 (2014&gt;...) E 5.0V8 (2009&gt;...), DISCOVERY 5 3.0V6 (2016&gt;...), RANGE ROVER III 5.0V8 (2012&gt;...), RANGE ROVER IV 3.0, 3.0V6, 5.0V8, 5.0V8 SVR (2013&gt;...), RANGE ROVER SPORT 5.0 V8 (2009&gt;...), RANGE ROVER SPORT II 3.0, 3.0V6, 5.0V8, 5.0V8 SVR (2013&gt;...), RANGE ROVER VELAR 3.0V6 (2017&gt;...)</t>
  </si>
  <si>
    <t>C2D3670, LR011279</t>
  </si>
  <si>
    <t>HU8008Z</t>
  </si>
  <si>
    <t>E863HD360</t>
  </si>
  <si>
    <t>OX774D</t>
  </si>
  <si>
    <t>PEL725</t>
  </si>
  <si>
    <t>LE725</t>
  </si>
  <si>
    <t>CH10992ECO</t>
  </si>
  <si>
    <t>WOE621</t>
  </si>
  <si>
    <t>25.077.00</t>
  </si>
  <si>
    <t xml:space="preserve">LEXUS: IS250 F-SPORT 2.5 L 24V 07/13 → 12/15, LS 460 4.6 L 32V 08/06 → -, LS460 4.6 L 32V 01/13 → -   </t>
  </si>
  <si>
    <t>HU7009Z</t>
  </si>
  <si>
    <t>E814HD191</t>
  </si>
  <si>
    <t>CH10158</t>
  </si>
  <si>
    <t>WOE804</t>
  </si>
  <si>
    <t>25.080.00</t>
  </si>
  <si>
    <t>AUDI: A4 AVANT, CABRIOLET, QUATTRO 3.2LV6 (2005&gt;2012), A5 COUPE 3.2LV6 (2007&gt;2012), A6 3.2LV6 (2004&gt;2011), A7 SPORTBACK 3.0LV6 (2010&gt;...), A8 3.0LV6 (2014&gt;...), Q5 QUATTRO V6 3.2L (2008/2012), S4 AVANT QUATTRO 3.0LV6 (2011&gt;...)</t>
  </si>
  <si>
    <t>HU722Z</t>
  </si>
  <si>
    <t>E864HD184</t>
  </si>
  <si>
    <t>OX381D</t>
  </si>
  <si>
    <t>CH10160ECO</t>
  </si>
  <si>
    <t>WOE612</t>
  </si>
  <si>
    <t>25.081.00</t>
  </si>
  <si>
    <t>DAF TRUCKS: CF 85 (06-) /  XF 105 (06-)</t>
  </si>
  <si>
    <t>HU12103X</t>
  </si>
  <si>
    <t>E89H D213</t>
  </si>
  <si>
    <t>PEL2013</t>
  </si>
  <si>
    <t>WOE821</t>
  </si>
  <si>
    <t>LF16233</t>
  </si>
  <si>
    <t>P550812</t>
  </si>
  <si>
    <t>25.082.01</t>
  </si>
  <si>
    <t>Nacional</t>
  </si>
  <si>
    <t>010</t>
  </si>
  <si>
    <t>GM: S10 2.8 TDCI (NOVA) DE 2012&gt; - N. ORIGINAL GM: 12636838</t>
  </si>
  <si>
    <t>12636838, 31152021F</t>
  </si>
  <si>
    <t>PEL726</t>
  </si>
  <si>
    <t>LE726</t>
  </si>
  <si>
    <t>CH11724</t>
  </si>
  <si>
    <t>WOE314</t>
  </si>
  <si>
    <t>25.083.00</t>
  </si>
  <si>
    <t>JEEP: RENEGADE 2.0 M-JET (03/15-)</t>
  </si>
  <si>
    <t>71754237, 55223416</t>
  </si>
  <si>
    <t>HU8006Z</t>
  </si>
  <si>
    <t>E826HD268</t>
  </si>
  <si>
    <t>PEL727</t>
  </si>
  <si>
    <t>LE727</t>
  </si>
  <si>
    <t>CH11120ECO</t>
  </si>
  <si>
    <t>WOE626</t>
  </si>
  <si>
    <t>25.084.00</t>
  </si>
  <si>
    <t>Elemento Filtrante do Óleo</t>
  </si>
  <si>
    <t>BMW: X5 50d 3.0 381cv (2015 -&gt;)</t>
  </si>
  <si>
    <t>25.086.00</t>
  </si>
  <si>
    <t>TOYOTA: COROLLA 2.0 16V FLEX (10-); RAV 4 IV 2.0 VVT-I (12-)</t>
  </si>
  <si>
    <t>04152-37010</t>
  </si>
  <si>
    <t>HU6006x</t>
  </si>
  <si>
    <t>E210HD228</t>
  </si>
  <si>
    <t>OX1041D</t>
  </si>
  <si>
    <t>PEL803</t>
  </si>
  <si>
    <t>LE803</t>
  </si>
  <si>
    <t>CH10358ECO</t>
  </si>
  <si>
    <t>WOE803</t>
  </si>
  <si>
    <t>25.089.00</t>
  </si>
  <si>
    <t>PORSCHE CAYENNE 3.6 V6 (11-); PASSAT/TOUAREG CC 3.6 V6</t>
  </si>
  <si>
    <t>03H115562, 03H115561</t>
  </si>
  <si>
    <t>HU8009Z</t>
  </si>
  <si>
    <t>E136HD10</t>
  </si>
  <si>
    <t>OX983D</t>
  </si>
  <si>
    <t>WOE641</t>
  </si>
  <si>
    <t>25.090.00</t>
  </si>
  <si>
    <t>AUDI: A8, RS6, RS7, S6, S7, S8 MOTOR 4.0 TFSI (2002&gt;...) / BENTLEY: CONTINENTAL GT 4.0 V8 (2013&gt;...)</t>
  </si>
  <si>
    <t>079115561J, 079198405D</t>
  </si>
  <si>
    <t>HU7024Z</t>
  </si>
  <si>
    <t>E861HD413</t>
  </si>
  <si>
    <t>CH11791</t>
  </si>
  <si>
    <t>WOE691</t>
  </si>
  <si>
    <t>25.094.00</t>
  </si>
  <si>
    <t>RENAULT: MASTER 2012&gt; N°ORIGINAL: 1520900Q0A</t>
  </si>
  <si>
    <t>HU618X</t>
  </si>
  <si>
    <t>E112HD180</t>
  </si>
  <si>
    <t>OX1019D</t>
  </si>
  <si>
    <t>PEL675</t>
  </si>
  <si>
    <t>LE675</t>
  </si>
  <si>
    <t>CH11208ECO</t>
  </si>
  <si>
    <t>WOE505</t>
  </si>
  <si>
    <t>25.095.00</t>
  </si>
  <si>
    <t>VOLKSWAGEN: WORKER 13.190, 15.190, 17.190 - MAN D08 34 190 (11/11-); CONSTELLATION 13.190, 15.190, 17.190 - MAN D08 34 190 (11/11-)</t>
  </si>
  <si>
    <t>07W115436A</t>
  </si>
  <si>
    <t>HU951X</t>
  </si>
  <si>
    <t>E172HD35</t>
  </si>
  <si>
    <t>PEL1998</t>
  </si>
  <si>
    <t>LE1998</t>
  </si>
  <si>
    <t>CH8871ECO</t>
  </si>
  <si>
    <t>WOE475</t>
  </si>
  <si>
    <t>LF3769</t>
  </si>
  <si>
    <t>P550563</t>
  </si>
  <si>
    <t>25.096.00</t>
  </si>
  <si>
    <t>BMW: SÉRIE 3 (E90/E91/E92/E93) DIESEL (2010&gt;2013), SÉRIE 5 (F07/F10/F11) DIESEL (2009&gt;2011), SÉRIE 7 (F01/F02) (2009&gt;2015), X5 (E70) DIESEL (2008&gt;2013), X6 (E71) (2008&gt;...)</t>
  </si>
  <si>
    <t>HU720/3X</t>
  </si>
  <si>
    <t>E125HD209</t>
  </si>
  <si>
    <t>OX560D</t>
  </si>
  <si>
    <t>CH11150ECO</t>
  </si>
  <si>
    <t>25.102.00</t>
  </si>
  <si>
    <t>Case: 7240, 8240, 9240; New Holland: 8.90; T9.480; T9.530; T9.565; T9.600; T9.615 - N. ORIGINAL CNH: 84572228</t>
  </si>
  <si>
    <t>HU12008X</t>
  </si>
  <si>
    <t>E213HD300</t>
  </si>
  <si>
    <t>PEL2000</t>
  </si>
  <si>
    <t>WOE840</t>
  </si>
  <si>
    <t>LF17547</t>
  </si>
  <si>
    <t>25.106.00</t>
  </si>
  <si>
    <t>VOLKSWAGEN: AMAROK 2.0 (10-)</t>
  </si>
  <si>
    <t>03L115562, 03L115466</t>
  </si>
  <si>
    <t>HU7008Z</t>
  </si>
  <si>
    <t>E115H01D208</t>
  </si>
  <si>
    <t>PEL677</t>
  </si>
  <si>
    <t>LE677</t>
  </si>
  <si>
    <t>CH10759ECO</t>
  </si>
  <si>
    <t>WOE680</t>
  </si>
  <si>
    <t>25.110.00</t>
  </si>
  <si>
    <t>VOLVO: S60, S80, S90, V40, V60, V70, V90, XC40, XC60, XC70, XC90 (2013&gt;...)</t>
  </si>
  <si>
    <t>31372212, 31372214</t>
  </si>
  <si>
    <t>HU8014Z</t>
  </si>
  <si>
    <t>E217HD310</t>
  </si>
  <si>
    <t>OX1075D</t>
  </si>
  <si>
    <t>CH11816ECO</t>
  </si>
  <si>
    <t>WOE813</t>
  </si>
  <si>
    <t>25.111.00</t>
  </si>
  <si>
    <t>IVECO: STRALIS E TRAKKER COM MOTORES CURSOR 10 ECURSOR 13(2007&gt;...) / NEW HOLLAND: T9 SÉRIES FPT CURSOR 13 (2011&gt;2014)</t>
  </si>
  <si>
    <t>E311H01D273</t>
  </si>
  <si>
    <t>PEL2009</t>
  </si>
  <si>
    <t>LE2009</t>
  </si>
  <si>
    <t>WOE472</t>
  </si>
  <si>
    <t>LF17546</t>
  </si>
  <si>
    <t>P954658</t>
  </si>
  <si>
    <t>25.112.00</t>
  </si>
  <si>
    <t>DODGE: RAM 1500 3.0V6 ECODIESEL (2013&gt;...) / JEEP: GRAND CHEROKEE IV 3.0 CRD / MASERATI: GHIBLI, LEVANTE, QUATTROPORTE IV 3.0V6</t>
  </si>
  <si>
    <t>68229402AA</t>
  </si>
  <si>
    <t>HU7018Z</t>
  </si>
  <si>
    <t>E216H01D301</t>
  </si>
  <si>
    <t>OX1145D</t>
  </si>
  <si>
    <t>CH11794</t>
  </si>
  <si>
    <t>25.142.00</t>
  </si>
  <si>
    <t>BMW: X5 30D 3.0 2015&gt; BMW: X5 50D 3.0 2015&gt; - N. ORIGINAL BMW: 11428507683</t>
  </si>
  <si>
    <t>HU6004X</t>
  </si>
  <si>
    <t>E204HD218</t>
  </si>
  <si>
    <t>PEL729</t>
  </si>
  <si>
    <t>WOE216</t>
  </si>
  <si>
    <t>25.143.00</t>
  </si>
  <si>
    <t xml:space="preserve">AUDI: A6 AVANT QUATTRO 4.2LV8 (2005&gt;2011), A8 QUATTRO 6.0LV12 (2004&gt;2010), Q7 QUATTRO 4.2LV8 (2006&gt;2012), R8 QUATTRO 4.2LV8 5.2LV8 (2006&gt;2012), RS4 AVANT 4.2LV8 (2013&gt;...), RS5 COUPE QUATTRO 4.2LV8 (2010&gt;...), RS6 AVANT 5.0LV10 (2008&gt;2010), S6 AVANT QUATTRO 5.2LV8 (2006&gt;2011) </t>
  </si>
  <si>
    <t>HU7005X</t>
  </si>
  <si>
    <t>E813H01D188</t>
  </si>
  <si>
    <t>OX350D</t>
  </si>
  <si>
    <t>CH11079ECO</t>
  </si>
  <si>
    <t>WOE660</t>
  </si>
  <si>
    <t>25.145.00</t>
  </si>
  <si>
    <t>RENAULT: Captur 1.3 16V (2021- &gt;); Duster 1.3 16V (2021- &gt;); Duster Oroch 1.3 16V (2021- &gt;) / MEREDES BENZ: A200 1.3 (2019- &gt;); Classe CLA 1.3 (2019- &gt;)</t>
  </si>
  <si>
    <t>MERCEDES BENZ: A2811800210
RENAULT: 152095084R; 152082327R</t>
  </si>
  <si>
    <t>HU10002z</t>
  </si>
  <si>
    <t>E823HD263</t>
  </si>
  <si>
    <t>CH11442ECO</t>
  </si>
  <si>
    <t>WOE459</t>
  </si>
  <si>
    <t>25.146.00</t>
  </si>
  <si>
    <t>BMW: Série 5 528i 2.0 16V turbo (2013 &gt;); X3 20i 2.0 Bi turbo (2012-2013)</t>
  </si>
  <si>
    <t>BMW: 11427634292</t>
  </si>
  <si>
    <t>HU8002y</t>
  </si>
  <si>
    <t>PEL806</t>
  </si>
  <si>
    <t>WOE233</t>
  </si>
  <si>
    <t>25.148.00</t>
  </si>
  <si>
    <t>BMW: SÉRIE 1, 2, 4, 5, 6, 7, 8 (2015&gt;...), X3, X4, X5, X7, Z4 (2018&gt;...)</t>
  </si>
  <si>
    <t>HU6022Z</t>
  </si>
  <si>
    <t>E859HD352</t>
  </si>
  <si>
    <t>OX1146D</t>
  </si>
  <si>
    <t>WOE259</t>
  </si>
  <si>
    <t>25.149.00</t>
  </si>
  <si>
    <t>PORSCHE: 718 BOXTER, CAYMAN (982) 2.0 E 2.5 (2016&gt;...)</t>
  </si>
  <si>
    <t>9A2.107.225.00</t>
  </si>
  <si>
    <t>E911HD455</t>
  </si>
  <si>
    <t>25.151.00</t>
  </si>
  <si>
    <t>HYUNDAI: AZERA/VERACRUZ - KIA: MOHAVE/SORENTO - Nº ORIGINAL HYUNDAI: 26320-3C250. KIA: 26320-3C300</t>
  </si>
  <si>
    <t>263203C250; 263203C300;</t>
  </si>
  <si>
    <t>HU7013X</t>
  </si>
  <si>
    <t>E825HD265</t>
  </si>
  <si>
    <t>OX351D</t>
  </si>
  <si>
    <t>PEL115</t>
  </si>
  <si>
    <t>LE115</t>
  </si>
  <si>
    <t>CH10670ECO</t>
  </si>
  <si>
    <t>WOE905</t>
  </si>
  <si>
    <t>25.152.00</t>
  </si>
  <si>
    <t>LAND ROVER: DISCOVERY 4 3.0 24V V6 DIESEL (09/09-08/10); DISCOVERY 4 3.0 24V V6 DIESEL (09/09-)</t>
  </si>
  <si>
    <t>HU826X</t>
  </si>
  <si>
    <t>E832HD317</t>
  </si>
  <si>
    <t>OX1042D</t>
  </si>
  <si>
    <t>PEL724</t>
  </si>
  <si>
    <t>CH11015ECO</t>
  </si>
  <si>
    <t>WOE245</t>
  </si>
  <si>
    <t>25.153.00</t>
  </si>
  <si>
    <t>VOLKSWAGEN: GOLF 2.0 - (GTI / DSG) - GASOLINA - AUTOMÁTICO 2014&gt; - N. ORIGINAL VOLKSWAGEN: 06L115562</t>
  </si>
  <si>
    <t>HU6013Z</t>
  </si>
  <si>
    <t>E358HD246</t>
  </si>
  <si>
    <t>PEL680</t>
  </si>
  <si>
    <t>LE680</t>
  </si>
  <si>
    <t>CH11498ECO</t>
  </si>
  <si>
    <t>WOE624</t>
  </si>
  <si>
    <t>25.155.00</t>
  </si>
  <si>
    <t>MERCEDES-BENZ: CLASSE C  180 1.8 16V (09-12) / CLASSE C 200 1.8 16V (09-14) / CLASSE C200 1.8 16V ( 07-10) / CLASSE C 250 1.8 16V (09-14) / CLASSE E 200 (09-) / CLASSE E 250 (09-) / SLK 200 1.8 16V (11-15)</t>
  </si>
  <si>
    <t>HU514Y</t>
  </si>
  <si>
    <t>E207HD221</t>
  </si>
  <si>
    <t>CH11246ECO</t>
  </si>
  <si>
    <t>WOE452</t>
  </si>
  <si>
    <t>25.156.00</t>
  </si>
  <si>
    <t>MB: ACTROS 2651 BLUETEC 2011&gt;...</t>
  </si>
  <si>
    <t>A4721841225; A4731800009; A4731800309;</t>
  </si>
  <si>
    <t>HU12001Z</t>
  </si>
  <si>
    <t>E510H07D129</t>
  </si>
  <si>
    <t>OX832D</t>
  </si>
  <si>
    <t>WOE695</t>
  </si>
  <si>
    <t>P551005</t>
  </si>
  <si>
    <t>25.159.00</t>
  </si>
  <si>
    <t>HU7010Z</t>
  </si>
  <si>
    <t>E11HD204</t>
  </si>
  <si>
    <t>PEL676</t>
  </si>
  <si>
    <t>LE676</t>
  </si>
  <si>
    <t>CH11277ECO</t>
  </si>
  <si>
    <t>WOE455</t>
  </si>
  <si>
    <t>25.162.00</t>
  </si>
  <si>
    <t>MERCEDES-BENZ CLASSE C 180 / C200 / C220 / C230 / C280 / C36 / CLASSE E200 / E220 / E280 / E320 / CLASSE G320 / CLASSE M230 / CLASSE S300 / S280 / CLASSE SL280 / CLASSE SLK 230 / W300 W-24 / SSANGYONG: ACTYON / KYRON / MUSSO / REXTON</t>
  </si>
  <si>
    <t>HU727/1X</t>
  </si>
  <si>
    <t>OX133D</t>
  </si>
  <si>
    <t>PEL721</t>
  </si>
  <si>
    <t>LE721</t>
  </si>
  <si>
    <t>CH6848</t>
  </si>
  <si>
    <t>WOE430</t>
  </si>
  <si>
    <t>P502214</t>
  </si>
  <si>
    <t>25.163.00</t>
  </si>
  <si>
    <t>GM: TRAILBLAZER 3.6 V6 GASOLINA - (LTZ) - AUTOMÁTICO 2012&gt; N. ORIGINAL GM: 12593333</t>
  </si>
  <si>
    <t>HU69/3X</t>
  </si>
  <si>
    <t>E622HD145</t>
  </si>
  <si>
    <t>PL667</t>
  </si>
  <si>
    <t>CH8765</t>
  </si>
  <si>
    <t>WOE916</t>
  </si>
  <si>
    <t>25.164.00</t>
  </si>
  <si>
    <t>BMW: 118I 1.6 16V (09/11-); 316I 1.6 16V (12/13-)</t>
  </si>
  <si>
    <t>11427605342, 11427611969, 11427635557</t>
  </si>
  <si>
    <t>HU7003X</t>
  </si>
  <si>
    <t>E820HD245</t>
  </si>
  <si>
    <t>OX825D</t>
  </si>
  <si>
    <t>PEL220</t>
  </si>
  <si>
    <t>CH11461ECO</t>
  </si>
  <si>
    <t>WOE231</t>
  </si>
  <si>
    <t>25.165.00</t>
  </si>
  <si>
    <t>PORSCHE: 911 3.6 GT3 BOXER (2003&gt;2005, CAYENNE 4.5 TURBO (2002&gt;2007), CAYMAN COUPE 2.7 (2009&gt;...), CAYMAN BLACK EDITION 2.7 (2016&gt;...)</t>
  </si>
  <si>
    <t>HU719/5X</t>
  </si>
  <si>
    <t>E14HD77</t>
  </si>
  <si>
    <t>OX128/1D</t>
  </si>
  <si>
    <t>CH10512ECO</t>
  </si>
  <si>
    <t>WOE631</t>
  </si>
  <si>
    <t>25.169.00</t>
  </si>
  <si>
    <t>IVECO Stralis/Sway Euro 6: 190S42 AD S-WAY; 190S42 AS S-WAY 98; 190S42 AT S-WAY 48; 190S46 AD S-WAY</t>
  </si>
  <si>
    <t>IVECO: 5802108699</t>
  </si>
  <si>
    <t>HU12013Z</t>
  </si>
  <si>
    <t>E904H D437</t>
  </si>
  <si>
    <t>25.170.00</t>
  </si>
  <si>
    <t>MERCEDES-BENZ: VITO 111 CDI (09/14-) OM 622.951 / RENAULT: MASTER 2.3 L 16V (03/12-); 2.5 16V (03/12-)</t>
  </si>
  <si>
    <t>HU6011Z</t>
  </si>
  <si>
    <t>E212HD231</t>
  </si>
  <si>
    <t>PEL678</t>
  </si>
  <si>
    <t>LE678</t>
  </si>
  <si>
    <t xml:space="preserve">CH11163 </t>
  </si>
  <si>
    <t>WOE506</t>
  </si>
  <si>
    <t>LF17523</t>
  </si>
  <si>
    <t>25.171.00</t>
  </si>
  <si>
    <t>BMW: SÉRIE 1 125I (03/15-); SÉRIE 3 320I 2.0 16V FLEX (03/12-); 328I 2.0 16V GAS.(07/12-); 320I GT SPORT GAS. (07/12-)</t>
  </si>
  <si>
    <t>HU816Z KIT</t>
  </si>
  <si>
    <t>E61HD258</t>
  </si>
  <si>
    <t>OX387D1</t>
  </si>
  <si>
    <t>PEL218</t>
  </si>
  <si>
    <t>WOE224</t>
  </si>
  <si>
    <t>25.172.00</t>
  </si>
  <si>
    <t>MERCEDES-BENZ: CLASSE CLS350 / CLASSE E 350 / E43 / CLASSE M ML350 / MAYBACK S 500 / SL 350 / S 400 / SL 500</t>
  </si>
  <si>
    <t>HU7025Z</t>
  </si>
  <si>
    <t>CH11060</t>
  </si>
  <si>
    <t>WOE454</t>
  </si>
  <si>
    <t>25.173.01</t>
  </si>
  <si>
    <t>VOLVO: XC40 T4 - 2.0 190cv (2018- &gt;); XC50 T4 - 2.0 252cv (2018- &gt;); XC40 - 1.5 262cv (2020- &gt;)</t>
  </si>
  <si>
    <t>VOLVO: 32257123; 32257013</t>
  </si>
  <si>
    <t>HU9009Z</t>
  </si>
  <si>
    <t>E984HD546</t>
  </si>
  <si>
    <t>PEL322</t>
  </si>
  <si>
    <t>WOE814</t>
  </si>
  <si>
    <t>25.177.00</t>
  </si>
  <si>
    <t>VOLVO CARS: XC60 3.0 T6 (10/08-04/10); XC60 3.0 T6 24V (08/10-); XC90 3.2 L 24V AWD(04/10-)</t>
  </si>
  <si>
    <t>HU925/4Y</t>
  </si>
  <si>
    <t>OX433D</t>
  </si>
  <si>
    <t>PEL801</t>
  </si>
  <si>
    <t>CH10415ECO</t>
  </si>
  <si>
    <t>WOE801</t>
  </si>
  <si>
    <t>25.178.00</t>
  </si>
  <si>
    <t>MB: A 200 STYLE (04/13-); C 180 1.6 16V (03/14-); C 200 (03/14-); C 250 (05/14-); CLA 200 1.6 16V (01/14-); GLA 200 1.6 16V (09/14-)</t>
  </si>
  <si>
    <t>HU7044Z</t>
  </si>
  <si>
    <t>E818HD238</t>
  </si>
  <si>
    <t>PEL805</t>
  </si>
  <si>
    <t>LE805</t>
  </si>
  <si>
    <t>WOE458</t>
  </si>
  <si>
    <t>25.179.00</t>
  </si>
  <si>
    <t>BMW: Série 3; X1 20i; Z4;</t>
  </si>
  <si>
    <t>HU8002XKIT</t>
  </si>
  <si>
    <t>PEL232</t>
  </si>
  <si>
    <t>WOE232</t>
  </si>
  <si>
    <t>25.180.00</t>
  </si>
  <si>
    <t>VOLKSWAGEN: AMAROK HIGHLINE V6 3.0 L 24V - TDI (2017&gt;...)</t>
  </si>
  <si>
    <t>HU7012Z</t>
  </si>
  <si>
    <t>E219HD330</t>
  </si>
  <si>
    <t>OX1076D</t>
  </si>
  <si>
    <t>CH12176ECO</t>
  </si>
  <si>
    <t>WOE681</t>
  </si>
  <si>
    <t>25.181.00</t>
  </si>
  <si>
    <t>SCANIA: G 360; G 400; G 440; G 480; P 360; R 400; R 440; R 480 - DC13 FASE 7 (EURO 5) (04/10-)</t>
  </si>
  <si>
    <t>HU1077/1X</t>
  </si>
  <si>
    <t>E123H01D194</t>
  </si>
  <si>
    <t>PEL415</t>
  </si>
  <si>
    <t>LE415</t>
  </si>
  <si>
    <t>WOE471</t>
  </si>
  <si>
    <t>LF17486</t>
  </si>
  <si>
    <t>P953329</t>
  </si>
  <si>
    <t>25.185.00</t>
  </si>
  <si>
    <t>BMW: X1 20I 2.0 16V 2016&gt; SÉRIE 2 225I 2.0 TURBO 2015&gt; MINI: COOPER 1.5 TURBO 2014&gt; COOPER S 2.0 TURBO 2014&gt; N. ORIGINAL BMW: 11428570590</t>
  </si>
  <si>
    <t>HU6015Z KIT</t>
  </si>
  <si>
    <t>E833HD321</t>
  </si>
  <si>
    <t>PEL728</t>
  </si>
  <si>
    <t>WOE226</t>
  </si>
  <si>
    <t>25.187.00</t>
  </si>
  <si>
    <t>PEUGEOT: Expert Furgão turbo Blue HDI 1.6 (2017&gt;...) CITROEN: Jumpy Furgão turbo blue Hdi (2017&gt;...)</t>
  </si>
  <si>
    <t>HU7033Z</t>
  </si>
  <si>
    <t>E40HD323</t>
  </si>
  <si>
    <t>OX171/2D1</t>
  </si>
  <si>
    <t>CH9657CECO</t>
  </si>
  <si>
    <t>WOE701</t>
  </si>
  <si>
    <t>25.188.00</t>
  </si>
  <si>
    <t>BWM: 220i 2.0 - 192 cv (2016- &gt;); 330EM 2.0 - 184 cv (2020 -&gt;); 530EM 2.0 - 184 cv (2020 -&gt;); Série 1  2.0 16V - 184 cv (2016 -&gt;); X3 30i 2.0 - 252 cv (2018- &gt;)</t>
  </si>
  <si>
    <t>BMW:11428575211</t>
  </si>
  <si>
    <t>HU6014Z</t>
  </si>
  <si>
    <t>E362HD313</t>
  </si>
  <si>
    <t>OX8132D</t>
  </si>
  <si>
    <t>CH11913ECO</t>
  </si>
  <si>
    <t>25.191.00</t>
  </si>
  <si>
    <t>FORD: RANGER 2.2 E 3.2 (12-)</t>
  </si>
  <si>
    <t>HU7002Z</t>
  </si>
  <si>
    <t>E827HD270</t>
  </si>
  <si>
    <t>PEL309</t>
  </si>
  <si>
    <t>LE309</t>
  </si>
  <si>
    <t>CH11673</t>
  </si>
  <si>
    <t>WOE131</t>
  </si>
  <si>
    <t>25.196.00</t>
  </si>
  <si>
    <t>LEXUS ES 350 (06-12) / TOYOTA CAMRY 3.5 (03-11 / 11-17) / COROLLA 1.4 (07-)  / RAV 4 2.5 16V (13-)</t>
  </si>
  <si>
    <t>HU7019Z</t>
  </si>
  <si>
    <t>OX413D1</t>
  </si>
  <si>
    <t>WOE802</t>
  </si>
  <si>
    <t>25.198.00</t>
  </si>
  <si>
    <t>PORSCHE: Boxster (987), Boxster S (987) 255cv 2009&gt; ; Boxster (987), Boxster S (987) 310cv 2009&gt; ; Cayman (987), Cayman S (987) 265cv 2009&gt; ; Cayman (987), Cayman S (987) 320cv 2009&gt; ;</t>
  </si>
  <si>
    <t>HU7026Z</t>
  </si>
  <si>
    <t>OX366D</t>
  </si>
  <si>
    <t>CH11673ECO</t>
  </si>
  <si>
    <t>WOE931</t>
  </si>
  <si>
    <t>25.201.00</t>
  </si>
  <si>
    <t>BMW: 550i 4.4 V8 32V - 407 cv (2010 -&gt;); 750Ci 4.4 V8 32V - 407 cv (2010-&gt;); 750iM 4.4 V8 - 450 cv (2014-&gt;); 760Ci 6.0 V12 - 544 cv (2010 -&gt;); X5 50i 4.4 V8 32V - 407 cv (2010-&gt;); X5 50i 4.4 V8 32V - 450 cv (2014-&gt;); X5 M 4.4 V8 32V - 555 cv (2010-&gt;); X6 50i 4.4 V8 32V - 407 cv (2008-2003);</t>
  </si>
  <si>
    <t>BMW: 11427583220</t>
  </si>
  <si>
    <t>HU8007Z</t>
  </si>
  <si>
    <t>E359HD306</t>
  </si>
  <si>
    <t>OX353/6D</t>
  </si>
  <si>
    <t>PEL216</t>
  </si>
  <si>
    <t>WOE251</t>
  </si>
  <si>
    <t>25.204.00</t>
  </si>
  <si>
    <t>MERCEDES-BENZ :A 45 2.0 16V (20013&gt;...), AMG 4.0 GT (2016&gt;...), C 63S 4.0 24V (2016&gt;...), CLA 45 2.0 16V (2014&gt;...), CLS 63 5.5 32V 2014&gt;...), E 500 (2011&gt;...), E 63 5.5 32V (2011&gt;...), G 63 AMG (2012&gt;...), GLA 45 2.0 16V (2014&gt;...), S 500 (2013&gt;...), S 63 AMG (2014&gt;...), SL  500, SL 63 (2012&gt;...)</t>
  </si>
  <si>
    <t>A2781800009; A2781840125</t>
  </si>
  <si>
    <t>HU6008Z</t>
  </si>
  <si>
    <t>E155HD122</t>
  </si>
  <si>
    <t>WOE457</t>
  </si>
  <si>
    <t>25.210.00</t>
  </si>
  <si>
    <t>PORSCHE: 911 3.6 - 345 cv (2008- &gt;); 911 3.6 - 345 cv (2009- &gt;); 911 3.8 - 408 cv (2010- &gt;); 911 3.8 - 530 cv (2010- &gt;); Cayenne 4.8 - 401 cv ( 2008- &gt;); Cayenne 3.6 - 420 cv ( 2014- &gt;); Macan 3.6 - 400 cv (2015- &gt;); Macan 3.0 - 340 cv (2015- &gt;); Panamera 4.8 - 400 cv (2009- &gt;); Panamera 3.6 - 300 cv (2010- &gt;)</t>
  </si>
  <si>
    <t>PORSCHE: 94810722200</t>
  </si>
  <si>
    <t>HU9001X</t>
  </si>
  <si>
    <t>E113HD235</t>
  </si>
  <si>
    <t>OX254D4</t>
  </si>
  <si>
    <t>CH11038ECO</t>
  </si>
  <si>
    <t>25.211.00</t>
  </si>
  <si>
    <t>BMW: X1 2.0- 192 cv (2018-&gt;); X2 2.0- 192 cv (2018-&gt;); X2 1.5 - 136cv (2019-&gt;) / COOPER: Mini 2.0- 192 cv (2018- &gt;)</t>
  </si>
  <si>
    <t>BMW: 11428593186</t>
  </si>
  <si>
    <t>HU6012z KIT</t>
  </si>
  <si>
    <t>E951HD497</t>
  </si>
  <si>
    <t>CH12454ECO</t>
  </si>
  <si>
    <t>WOE238</t>
  </si>
  <si>
    <t>25.216.00</t>
  </si>
  <si>
    <t>CITROEN: 1624797780</t>
  </si>
  <si>
    <t>HU7032z</t>
  </si>
  <si>
    <t>E957HD505</t>
  </si>
  <si>
    <t>OX1237D</t>
  </si>
  <si>
    <t xml:space="preserve">CH12382 </t>
  </si>
  <si>
    <t>25.223.00</t>
  </si>
  <si>
    <t>LAND ROVER: Discovery 2.0 - 180cv (2016- &gt;); Evoque 2.0 (2012-&gt;); Velar 2.0 (2018-&gt;) / BMW: Série 3 2.0 - 184 cv (2021- &gt;) / JAGUAR: E-Pace 2.0 (2018- &gt;); XF 2.0 - 250cv (2018- &gt;)</t>
  </si>
  <si>
    <t>LAND ROVER: G4D36A692AAL994</t>
  </si>
  <si>
    <t>HU6024z</t>
  </si>
  <si>
    <t>E867HD370</t>
  </si>
  <si>
    <t>OX1138D</t>
  </si>
  <si>
    <t>PEL698</t>
  </si>
  <si>
    <t>WOE247</t>
  </si>
  <si>
    <t>HYUNDAI: AZERA 3.0 V6 24V 2012&gt;...; SANTA FÉ FLEX 3.3/ 3.5 2012&gt;...  / KIA SORENTO 3.3 V6 24V 2015&gt;...</t>
  </si>
  <si>
    <t>263203CAA0</t>
  </si>
  <si>
    <t>OX417D</t>
  </si>
  <si>
    <t>PEL722</t>
  </si>
  <si>
    <t>LE722</t>
  </si>
  <si>
    <t>CH10855</t>
  </si>
  <si>
    <t xml:space="preserve"> WOE913</t>
  </si>
  <si>
    <t>25.238.00</t>
  </si>
  <si>
    <t>VOLVO: FH 16.540; FH 16.540; FH 16.540; FH 16.550; FH 16.550; FH 16.610; FH12340; FH12340; FH12380; FH12380; FH12380; FH12400; FH12420; FH12420; FH12420; FH12440; FH12460; FH12480; FH12520; FH13400; FH13420; FH13440; FH13460; FH13460; FH13460; FH13480; FH13500; FH13500; FH13500; FH13520; FH13540; FH13550; FH13610; FH440; FM12340; FM12340; FM12380; FM12380; FM12400; FM12420; FM12420; FM12440; FM12460; FM12480; FM12520; NH12340; NH12340; NH12380; NH12420; NH12420; NH12460; VM15210; VM17210; VM17240; VM23210; VM23240; VM260; VM310</t>
  </si>
  <si>
    <t>VOLVO: 20779040;  85108176</t>
  </si>
  <si>
    <t>HU721Y</t>
  </si>
  <si>
    <t>E28HD203</t>
  </si>
  <si>
    <t>HX77</t>
  </si>
  <si>
    <t>PEH314</t>
  </si>
  <si>
    <t>CH9535ECO</t>
  </si>
  <si>
    <t>WOE811</t>
  </si>
  <si>
    <t>HF35488</t>
  </si>
  <si>
    <t>P550633</t>
  </si>
  <si>
    <t>25.248.00</t>
  </si>
  <si>
    <t>CHRYSLER: 300C 3.6 V6 (2012 &gt;); Town &amp; Country 3.6 V6 (2012 &gt;) / DODGE: Durango 3.6 24v (2012-2015); Journey  3.6 (2012-2014) / JEEP: Grand Cherokee 3.6 24v (2011-2013); Wrangler 3.6 12v (2012-2015).</t>
  </si>
  <si>
    <t>Chrysler: 68079744AB; 68079744AC</t>
  </si>
  <si>
    <t>E720HD205</t>
  </si>
  <si>
    <t>OX786D</t>
  </si>
  <si>
    <t>PEL679</t>
  </si>
  <si>
    <t>LE679</t>
  </si>
  <si>
    <t>CH10955</t>
  </si>
  <si>
    <t>WOE623</t>
  </si>
  <si>
    <t>LF16421</t>
  </si>
  <si>
    <t>25.251.00</t>
  </si>
  <si>
    <t>JEEP: Cherokee 3.2 V6 - 271cv (2014- &gt;); Grand Cherokee 3.6 V6 24V - 286 cv (2014- &gt;);  Wrangler 3.6 V6 - 284 cv (2014-2020) / DODGE: Durango 3.6 24V - 294 cv (2016- &gt;); Journey 3.6 V6 - 280 cv (2015- &gt;)</t>
  </si>
  <si>
    <t>CRYSLER: 68191349AA</t>
  </si>
  <si>
    <t>E721H</t>
  </si>
  <si>
    <t>PEL219</t>
  </si>
  <si>
    <t>CH11665</t>
  </si>
  <si>
    <t>WOE652</t>
  </si>
  <si>
    <t>LF16424</t>
  </si>
  <si>
    <t>25.252.00</t>
  </si>
  <si>
    <t>BMW: 745LE M 3.0 V6 – 286 cv (2020 --&gt;);Série 1 3.0 24V - 340cv (2016 --&gt;);X5 3.0 286 cv (2020 --&gt;);Z4 3.0 - 340 cv (2019 --&gt;);Z4 3.0 V6 - Turbo 388 cv (2021 --&gt;);</t>
  </si>
  <si>
    <t>BMW: 11428583898</t>
  </si>
  <si>
    <t>HU6022z</t>
  </si>
  <si>
    <t>PEL700</t>
  </si>
  <si>
    <t>CH12059ECO</t>
  </si>
  <si>
    <t>25.259.00</t>
  </si>
  <si>
    <t>AUDI: A6 3.0 V6 (2018- &gt;); A7 3.0 (2018- &gt;); Q8 3.0 V6 (2019- &gt;); SQ5 3.0 V6 (2017- &gt;)</t>
  </si>
  <si>
    <t>AUDI: 06M115561H; 06M198405F</t>
  </si>
  <si>
    <t>HU7049Z</t>
  </si>
  <si>
    <t>E914HD398</t>
  </si>
  <si>
    <t>OX1184D</t>
  </si>
  <si>
    <t>CH12129ECO</t>
  </si>
  <si>
    <t>WOE227</t>
  </si>
  <si>
    <t>25.260.00</t>
  </si>
  <si>
    <t>DAF: CF85 - PACCAR-MX 13(2021); CF86 - PACCAR-MX 13(2021); XF105 (2021)</t>
  </si>
  <si>
    <t>DAF: 2047411; 2151728; 2234788</t>
  </si>
  <si>
    <t>HU12009Z</t>
  </si>
  <si>
    <t>E903HD436</t>
  </si>
  <si>
    <t>LF16368</t>
  </si>
  <si>
    <t>P957929</t>
  </si>
  <si>
    <t>25.265.B0</t>
  </si>
  <si>
    <t>VOLVO: FH 16.540 (2003- &gt;); FH 16.550 (2003- &gt;); FH 16.610 (2003- &gt;); FH12420 (2003- &gt;); FH13460 (2013- &gt;); VM15210 (2005- &gt;); VM17210 (2004- &gt;); VM310 (2005- &gt;)</t>
  </si>
  <si>
    <t>VOLVO: 21479106; 1521527</t>
  </si>
  <si>
    <t>HU721/6xKIT</t>
  </si>
  <si>
    <t>E28HD174</t>
  </si>
  <si>
    <t>HE314</t>
  </si>
  <si>
    <t>WOE812</t>
  </si>
  <si>
    <t>HF35361</t>
  </si>
  <si>
    <t>P954918</t>
  </si>
  <si>
    <t>25.282.00</t>
  </si>
  <si>
    <t>MERCEDES BENZ: AMG A45 S 2.0 - 421 cv (2020- &gt;)</t>
  </si>
  <si>
    <t>MERCEDES BENZ: 1331840025; 1761800800; A1331840025; A1761800800</t>
  </si>
  <si>
    <t>HU6008/1Z</t>
  </si>
  <si>
    <t>E155H01D122</t>
  </si>
  <si>
    <t>OX1236D</t>
  </si>
  <si>
    <t>CH11792ECO</t>
  </si>
  <si>
    <t>WOE461</t>
  </si>
  <si>
    <t>25.407.01</t>
  </si>
  <si>
    <t>MASSEY FERGUNSON: SÉRIE 130, 150, 170, 180, 350 / NEW HOLLAND: 5000 SÉRIE / VALTRA: SÉRIE 100,400, 500, 700, 800, 900</t>
  </si>
  <si>
    <t>H712</t>
  </si>
  <si>
    <t>OX50D</t>
  </si>
  <si>
    <t>PH634</t>
  </si>
  <si>
    <t>CH801PL</t>
  </si>
  <si>
    <t>LF594</t>
  </si>
  <si>
    <t>P550183</t>
  </si>
  <si>
    <t>25.427.00</t>
  </si>
  <si>
    <t>CASE-STEYR: 760 / 780 / 8060 / 8070 / 8080 / 8010 / 8030 / 8050 / 8065 /  MAN TRUCK: TGA</t>
  </si>
  <si>
    <t>P919/7</t>
  </si>
  <si>
    <t>E111H</t>
  </si>
  <si>
    <t>CH957PL</t>
  </si>
  <si>
    <t>HF6161</t>
  </si>
  <si>
    <t>P550310</t>
  </si>
  <si>
    <t>25.430.00</t>
  </si>
  <si>
    <t>CASE: 4100; 4156; 4300; 4586; W10 / KOMATSU: 175B; 250; 560; 560; B175; D100; D100; D120; D120; E270; E295; F240; F270; H100; H100; H100B; H100C; H120B; H120C; H65B; H70; H80; H80A; H90; H90C; H90E; H90E; L100; L100; L175; L250A; PD105; TD14141; TD14142; TD14A; TD20; TD20; TD20E; TD22; TD24; TD25; TD25C; TD30/ MAN: D2855; D3256/ MWM: D232-12; TD232-12</t>
  </si>
  <si>
    <t>KOMATSU: 323961R91; 602998C91
CASE: 602998C91; 323961R91</t>
  </si>
  <si>
    <t>H1287/1</t>
  </si>
  <si>
    <t>LF570</t>
  </si>
  <si>
    <t>OX46</t>
  </si>
  <si>
    <t>CH337PL</t>
  </si>
  <si>
    <t>P558462</t>
  </si>
  <si>
    <t>25.463.00</t>
  </si>
  <si>
    <t>CATERPILLAR 215; 219D; 225D; 231D; 613, 619C. N. ORIGINAL CAT: 4J6064</t>
  </si>
  <si>
    <t>CATERPILLAR : 4J6064 / 1R0721 / 4J0806 / 1R0741</t>
  </si>
  <si>
    <t>H1497/1</t>
  </si>
  <si>
    <t>HX52</t>
  </si>
  <si>
    <t>PH64</t>
  </si>
  <si>
    <t>HIC64</t>
  </si>
  <si>
    <t>C1660</t>
  </si>
  <si>
    <t>HF6098</t>
  </si>
  <si>
    <t>EP205</t>
  </si>
  <si>
    <t>P556064</t>
  </si>
  <si>
    <t>25.499.00</t>
  </si>
  <si>
    <t>MERCEDES BENZ:  Automóveis 220D, 240D, TD, GD, 300D, TD, SD  ( Todos série W 123 ); MB 180D  ( 631)</t>
  </si>
  <si>
    <t>Mercedes Benz: 6011800610; 6161800510; 6171800025; 6171800009</t>
  </si>
  <si>
    <t>PF1055/1x</t>
  </si>
  <si>
    <t>E196HND03</t>
  </si>
  <si>
    <t>OX78</t>
  </si>
  <si>
    <t>PL180</t>
  </si>
  <si>
    <t>CH2930</t>
  </si>
  <si>
    <t>WO601</t>
  </si>
  <si>
    <t>LF3397</t>
  </si>
  <si>
    <t>P550314</t>
  </si>
  <si>
    <t>25.505.00</t>
  </si>
  <si>
    <t>MERCEDES BENZ: 1625L/LS (1990-1996); 1630LS (1990- &gt;); 1632LS (1990- &gt;); 1633L (1990- &gt;); 2225L (1990- &gt;); 2325L/LA/LAK (1990 - 2000); O 400 UP (1995- &gt;); O 400 UPA (1995- &gt;); O 400 UPA (1995- &gt;); OH 1628 L (1998- &gt;); OH 1628 L (1998- &gt;); OH 1630 (1993- &gt;)</t>
  </si>
  <si>
    <t>MERCEDES: 4011840025; 0001801009</t>
  </si>
  <si>
    <t>H1275X</t>
  </si>
  <si>
    <t>E174HD11</t>
  </si>
  <si>
    <t>OX71D</t>
  </si>
  <si>
    <t>PL449</t>
  </si>
  <si>
    <t>LC449</t>
  </si>
  <si>
    <t>CH2963</t>
  </si>
  <si>
    <t>WEO0008</t>
  </si>
  <si>
    <t>LF3320</t>
  </si>
  <si>
    <t>P558425</t>
  </si>
  <si>
    <t>25.539.00</t>
  </si>
  <si>
    <t>BMW: SÉRIE 7 (E32) 750I 5.0LV12 (1987&gt;1994)</t>
  </si>
  <si>
    <t>H930/2</t>
  </si>
  <si>
    <t>E128HD24</t>
  </si>
  <si>
    <t>OX41D</t>
  </si>
  <si>
    <t>CH2965</t>
  </si>
  <si>
    <t>WEO0517</t>
  </si>
  <si>
    <t>25.541.00</t>
  </si>
  <si>
    <t>BMW: SERIE 3 1.6 8V / 1.8 16V 1.9 / SERIE 5 1.8</t>
  </si>
  <si>
    <t>OX91D</t>
  </si>
  <si>
    <t>CH5151</t>
  </si>
  <si>
    <t>WOE523</t>
  </si>
  <si>
    <t>25.613.00</t>
  </si>
  <si>
    <t>SCANIA: FREIO MOTOR RETARDER</t>
  </si>
  <si>
    <t>H929/3</t>
  </si>
  <si>
    <t>E41H</t>
  </si>
  <si>
    <t>HX80</t>
  </si>
  <si>
    <t>C5953</t>
  </si>
  <si>
    <t>WEH018</t>
  </si>
  <si>
    <t>HF28917</t>
  </si>
  <si>
    <t>P550220</t>
  </si>
  <si>
    <t>25.664.00</t>
  </si>
  <si>
    <t>DAF: XF105410 (2006- &gt;); XF105460 (2006- &gt;); XF105510 (2006- &gt;); XF105560 (2006- &gt;) / IVECO: Stralis (190S33, 260S33, 440S33) (2012- &gt;); Stralis (190S36, 260S36, 440S36) (2012- &gt;); Stralis (190S40, 260S40, 440S40) (2012- &gt;); Stralis (190S41, 260S41, 440S41)(2013- &gt;); Stralis 200S37 (2013- &gt;); Stralis 200S41 (2013- &gt;); Stralis 330 (2013- &gt;); Stralis 360 (2013- &gt;); Stralis 380 (2013- &gt;); Stralis 400 (2013- &gt;); Stralis 410 (2013- &gt;); Stralis 450 E33T (2005- &gt;) ; Stralis 450 E38 (2005- &gt;); Stralis 450 S33T (2005- &gt;); Stralis 450 S38T (2005- &gt;); Stralis 450 S42T /  MERCEDES BENZ: ACTROS 2545 (2011- &gt;); ACTROS 2553 (2019- &gt;); ACTROS 2651 (2012- &gt;); ACTROS 2653 (2019- &gt;) /  VOLVO: FM370 (2013- &gt;); FM420 (2013- &gt;).</t>
  </si>
  <si>
    <t>MERCEDES BENZ: 0004604283; 0004662904
DAF: 1855687; 2027058</t>
  </si>
  <si>
    <t>H623</t>
  </si>
  <si>
    <t>E70H</t>
  </si>
  <si>
    <t>HX108</t>
  </si>
  <si>
    <t>PH623</t>
  </si>
  <si>
    <t>WEH038</t>
  </si>
  <si>
    <t>HF35489</t>
  </si>
  <si>
    <t>P954605</t>
  </si>
  <si>
    <t>25.674.00</t>
  </si>
  <si>
    <t>KOMATSU: WA300-3L; WA380-1LC; WA380-3LCE; WA380-3MC; WA420-1LC; WA450-2; WA480-5; WA480-5L; WA600; WA600-1LC; WA600-3A</t>
  </si>
  <si>
    <t>KOMATSU: 2093812470; 4214327920</t>
  </si>
  <si>
    <t>HF28880</t>
  </si>
  <si>
    <t>25.675.00</t>
  </si>
  <si>
    <t>HITACHI: CX Séries; EX Séries; FN Séries / JOHN DEERE: 200 Séries; 595D; 690E;  744E; 790E;793D</t>
  </si>
  <si>
    <t>HITACHI: 4325820; 4269317; AT147343
JOHN DEERE: AT127608; AT147343</t>
  </si>
  <si>
    <t>HD15174/1x</t>
  </si>
  <si>
    <t>EY1058HD612</t>
  </si>
  <si>
    <t>HF28909</t>
  </si>
  <si>
    <t>P550702</t>
  </si>
  <si>
    <t>25.679.00</t>
  </si>
  <si>
    <t>KOMATSU: Série D (escavadoras)</t>
  </si>
  <si>
    <t>KOMATSU: 1306048210</t>
  </si>
  <si>
    <t>HF6196</t>
  </si>
  <si>
    <t>P550082</t>
  </si>
  <si>
    <t>25.680.00</t>
  </si>
  <si>
    <t>Caterpillar 205B CATERPILLAR 3114 / 205 Deutz F4L 912 / 206B Perkins 4.236   Escavadoras Com Rodas 200 SERIES</t>
  </si>
  <si>
    <t>Caterpillar - 8U2805</t>
  </si>
  <si>
    <t>HD1258/2</t>
  </si>
  <si>
    <t>EY920H</t>
  </si>
  <si>
    <t>TH2805</t>
  </si>
  <si>
    <t>HF35252</t>
  </si>
  <si>
    <t>P175120</t>
  </si>
  <si>
    <t>25.681.00</t>
  </si>
  <si>
    <t>CATERPILLAR: 416 II; 436; 436 II; 438; 438 II; 446; 5130; 515; 5230; 525B; 527; 535B; 545; 545; 910E; 910F; D10N; D10R; D5H; D5H II; D5H LGP; D5H XL; D6H; D6H II; D6H II LGP; D6H II XL; D6H II XR; D6H LGP; D6M LGP; D6M XL; D8R; D9R; IT12F; IT14B</t>
  </si>
  <si>
    <t>CAT: 1R0735; 1R0736; 1R0777; 4T0522; 4T0523; 4T522</t>
  </si>
  <si>
    <t>HD1361</t>
  </si>
  <si>
    <t>EY885H</t>
  </si>
  <si>
    <t>HF6376</t>
  </si>
  <si>
    <t>P550523</t>
  </si>
  <si>
    <t>25.682.00</t>
  </si>
  <si>
    <t xml:space="preserve">JCB: JS160; JS220; JS110; JS115; JS30; JS145; JS200; JS300; JS450; </t>
  </si>
  <si>
    <t>JCB: KBJ1691A</t>
  </si>
  <si>
    <t xml:space="preserve">HD47 </t>
  </si>
  <si>
    <t>EY982HD530</t>
  </si>
  <si>
    <t>HF28836</t>
  </si>
  <si>
    <t>P550576</t>
  </si>
  <si>
    <t>25.687.00</t>
  </si>
  <si>
    <t>JCB: 210SL-SU; 212S-SL-SU; 214-E-PC-S-SE-SM; 215E-PC-S-SM; 217-PC-S;407BZX; 408BZX; 409BZX; 528-70; 8025; 8025ZTS; 8027Z; 8030Z; 8030ZTS; 8032Z; 8035ZTS</t>
  </si>
  <si>
    <t>JBC: 32910100; 32925346; 32913500</t>
  </si>
  <si>
    <t>HD419/1</t>
  </si>
  <si>
    <t>TH848</t>
  </si>
  <si>
    <t>HF28948</t>
  </si>
  <si>
    <t>P564859</t>
  </si>
  <si>
    <t>25.690.00</t>
  </si>
  <si>
    <t xml:space="preserve">LIEBHERR: Escavadeiras 311; A312; A314; A316; A317; A900B; A900C; A904; A14; A924; A932; A934; A942; A944; A954; A974; Série LTM1000 </t>
  </si>
  <si>
    <t>Liebherr: 10037317; 736310703; 10490559</t>
  </si>
  <si>
    <t>HD56/2</t>
  </si>
  <si>
    <t>E78H</t>
  </si>
  <si>
    <t>HF30693</t>
  </si>
  <si>
    <t>P566653</t>
  </si>
  <si>
    <t>25.706.00</t>
  </si>
  <si>
    <t>CATERPILLAR; 12 FSérie 12F; 12 Série 61M1 - UP; 12 Série 89H1 - 1224; 12 Série 89H1 225 - UP; 120 Série 13U1 - 681; 120 Série 13U942 - UP; 120 Série 61V1 - UP, 82V1 - UP; 120B; 120G; 120G; 12G; 12H; 12HES, 12HNA, 140H, 140H (ES, NA); 130 Série 74V; 130G Série 74V1 - UP; 130G; 13V, 87V, 82V; 14 Série 72G1030 - UP; 14 Série 96U1 - UP; 14 Série 96U1 - UP; 140 Serie 140; 140 Série 14U - 387; 140B; 140B; 140G Série 72V, 81V; 140G; 143H - 1AL1; 14E Série 14E; 14H - 7WJ1; 14H - 7WJ1; 14H e 14HNA; 14H; 14V, 72V, 81V; 16 Série 49G1 - UP; 16 Série 49G554 - UP; 16 Série 93U1 - UP; 163H; 16G - Série 16G; 225 - Serie 225; 22A, 35A, 36A1, 4468, 52A, 68A, 46A1, 10724; 231D; 235 - Serie 235; 235; 23H, 15V; 35V, 15V; 37A, 44A, 56A, 57A, 74A, 1751, 76A1, 2891; 38W; 47A1, 3395, 48A1, 6392; 518 II; 518 Série 50S1 - 205; 518 Série 50S206UP, 55U1UP, 94W1UP, 95U1UP; 518 Série 518; 528 Série 51S1 128; 528 Série 51S129 UP 97C1 UP; 52V; 54K1, 736, 68M1, 650, 54K, 737 e Segs.; 561 C Serie 561C; 561 62H; 561 85H; 561 92J363 - UP, 54X1 - UP; 561 92JI - 362; 571 64A1 - 151; 571 64A152 - UP; 572 65175 - UP; 572 65A1 - 150; 572 65A151 - 175; 572 65A176 - UP; 583 - Serie 583; 583 61A120 - UP; 583 61A199 - UP; 583H - Serie 583H; 613 Série 38W1 - UP; 561 85H; 561 92J363 - UP, 54X1 - UP; 561 92JI - 362; 571 64A1 - 151; 621; 621; 621B - Screp - Caterpillar 3406; 621F BZ - 8PL1 e 9NL1; 621F BZ - 8PL1 e 9NL1; 623 Série 46P1 - UP; 623 Série 52V1 - UP; 627 Série 14S1 - UP, 15S1 - UP; 627 Série 54K1 - UP, 68M1 - 650; 627 Série 54K1451 - UP; 627 Série 54K737 - 888; 627 Série 68M1551 - UP; 627 Série 68M651 - 878; 627G e 637G; 631 Série 24W1 - UP; 631 Série 67M1 - UP; 633 Série 66782 - UP; 637 Série 63M305 - UP; 637 Série 64N1304; 637 Série 65M, 79P; 637 Série 91N374 - UP; 637 Série 92N1204; 637 Série 92N205 - UP; 637 Séries 26W1 - UP e 27W1 - UP; 639D Série 99X1 - UP; 641 Série 65K1 - 900; 641 Série 65K901 - UP; 641B; 650 Série 58K1 - 354; 650 Série 58K355 - UP; 651 Série 67K1 - 508; 651 Série 67K509 - UP; 651B; 657 Série 67K1 - 826 e 68K829; 657 Série 68K827 - UP Exceto 68K829; 657 Série 86Z1, 87Z1; 660 Série 58K1 - 354; 660 Série 58K355 - UP; 666 Série 66K1 - 226; 666 Série 66K227; 66M 782 e Segs. 25W; 67M, 24W; 72G, 96V; 740; 740; 740E; 740E; 75D - 5AR1-UP; 769 1X1 - UP; 777B; 785; 785; 789 Série 9ZC1 - UP; 789; 793B, 270 Ton.; 814 90P157 - UP, 14R1 - UP; 814 Série 90P1 - 156; 814B Série 16Z1 - UP; 815 Série 91P - 243; 815 Série 91P244 - 919E e 91P25; 815 Série 91P920 - UP exceto 91P25 15R1-UP; 815B Série 17Z1 - UP; 816 - Série 816; 816 Série 15Z1 - UP; 816 Série 57U1 - UP; 824; 825C Série 86X1 - UP; 834 Série 92Z1 - UP; 910 Série 45Y22861 - 33060; 910 Série 80U1 - UP, 40Y1 - UP; 910F; 910F; 920 Série 62K3390 - 4605 exceto 62K3394; 920 Série 62K4606 - 7094, 62K7095 - UP; 920 Série 75J1 - UP; 930 Série 41K1 - 2626; 930 Série 41K2327, 5314; 930 Série 73M1 - UP, 79J1 - UP; 931 Série 78U1 - UP, 10N1 - UP; 939; 941 Série 70H1 - UP, 16U1 - UP; 941 Série 80H - 3085 - UP, Exceto 80H - 3087; 941 Série 80H1 - 3085, 80H3 - 3087; 941B - Serie 941B / 941 - Serie 941; 94U - Serie 94U; 950 Série 81J - 4272 - 31K - 1015; 950 Série 81J4 - 4273 - 5410 - 31K1016 - 1200; 920 Série 62K4606 - 7094, 62K7095 - UP; 920 Série 75J1 - UP; 930 Série 41K1 - 2626; 930 Série 41K2327, 5314; 951 Série 79H; 951 Série 86J1 - 1991; 951 Série 86J1 - 1992 - 2597; 951 Série 86J2598 - 4041, 86J4042 - UP; 955 Série 13X1 - UP, 57M1 - UP, 8Y1 - UP; 955 Série 61H; 955 Série 85J1, 4729E, 85J4732, 33, 37; 955 Série 85J9510 - UP; 95J310 e Segs. 96J2798 e Segs. 98J1134 Todos; 963; 966 Série 33A; 966 Série 35S1 - UP; 966 Série 76J1 - 4836, 30K1 - 1337; 966 Série 76J4837 - 5269, 30K1338 - 1400; 966 Série 76J5270 - UP, 30K1401 - UP; 966D Série 99Y1 - UP; 980 Série 42H1 - UP; 980 Série 63X1 - UP; 980 Série 8964784 - UP; 980 Série 89P1 - 1529, 89P1 - 1539; 980 Série 89P153 - 1878, Exceto 89P1539; 980 Série 89P1879 - 4783; 980 Série 89P4784 - UP; 980F; 980G - 9CM00714; 980G II; 980G; 988B Série 50W1 - UP; 992C Série 992C; D250E II - 4PS1-UP; D250E II - 4PS1; D250E II - 4PS1; D3 Série 79U1 - UP; D300E - 7FN1; D300E II - 5KS1; D330 - 9VA1; D350D - 9RF1; D350E - 2XW1; D350E - 9LR1; D350E II - 2XW1; D3C; D4 Série 28X1 - 1726; D4 Série 28X1727 - UP; D4 Série 29X1 - UP, 72X1 - UP, 52X1 - UP; D4 Série 74U1 - UP, 97F1 - UP; D4 Série 82J - 3256, 82J - 3260UP, 82J - 181UP, 84J - 1390UP; D4 Série 82J, 83J, 84J, 97F, 74V, 76W, 77W; D4 Série 82JI - 3259, 83J1 - 1810 - 84J1 -1369; D400 - 1MD / 2JJ / 2YR / 8TF; D400D - 1MD / 2JJ / 2YR / 8TF; D400E - 2YR1; D4H Série 2ACI - UP; D4H Série 8PB1 - UP; D4H Série 9DB1 - UP; D4H; D4H; D4H; D5 Série 26X1 - UP, 21Y1 - UP; D5 Série 81H1 - UP, 82H1 - UP, 83H1 - 455, 84H1 - 809; D5 Série 93J - 677; D5 Série 93J - 678 - 904; D5 Série 93J905 - UP; D5 Série 94HI705 - 2448; D5 Série 94J1 - 1704; D5 Série 95J1 - 309; D5 Série 95J310 - UP; D5 Série 96J1 - 2797; D5 Série 96J2798 - UP; D5 Série 98J1 - 1133; D5 Série 98J1134 - 1590; D5 Série 98J1591 - UP; D5B Série D5B; D5E DD; D5H Série 1DD1 - UP; D5H Série 7NC1 - UP; D5H Série 8RC1 - UP; D6 Série 37A, 44A, 56A, 57A; D7 Série 47A1 - 3395; D7 Série 48A1 - 6392; D8 Série 22A, 35A, 36A1 - 4468; D8 Série 52A, 68A, 46A, 10724; D8L Série 53Y1 - UP; D9 Série 34A; D9 Série 66A1 - 3074; D9 Série 66A3075 - 3265; D9L Série 14Y1 - UP; D9L Série 14Y1 - UP; D5H Série 1DD1 - UP; D5H Série 7NC1 - UP; D5H Série 8RC1 - UP; D6 Série 37A, 44A, 56A, 57A; 951 Série 79H; 951 Série 86J1 - 1991; 951 Série 86J1 - 1992 - 2597; 951 Série 86J2598 - 4041, 86J4042 - UP; 955 Série 13X1 - UP, 57M1 - UP, 8Y1 - UP; 955 Série 61H; 955 Série 85J1, 4729E, 85J4732, 33, 37; 955 Série 85J9510 - UP; 95J310 e Segs. 96J2798 e Segs. 98J1134 Todos; 963; 966 Série 33A; 966 Série 35S1 - UP; 966 Série 76J1 - 4836, 30K1 - 1337; 966 Série 76J4837 - 5269, 30K1338 - 1400; 966 Série 76J4837 - 5269, 30K1338 - 1400; 966 Série 76J5270 - UP, 30K1401 - UP; 966D Série 99Y1 - UP; 980 Série 42H1 - UP; 980 Série 63X1 - UP; 980 Série 8964784 - UP; 980 Série 89P1 - 1529, 89P1 - 1539; 980 Série 89P153 - 1878, Exceto 89P1539; 980 Série 89P1879 - 4783; 980 Série 89P4784 - UP; 980F; 980G - 9CM00714; 980G II; 980G; 988B Série 50W1 - UP; 992C Série 992C; D250E II - 4PS1-UP; D250E II - 4PS1; D250E II - 4PS1; D3 Série 79U1 - UP; D300E - 7FN1; D300E II - 5KS1; D330 - 9VA1; D350D - 9RF1; D350E - 2XW1; D350E - 9LR1; D350E II - 2XW1; D3C; D4 Série 28X1 - 1726; D4 Série 28X1727 - UP; D4 Série 29X1 - UP, 72X1 - UP, 52X1 - UP; D4 Série 74U1 - UP, 97F1 - UP; D4 Série 82J - 3256, 82J - 3260UP, 82J - 181UP, 84J - 1390UP; D4 Série 82J, 83J, 84J, 97F, 74V, 76W, 77W; D4 Série 82JI - 3259, 83J1 - 1810 - 84J1 -1369; D400 - 1MD / 2JJ / 2YR / 8TF; D400D - 1MD / 2JJ / 2YR / 8TF; D400E - 2YR1; D4H Série 2ACI - UP; D4H Série 8PB1 - UP; D4H Série 9DB1 - UP; D4H; D5 Série 26X1 - UP, 21Y1 - UP; D5 Série 81H1 - UP, 82H1 - UP, 83H1 - 455, 84H1 - 809; D5 Série 93J - 677; D5 Série 93J - 678 - 904; D5 Série 93J905 - UP; D5 Série 94HI705 - 2448; D5 Série 94J1 - 1704; D5 Série 95J1 - 309; D5 Série 95J310 - UP; D5 Série 96J1 - 2797; D5 Série 96J2798 - UP; D5 Série 98J1 - 1133; D5 Série 98J1134 - 1590; D5 Série 98J1591 - UP; D5B Série D5B; D5E DD; D5H Série 1DD1 - UP; D5H Série 7NC1 - UP; D5H Série 8RC1 - UP; D6 Série 37A, 44A, 56A, 57A; D7 Série 47A1 - 3395; D7 Série 48A1 - 6392; D8 Série 22A, 35A, 36A1 - 4468; D8 Série 52A, 68A, 46A, 10724; D8L Série 53Y1 - UP; D9 Série 34A; D9 Série 66A1 - 3074; D9 Série 66A3075 - 3265; D9L Série 14Y1 - UP; D9L Série 14Y1 - UP; RT80; D5H Série 7NC1 - UP; D5H Série 8RC1 - UP; D6 Série 37A, 44A, 56A, 57A; D7 Série 47A1 - 3395</t>
  </si>
  <si>
    <t>CAT: 4W4840; 9M9774; 7M5264</t>
  </si>
  <si>
    <t>HD1057</t>
  </si>
  <si>
    <t>EG49H</t>
  </si>
  <si>
    <t>OX216D</t>
  </si>
  <si>
    <t>PH1960</t>
  </si>
  <si>
    <t>HIC1960</t>
  </si>
  <si>
    <t>CH155APL</t>
  </si>
  <si>
    <t>WEO0020</t>
  </si>
  <si>
    <t>HF6097</t>
  </si>
  <si>
    <t>P87</t>
  </si>
  <si>
    <t>P559740</t>
  </si>
  <si>
    <t>25.707.00</t>
  </si>
  <si>
    <t>JOHN DEERE: WA14; WA17 / KOMATSU: D-Series / CASE: Retro escavadeira 1000; 300 / CLARK: 110; 125; 175; 210; 275; 280; 310; 380; 410; 475; 75; 85 / MULLER: D222D; TI25; TI36; TM25; TM28; TM31</t>
  </si>
  <si>
    <t>CUMMINS: 158139
KOMATSU: 6610515100; 6710514401</t>
  </si>
  <si>
    <t>H13153</t>
  </si>
  <si>
    <t>OX218D</t>
  </si>
  <si>
    <t>PL516</t>
  </si>
  <si>
    <t>CH211A</t>
  </si>
  <si>
    <t>LF516</t>
  </si>
  <si>
    <t>P550516</t>
  </si>
  <si>
    <t>25.907.00</t>
  </si>
  <si>
    <t>SCANIA: G230 - G490; G New generation (G280 - G500); L (L220-L360); P (P230 - P490); P New Generation (P220 - P500); R (R230 - R730).</t>
  </si>
  <si>
    <t>SCANIA: 1769799; 1769800; 2153365</t>
  </si>
  <si>
    <t>ZR12001z</t>
  </si>
  <si>
    <t>25.908.00</t>
  </si>
  <si>
    <t>CATERPILLAR: Série 900 ( Pá Carregadeira )</t>
  </si>
  <si>
    <t>CAT:9J0750; 1R0722</t>
  </si>
  <si>
    <t>HD1383</t>
  </si>
  <si>
    <t>EY48H</t>
  </si>
  <si>
    <t>PEH831</t>
  </si>
  <si>
    <t>HF6202</t>
  </si>
  <si>
    <t>PI470</t>
  </si>
  <si>
    <t>P555461</t>
  </si>
  <si>
    <t>25.VCC.01</t>
  </si>
  <si>
    <t>VOLVO: S60 2.0 - 407cv (2020- &gt;); XC60 2.0 - 407cv (2020- &gt;); S90 2.0 - 407cv (2020- &gt;) XC90 2.0 - 407cv (2020- &gt;); XC40 1.5 - 180cv (2020- &gt;)</t>
  </si>
  <si>
    <t>VOLVO: 32257032</t>
  </si>
  <si>
    <t>WOE817</t>
  </si>
  <si>
    <t>26.001.00</t>
  </si>
  <si>
    <t xml:space="preserve">A 541 090 00 51, A 541 090 01 51, A 541 092 03 05, A 541 092 04 05, A 541 092 05 05, A 541 092 06 05, A 541 092 08 05, A 541 092 09 05, A 457 090 00 51
</t>
  </si>
  <si>
    <t>PU999/1X</t>
  </si>
  <si>
    <t>E500KP02D36</t>
  </si>
  <si>
    <t>KX80D</t>
  </si>
  <si>
    <t>PEC3021</t>
  </si>
  <si>
    <t>CE3021</t>
  </si>
  <si>
    <t>C5932ECO</t>
  </si>
  <si>
    <t>FCD0769</t>
  </si>
  <si>
    <t>FF5405</t>
  </si>
  <si>
    <t>P550762</t>
  </si>
  <si>
    <t>26.004.00</t>
  </si>
  <si>
    <t>MAN caminhões: Série TGA 2000&gt;
MAN onibus:  Série Lion's</t>
  </si>
  <si>
    <t>MAN 51.12503-0056</t>
  </si>
  <si>
    <t>PU855X</t>
  </si>
  <si>
    <t>E56KPD72</t>
  </si>
  <si>
    <t>KX731</t>
  </si>
  <si>
    <t>C9670ECO</t>
  </si>
  <si>
    <t>FF5481</t>
  </si>
  <si>
    <t>P502524</t>
  </si>
  <si>
    <t>26.008.00</t>
  </si>
  <si>
    <t>SCANIA: SÉRIE P (P230, P270, P310) (04-); SÉRIE R (R480) (05-); SÉRIE 4 (164R) (02-); SCANIA BUS K-SÉRIE (K230, K270, K310) (05-)</t>
  </si>
  <si>
    <t xml:space="preserve">144 6432, 187 3018, 142 9059
</t>
  </si>
  <si>
    <t>PU941X</t>
  </si>
  <si>
    <t>E57KPD73</t>
  </si>
  <si>
    <t>KX182/1D</t>
  </si>
  <si>
    <t>PEC3024</t>
  </si>
  <si>
    <t>CE3024</t>
  </si>
  <si>
    <t>C9517ECO</t>
  </si>
  <si>
    <t>FCD0951</t>
  </si>
  <si>
    <t>FF5423</t>
  </si>
  <si>
    <t>P550628</t>
  </si>
  <si>
    <t>26.010.00</t>
  </si>
  <si>
    <t>SCANIA: G360, G400, G440, G480 N°ORIGINAL:1459762</t>
  </si>
  <si>
    <t>PU941/1X</t>
  </si>
  <si>
    <t>E68KP01D73</t>
  </si>
  <si>
    <t>PEC3015</t>
  </si>
  <si>
    <t>CE3015</t>
  </si>
  <si>
    <t>FCD0791</t>
  </si>
  <si>
    <t>FF5684</t>
  </si>
  <si>
    <t>26.011.00</t>
  </si>
  <si>
    <t>2V5 201 512</t>
  </si>
  <si>
    <t>PU1059X</t>
  </si>
  <si>
    <t>E422KPD98</t>
  </si>
  <si>
    <t>PEC3014</t>
  </si>
  <si>
    <t>CE3014</t>
  </si>
  <si>
    <t>C10313</t>
  </si>
  <si>
    <t>FCD0952</t>
  </si>
  <si>
    <t>FF5629</t>
  </si>
  <si>
    <t>P785373</t>
  </si>
  <si>
    <t>26.017.00</t>
  </si>
  <si>
    <t>A 906 092 02 05, A 906 092 03 05, A 906 092 05 05, A 906 090 00 51, A 000 090 12 51, A 000 090 15 51</t>
  </si>
  <si>
    <t>PU1046X</t>
  </si>
  <si>
    <t>E52KPD36</t>
  </si>
  <si>
    <t>KX67/2D</t>
  </si>
  <si>
    <t>PEC3022</t>
  </si>
  <si>
    <t>CE3022</t>
  </si>
  <si>
    <t>C8826</t>
  </si>
  <si>
    <t>FCD0768</t>
  </si>
  <si>
    <t>FF5380</t>
  </si>
  <si>
    <t>P550632</t>
  </si>
  <si>
    <t>26.019.01</t>
  </si>
  <si>
    <t>GRAND CHEROKEE LIMITED 3.0 24V (2014&gt;...)</t>
  </si>
  <si>
    <t>K04726067AA</t>
  </si>
  <si>
    <t>PU7006</t>
  </si>
  <si>
    <t>FCD0776/1</t>
  </si>
  <si>
    <t>26.020.00</t>
  </si>
  <si>
    <t>VOLVO: XC60 2.4 (2015- &gt;)</t>
  </si>
  <si>
    <t>VOLVO: 30794824; 31273979; 31336192; 31342920</t>
  </si>
  <si>
    <t>PU9003z</t>
  </si>
  <si>
    <t>E100KP01D182</t>
  </si>
  <si>
    <t>KX393DECO</t>
  </si>
  <si>
    <t>FCD0815</t>
  </si>
  <si>
    <t>26.024.00</t>
  </si>
  <si>
    <t>DAF: CF75.310 (2006- &gt;); CF75.360 (2006- &gt;); CF85.360 (2006- &gt;); CF85.410 (2006- &gt;); CF85.460 (2006- &gt;); CF85.510 (2006- &gt;); CF85410 (2006- &gt;); CF85460 (2017- &gt;); XF105510 (2006- &gt;).</t>
  </si>
  <si>
    <t>DAF: 1699168; 1643080; 1537109</t>
  </si>
  <si>
    <t>PU966/1x</t>
  </si>
  <si>
    <t>E82KPD36</t>
  </si>
  <si>
    <t>KX262D</t>
  </si>
  <si>
    <t>PEC3016</t>
  </si>
  <si>
    <t>CE3016</t>
  </si>
  <si>
    <t>FCD0956</t>
  </si>
  <si>
    <t>FF5695</t>
  </si>
  <si>
    <t>P550863</t>
  </si>
  <si>
    <t>26.034.00</t>
  </si>
  <si>
    <t>IVECO DAILY 35S14, 45S17, 55C17, 70C17 ECOLINE DE 2014&gt; - N. ORIGINAL IVECO: 500054702</t>
  </si>
  <si>
    <t xml:space="preserve">500086009, 500054702, 5801354114 </t>
  </si>
  <si>
    <t>PU7004Z</t>
  </si>
  <si>
    <t>E438KP01D267</t>
  </si>
  <si>
    <t>PEC3045</t>
  </si>
  <si>
    <t>CE3045</t>
  </si>
  <si>
    <t>FCD0778</t>
  </si>
  <si>
    <t>FF5834</t>
  </si>
  <si>
    <t>26.042.02</t>
  </si>
  <si>
    <t>GM: S10 2.8 TDCI (NOVA) DE 2012&gt; N. ORIGINAL GM: 94771044</t>
  </si>
  <si>
    <t>94771044, 52100212</t>
  </si>
  <si>
    <t>KX444D</t>
  </si>
  <si>
    <t>PEC3029</t>
  </si>
  <si>
    <t>CE3029</t>
  </si>
  <si>
    <t>C11723</t>
  </si>
  <si>
    <t>FCD0777</t>
  </si>
  <si>
    <t>26.043.00</t>
  </si>
  <si>
    <t>CASE: AXIAL - FLOW 7230 CASE FPT (01/13-), AXIAL - FLOW 8230 CASE FPT (01/13-), AXIAL-FLOW 9230 FPT, MAGNUM-SÉRIE 235 TIER 4, 260 TIER 4, 290 TIER 4, 315 TIER 4, 340 TIER 4, 370 (09/12-) / IVECO: STRALIS / HI-WAY 330 (190S33, 260S33, 440S33) (01/13-) CURSOR 9 (F2CFE611); 360 (190S36, 260S36, 440S36) (01/13-) CURSOR 9 (F2CFE611); 400 (190S40, 260S40, 440S40) (01/13-) CURSOR 9 (F2CFE611)</t>
  </si>
  <si>
    <t>5801439820, 504350911</t>
  </si>
  <si>
    <t>PU10020X</t>
  </si>
  <si>
    <t>E128KPD302</t>
  </si>
  <si>
    <t>FCD0935</t>
  </si>
  <si>
    <t>FF5857</t>
  </si>
  <si>
    <t>26.044.00</t>
  </si>
  <si>
    <t>IVECO: Stralis 260 S 42 - 2013&gt;...; CASE IH: Axial Flow 240 Serie 7240 - 2014&gt;...</t>
  </si>
  <si>
    <t>5801516883; 5801439821; 4572242;</t>
  </si>
  <si>
    <t>PU10013Z</t>
  </si>
  <si>
    <t>E125KPD302</t>
  </si>
  <si>
    <t>FF5858</t>
  </si>
  <si>
    <t>26.045.00</t>
  </si>
  <si>
    <t>TOYOTA: HILUX 3.0 16V TDI DIESEL (06-); 2.5 16V TB DIESEL (06-)</t>
  </si>
  <si>
    <t>23390-0L010, 23390-0L041</t>
  </si>
  <si>
    <t xml:space="preserve">PU835X </t>
  </si>
  <si>
    <t>E492KPD371</t>
  </si>
  <si>
    <t>KX268D</t>
  </si>
  <si>
    <t>PC949</t>
  </si>
  <si>
    <t>FN949</t>
  </si>
  <si>
    <t>C10353</t>
  </si>
  <si>
    <t>JFC207/2</t>
  </si>
  <si>
    <t>P505973</t>
  </si>
  <si>
    <t>26.052.00</t>
  </si>
  <si>
    <t>77366216, 77366607, 77366330, 77366642, 95514999, 673001463, 818021, 818025</t>
  </si>
  <si>
    <t>PU7005</t>
  </si>
  <si>
    <t>E104KP</t>
  </si>
  <si>
    <t>KX543D</t>
  </si>
  <si>
    <t>PEC3041</t>
  </si>
  <si>
    <t>CE3041</t>
  </si>
  <si>
    <t>FCD0793</t>
  </si>
  <si>
    <t>26.053.00</t>
  </si>
  <si>
    <t>CITROEN: JUMPER III 2.0 BLUE HDI 130  2019&gt;...; PEUGEOT: BOXER III 2.0 BLUE HDI 130 2019&gt;...</t>
  </si>
  <si>
    <t>PU7015</t>
  </si>
  <si>
    <t>E460KP</t>
  </si>
  <si>
    <t xml:space="preserve">FCD0794 </t>
  </si>
  <si>
    <t>26.062.00</t>
  </si>
  <si>
    <t>JOHN DEERE: Série 8R; Série S</t>
  </si>
  <si>
    <t>JOHN DEERE: 01060S; N378886</t>
  </si>
  <si>
    <t>PU911</t>
  </si>
  <si>
    <t>E1030K</t>
  </si>
  <si>
    <t>KX332</t>
  </si>
  <si>
    <t>FCD0807</t>
  </si>
  <si>
    <t>FS19605RW</t>
  </si>
  <si>
    <t>P502392</t>
  </si>
  <si>
    <t>26.072.00</t>
  </si>
  <si>
    <t>IVECO: DAILY 2013&gt; N. ORIGINAL: 504170771</t>
  </si>
  <si>
    <t>PU9002X</t>
  </si>
  <si>
    <t>E423KPD206</t>
  </si>
  <si>
    <t>PEC3040</t>
  </si>
  <si>
    <t>CE3040</t>
  </si>
  <si>
    <t>C10635</t>
  </si>
  <si>
    <t>FCD0784</t>
  </si>
  <si>
    <t>FF271</t>
  </si>
  <si>
    <t>26.074.00</t>
  </si>
  <si>
    <t>FORD: TRANSIT 2.2L 16V (2011&gt;...)</t>
  </si>
  <si>
    <t>PU12003Z</t>
  </si>
  <si>
    <t>E433KPD257</t>
  </si>
  <si>
    <t>KX387D ECO</t>
  </si>
  <si>
    <t>PEC3026</t>
  </si>
  <si>
    <t>CE3026</t>
  </si>
  <si>
    <t>FCD0786</t>
  </si>
  <si>
    <t>26.076.00</t>
  </si>
  <si>
    <t>PU7014z</t>
  </si>
  <si>
    <t>E9KFRD417</t>
  </si>
  <si>
    <t>26.079.00</t>
  </si>
  <si>
    <t xml:space="preserve">RAM: Rampage Rebel Turbo Diesel (2024-&gt;); Rampage Rebel Hurricane 4 (2024-&gt;); Rampage Laramie Turbo (2024-&gt;); Rampage Laramie Hurricane (2024-&gt;); Rampage R-T Hurricane 4 (2024-&gt;) / FIAT: Toro 2.0 DIESEL (01/16-); Ducato 2.3 16V - 130 cv (2018-&gt;) / JEEP: Renegade 2.0 M-JET (03/15-); Commander 2.0 - 170 cv (2021-&gt;) </t>
  </si>
  <si>
    <t>FIAT: 77367623</t>
  </si>
  <si>
    <t>PU7019</t>
  </si>
  <si>
    <t>26.080.00</t>
  </si>
  <si>
    <t>IVECO: DAILY 30-130 2.3 FPT 130CV 2020&gt;...; DAILY 35-150 3.0 FPT 146CV 2020&gt;...; DAILY 45-170 3.0</t>
  </si>
  <si>
    <t>PU7017Z</t>
  </si>
  <si>
    <t>E480KPD430</t>
  </si>
  <si>
    <t>KX564D</t>
  </si>
  <si>
    <t>FCD0806</t>
  </si>
  <si>
    <t>26.088.00</t>
  </si>
  <si>
    <t xml:space="preserve">Volkswagen: TGX 28.440; TGX 29.440; TGX 29.480; TGX 33.440 </t>
  </si>
  <si>
    <t>Volkswagen: 07W127177B</t>
  </si>
  <si>
    <t>PU50Z</t>
  </si>
  <si>
    <t>E11S03D65</t>
  </si>
  <si>
    <t>KX72D2</t>
  </si>
  <si>
    <t>FCD0965</t>
  </si>
  <si>
    <t>FF73100</t>
  </si>
  <si>
    <t>26.102.00</t>
  </si>
  <si>
    <t>FORD: RANGER 2.2 16V TDCI TURBO DIESEL 2012&gt; N. ORIGINAL : FORD: AB3J9176AC</t>
  </si>
  <si>
    <t>PC951</t>
  </si>
  <si>
    <t>FN951</t>
  </si>
  <si>
    <t>C11507</t>
  </si>
  <si>
    <t>FCD0785</t>
  </si>
  <si>
    <t>26.104.00</t>
  </si>
  <si>
    <t>Elemento Filtrante do Combustível</t>
  </si>
  <si>
    <t>PEUGEOT: Expert Furgão turbo Blue HDI 1.6 (2017-&gt;) /  CITROEN: Jumpy Furgão turbo blue Hdi (2017- &gt;)</t>
  </si>
  <si>
    <t>CITROEN / PEUGEOT: 9801366680</t>
  </si>
  <si>
    <t>PU7011Z</t>
  </si>
  <si>
    <t>E444KPD308</t>
  </si>
  <si>
    <t>KX420D</t>
  </si>
  <si>
    <t>PEC3050</t>
  </si>
  <si>
    <t>C12461ECO</t>
  </si>
  <si>
    <t>FCD0727</t>
  </si>
  <si>
    <t>26.114.00</t>
  </si>
  <si>
    <t>MERCEDES-BENZ: VITO 111 CDI 1.6 (2016&gt;...) VITTO 11 OM 622 (2016&gt;...)</t>
  </si>
  <si>
    <t>PU9009Z KIT</t>
  </si>
  <si>
    <t>E446KPD318</t>
  </si>
  <si>
    <t>KX338/22D</t>
  </si>
  <si>
    <t>CS11971</t>
  </si>
  <si>
    <t>FCD0797</t>
  </si>
  <si>
    <t>26.116.01</t>
  </si>
  <si>
    <t>FORD: Ranger Limited 3.2 20V 4x4 CD (2021-2022); Ranger XLT 3.2 20V 4x4 CD (2021-2022); Ranger TROPIVAN 3.2 20V 4X4 TB (2021); Ranger XLS 2.2 4x4 CD (2021-2022); Ranger XLS 2.2 4x2 CD Diesel (2021-2022); Ranger Storm 3.2 20V 4x4 CD (2021-2022); Ranger Black 2.2 4x2 CD (2022)</t>
  </si>
  <si>
    <t>FORD: EB3Z9365A; 3B3G9176AA</t>
  </si>
  <si>
    <t>FCD0812</t>
  </si>
  <si>
    <t>26.139.00</t>
  </si>
  <si>
    <t>TOYOTA: Hilux 2.8 16V - 177 cv (2016- &gt;)</t>
  </si>
  <si>
    <t>233900L070</t>
  </si>
  <si>
    <t>PU9023z</t>
  </si>
  <si>
    <t>E467KPD384</t>
  </si>
  <si>
    <t>KX570D</t>
  </si>
  <si>
    <t>PC953</t>
  </si>
  <si>
    <t>FN953</t>
  </si>
  <si>
    <t>CS12054</t>
  </si>
  <si>
    <t>JFC207/3</t>
  </si>
  <si>
    <t>26.147.00</t>
  </si>
  <si>
    <t>SCANIA: R450 (2013- &gt;); Série G - Euro 5 (2019- &gt;); Série P - Euro 5 (2019- &gt;); Série R - Euro 5 (2019- &gt;); Série S - Euro 5 (2019- &gt;)</t>
  </si>
  <si>
    <t>SCANIA: 1736248; 1736250; 1736251; 1794863; 1865227; 1920628; 2003505; 2022753; 2022754</t>
  </si>
  <si>
    <t>PU10003-2X</t>
  </si>
  <si>
    <t>E103KP01D1972</t>
  </si>
  <si>
    <t>KX439KIT</t>
  </si>
  <si>
    <t>PEC3063KIT</t>
  </si>
  <si>
    <t>FCD0972 / FCD0973</t>
  </si>
  <si>
    <t>MK13381</t>
  </si>
  <si>
    <t>26.150.B0</t>
  </si>
  <si>
    <t>MAN: TGX 28.440 (2018- &gt;); TGX 29.440 (2018- &gt;); TGX 29.480 (2018- &gt;); TGX 33.440 (2018- &gt;) / VOLKSWAGEN: Constellation 33.460 (2021- &gt;); Meteor 28.460 (2021- &gt;); Meteor 29.520 (2021- &gt;).</t>
  </si>
  <si>
    <t>MAN: 51125030112; 51125030112</t>
  </si>
  <si>
    <t>PU10022z</t>
  </si>
  <si>
    <t>E422KP04D322</t>
  </si>
  <si>
    <t>PEC3012</t>
  </si>
  <si>
    <t>FCD0968</t>
  </si>
  <si>
    <t>FF5863</t>
  </si>
  <si>
    <t>26.196.B0</t>
  </si>
  <si>
    <t>Fuel Filter (KIT)</t>
  </si>
  <si>
    <t>SCANIA: G380; G410; G450; G500; G540; P410; R450; S450; S500; S540; R410; R500; R540</t>
  </si>
  <si>
    <t>2878847 (KIT); 2779190 (item 1); 2879243 (item 2)</t>
  </si>
  <si>
    <t>PU10034/2x</t>
  </si>
  <si>
    <t>E826KPD7242</t>
  </si>
  <si>
    <t>FCD0970
FCD0971</t>
  </si>
  <si>
    <t>26.207.B0</t>
  </si>
  <si>
    <t>VOLKSWAGEM: Delivery 9.170; 11.180 (Cummins ISF 3.8L - 165/175cv) -- 2017-&gt;</t>
  </si>
  <si>
    <t>23B127177</t>
  </si>
  <si>
    <t>PU9178</t>
  </si>
  <si>
    <t>E820KPD703</t>
  </si>
  <si>
    <t>PEC7177</t>
  </si>
  <si>
    <t>FCD0962</t>
  </si>
  <si>
    <t>FS20221</t>
  </si>
  <si>
    <t>RE120LJ10MAQII</t>
  </si>
  <si>
    <t>26.208.B0</t>
  </si>
  <si>
    <t>VOLKSWAGEM: Delivery 6.160; Express; Express 4.150 (Cummins ISF 2.8L - 150/160cv) -- 2017-&gt;</t>
  </si>
  <si>
    <t>VW: 23B127177B</t>
  </si>
  <si>
    <t>PU9144</t>
  </si>
  <si>
    <t>E822KPD705</t>
  </si>
  <si>
    <t>FCD0969</t>
  </si>
  <si>
    <t>FS20233</t>
  </si>
  <si>
    <t>RE30J10MAQII</t>
  </si>
  <si>
    <t>26.209.B0</t>
  </si>
  <si>
    <t>MERCEDES BENZ: Accelo; Arocs; Atego; Axor (OM 924 LA / OM 460 LA ) -- 2017-&gt;</t>
  </si>
  <si>
    <t>MB: A0004779915; A00047799150097;</t>
  </si>
  <si>
    <t>PU9198</t>
  </si>
  <si>
    <t>E821KPD704</t>
  </si>
  <si>
    <t>PEC9915</t>
  </si>
  <si>
    <t>FCD0803</t>
  </si>
  <si>
    <t>FS20222</t>
  </si>
  <si>
    <t>RE160J10MAQII</t>
  </si>
  <si>
    <t>26.210.B0</t>
  </si>
  <si>
    <t>VOLVO: VM 220; 270; 330 (MWM 7B) -- 2017-&gt;</t>
  </si>
  <si>
    <t>22752360; 23181919;</t>
  </si>
  <si>
    <t>PU9105</t>
  </si>
  <si>
    <t>FCD0804</t>
  </si>
  <si>
    <t>RE90J30MAQII</t>
  </si>
  <si>
    <t>26.211.B0</t>
  </si>
  <si>
    <t>VOLKSWAGEM: Constellation 13.190; 15.190E; 17.190; 17.230; 17.280; 23.230; 24.280; 26.280; 28.460; 29.520; 31.280; 33.460  --2020-&gt;</t>
  </si>
  <si>
    <t>2V3127177</t>
  </si>
  <si>
    <t>PU9218</t>
  </si>
  <si>
    <t>RE160LJ10MAQII </t>
  </si>
  <si>
    <t>26.601.00</t>
  </si>
  <si>
    <t>M. FERGUNSON/ PERKINS / JCB / NEW HOLLAND</t>
  </si>
  <si>
    <t>M. FERGUNSON: 1881471M1</t>
  </si>
  <si>
    <t>P810X</t>
  </si>
  <si>
    <t>E84K</t>
  </si>
  <si>
    <t>KX21D</t>
  </si>
  <si>
    <t>C11846PL</t>
  </si>
  <si>
    <t>FF144</t>
  </si>
  <si>
    <t>P551167</t>
  </si>
  <si>
    <t>26.666.00</t>
  </si>
  <si>
    <t>MAN ENGINES: D20 Série / MWM: 602 Série</t>
  </si>
  <si>
    <t>MWM: 3.0541.21.0.0004
MAN: 81.12503-0012</t>
  </si>
  <si>
    <t>P1018/1</t>
  </si>
  <si>
    <t>E2020KP</t>
  </si>
  <si>
    <t>KX37</t>
  </si>
  <si>
    <t>C11862PL</t>
  </si>
  <si>
    <t>FF5105</t>
  </si>
  <si>
    <t>P502132</t>
  </si>
  <si>
    <t>26.687.00</t>
  </si>
  <si>
    <t>RENAULT: MASTER 2.8 (2002&gt;2004)</t>
  </si>
  <si>
    <t>P733/1X</t>
  </si>
  <si>
    <t>E63KPD78</t>
  </si>
  <si>
    <t>KX206D</t>
  </si>
  <si>
    <t>PC948</t>
  </si>
  <si>
    <t>FN948</t>
  </si>
  <si>
    <t>C8820</t>
  </si>
  <si>
    <t>FCD0816/1</t>
  </si>
  <si>
    <t>26.695.00</t>
  </si>
  <si>
    <t>RENAULT: MASTER 2.5 DCI 16V TURBO DIESEL (01/05-)</t>
  </si>
  <si>
    <t xml:space="preserve">P718/1X </t>
  </si>
  <si>
    <t>E90KPD164</t>
  </si>
  <si>
    <t>KX218/D</t>
  </si>
  <si>
    <t>PC947</t>
  </si>
  <si>
    <t>FN947</t>
  </si>
  <si>
    <t>C9927ECO</t>
  </si>
  <si>
    <t>FCD0816/2</t>
  </si>
  <si>
    <t>26.722.00</t>
  </si>
  <si>
    <t>HINO: 238 J08E-TA / VOLKSWAGEN: 19360 (2015- &gt;); 25390 (2012- &gt;); 26420 (2013- &gt;) / NEW HOLLAND: T8320; T8350; T8380; T8410; T8435 / CASE: A8800; 407-C9</t>
  </si>
  <si>
    <t>HINO: 23304E0020
Volkswagen: 2T2201847; 2T2127177D</t>
  </si>
  <si>
    <t>PC727</t>
  </si>
  <si>
    <t>CS10752</t>
  </si>
  <si>
    <t>FCD0959</t>
  </si>
  <si>
    <t>FS19624</t>
  </si>
  <si>
    <t>P550467</t>
  </si>
  <si>
    <t>26.H2O.03</t>
  </si>
  <si>
    <t>PEUGEOT: Boxer III 2.0 BlueHDI 110/130/160/165 (&gt;2018); CITROEN: Jumper III 2.0 BlueHDI 110/130/160 - 2018&gt;</t>
  </si>
  <si>
    <t>PEUGEOT:1638149580; 1674210980</t>
  </si>
  <si>
    <t>FCD0813</t>
  </si>
  <si>
    <t>27.006.00</t>
  </si>
  <si>
    <t xml:space="preserve">Elemento Filtrante Do Ar </t>
  </si>
  <si>
    <t>Air filter</t>
  </si>
  <si>
    <t>CATERPILLAR: 100, 200, 300, 500, 800, 900, CB, CC, CD, D3, D4, D5, D6, D7, G</t>
  </si>
  <si>
    <t>4M9334; 7W5317; 8N5317;</t>
  </si>
  <si>
    <t>C29624</t>
  </si>
  <si>
    <t>E569L</t>
  </si>
  <si>
    <t>AP4934</t>
  </si>
  <si>
    <t>HP4934</t>
  </si>
  <si>
    <t>CA226</t>
  </si>
  <si>
    <t>WAP147</t>
  </si>
  <si>
    <t>AF335M</t>
  </si>
  <si>
    <t>AF9334</t>
  </si>
  <si>
    <t>P181104</t>
  </si>
  <si>
    <t>27.007.00</t>
  </si>
  <si>
    <t>FIAT: 190 C Turbo / MERCEDES BENZ: 1935, 1941 ( 388 094 70 04 ) / SCANIA: L, LK 140, 141</t>
  </si>
  <si>
    <t>1904550; 30945004; 531050;</t>
  </si>
  <si>
    <t>C30850/2</t>
  </si>
  <si>
    <t>E118L</t>
  </si>
  <si>
    <t>LX273</t>
  </si>
  <si>
    <t>AP9835</t>
  </si>
  <si>
    <t>HP9835</t>
  </si>
  <si>
    <t>CA4215</t>
  </si>
  <si>
    <t>WAP277</t>
  </si>
  <si>
    <t>AF4503</t>
  </si>
  <si>
    <t>P771558</t>
  </si>
  <si>
    <t>27.008.00</t>
  </si>
  <si>
    <t>Elemento Filtrante do Ar</t>
  </si>
  <si>
    <t>CATERPILLAR Escavadeira  245B 6MF1-5123406 0 ~ DIESEL Motor CATERPILLAR / CATERPILLAR Escavadeira  245B II 1SJ7133406 0</t>
  </si>
  <si>
    <t>AIRMAN: 3214308100</t>
  </si>
  <si>
    <t>CA1548</t>
  </si>
  <si>
    <t>AF873M</t>
  </si>
  <si>
    <t>P181120</t>
  </si>
  <si>
    <t>27.024.00</t>
  </si>
  <si>
    <t>Elemento Secundário Do Ar</t>
  </si>
  <si>
    <t>Air filter Secondary</t>
  </si>
  <si>
    <t xml:space="preserve">BRASTOFT: E7000 Cummis L10 (1995-1999); E7700 Cummis L10 (2000- &gt;);  Austoft Cummis (1995-1996) / CASE: A7000-7700 Cummis 6CTA 8.3; A7000-7700 Cummis L10; A7000-7700 Cummis M11; 300 Cummins NT855-C380 / CLARK: 175A; 175B; 175AII; 175AIII; 275A; 275B; 275AII; 275AIII; 280; 280II; 280III; 310; 375A; 380AIII; 475lll; CS270; /  KOMATSU: D150, D155-A1 -&gt; até Série 19999.  </t>
  </si>
  <si>
    <t>CUMMINS: 3351173; 3013207</t>
  </si>
  <si>
    <t>C19171</t>
  </si>
  <si>
    <t>E1468LS</t>
  </si>
  <si>
    <t>FCA3305</t>
  </si>
  <si>
    <t>CA502SY</t>
  </si>
  <si>
    <t>AF471</t>
  </si>
  <si>
    <t>P119372</t>
  </si>
  <si>
    <t>27.033.00</t>
  </si>
  <si>
    <t>CATERPILLAR: SÉRIE 16, 16G, 245, 45P, 621 N° ORIGINAL: 7W5495</t>
  </si>
  <si>
    <t>Caterpillar 1P7716</t>
  </si>
  <si>
    <t>C30883</t>
  </si>
  <si>
    <t>E585L</t>
  </si>
  <si>
    <t>LX11</t>
  </si>
  <si>
    <t>AP7716</t>
  </si>
  <si>
    <t>HP7716</t>
  </si>
  <si>
    <t>CA598</t>
  </si>
  <si>
    <t>AF875M</t>
  </si>
  <si>
    <t>AF2306</t>
  </si>
  <si>
    <t>P181118</t>
  </si>
  <si>
    <t>27.034.00</t>
  </si>
  <si>
    <t>Elemento Filtrante Do Ar Secundario</t>
  </si>
  <si>
    <t>CATERPILLAR: 36A, 5384, 46A, 25738, 25739 N°ORIGINAL: 1P7360</t>
  </si>
  <si>
    <t>CATERPILLAR 1P7360</t>
  </si>
  <si>
    <t>C20187</t>
  </si>
  <si>
    <t>LXS232</t>
  </si>
  <si>
    <t>AP7360</t>
  </si>
  <si>
    <t>HP7360</t>
  </si>
  <si>
    <t>CA598SY</t>
  </si>
  <si>
    <t>AF876</t>
  </si>
  <si>
    <t>AF2875</t>
  </si>
  <si>
    <t>P119168</t>
  </si>
  <si>
    <t>27.041.00</t>
  </si>
  <si>
    <t>CATERPILLAR 1P8482</t>
  </si>
  <si>
    <t>C232491</t>
  </si>
  <si>
    <t>CA1548SY</t>
  </si>
  <si>
    <t>AF874</t>
  </si>
  <si>
    <t>AF2898</t>
  </si>
  <si>
    <t>P158675</t>
  </si>
  <si>
    <t>27.054.00</t>
  </si>
  <si>
    <t>MERCEDES BENZ: 3450947004; 61200190033</t>
  </si>
  <si>
    <t>CF1000</t>
  </si>
  <si>
    <t>E115LS</t>
  </si>
  <si>
    <t>LXS37/1</t>
  </si>
  <si>
    <t>AS820</t>
  </si>
  <si>
    <t>HS820</t>
  </si>
  <si>
    <t>CA3291SY</t>
  </si>
  <si>
    <t>WAP187/S</t>
  </si>
  <si>
    <t>AF1840</t>
  </si>
  <si>
    <t>P776695</t>
  </si>
  <si>
    <t>27.055.00</t>
  </si>
  <si>
    <t>CBT / FIAT / FORD / GM / MF / MERCEDES BENS ( 688 094 75 04 ) / VALMET / VOLKSWAGENC / JONH DEERE: SÉRIE 5000 E 6000
AGRALE: 1065; 1065; 1105; 1105; 2105 BUFALO; 2105; 2105; 260; 3000; 3500; 8060; 8260 (4X4) / DEUTZ: AX 4120/L/TRAÇÃO DUPLA; AX100; AX120; AX120S; DX120; DX90 /  FORD: F11000; F12000; F13000; F14000; F19000; F21000; F22000; F4000 / MASSEY FERGUNSON: 292; 295, 296; 356; 400, 400A; ; 500; 5650; 5850; 610/ 620; 640; 95X; 710; 712E; 912L / NEW HOLLAND: 1530 / 1540; 4530; 4630, 4630; Narrow; 5030, 5030 Narrow, 6630, 7630, 7830, 8030; 5630 NARROW; 5630; 6630; 7830; 8030; 8830 / JOHN DEERE: 5600 4x2; 5600; 5700 (4x4); 5700; 5705 (SERIE 36689); 6300; 6405 / VALMET-VALTRA: 110 ID e TA; 110; 118 e 1184; 118; 1280; 128; 1380 (4X4); 1580; 950 (4x2); 965 (4X4); 985; BM100; 985; BM100 / VOLKSWAGEN: 11130; 11140; 12140; 12140H; 13130; 14140</t>
  </si>
  <si>
    <t>MERCEDES BENZ: 6110019020
VALMET: 80062100</t>
  </si>
  <si>
    <t>CF800</t>
  </si>
  <si>
    <t>E114LS</t>
  </si>
  <si>
    <t>LXS41/1</t>
  </si>
  <si>
    <t>AS810</t>
  </si>
  <si>
    <t>HS810</t>
  </si>
  <si>
    <t>CA4202SY</t>
  </si>
  <si>
    <t>WAP186/S</t>
  </si>
  <si>
    <t>AF1842</t>
  </si>
  <si>
    <t>P776694</t>
  </si>
  <si>
    <t>27.084.00</t>
  </si>
  <si>
    <t>RENAULT: 25 DIESEL; TRAFFIC DIESEL ( 5 001 000 878 )</t>
  </si>
  <si>
    <t>C13109</t>
  </si>
  <si>
    <t>E609L</t>
  </si>
  <si>
    <t>LX147</t>
  </si>
  <si>
    <t>AR7703</t>
  </si>
  <si>
    <t>HL7703</t>
  </si>
  <si>
    <t>CA4524</t>
  </si>
  <si>
    <t>WR200</t>
  </si>
  <si>
    <t>AF4910</t>
  </si>
  <si>
    <t>27.092.00</t>
  </si>
  <si>
    <t>SCANIA: K 94 / 124 / L 94 - ÔNIBUS</t>
  </si>
  <si>
    <t>C30703</t>
  </si>
  <si>
    <t>E218L</t>
  </si>
  <si>
    <t>LX531</t>
  </si>
  <si>
    <t>AP5773</t>
  </si>
  <si>
    <t>HP5773</t>
  </si>
  <si>
    <t>CA9381</t>
  </si>
  <si>
    <t>WAP319</t>
  </si>
  <si>
    <t>AF25066</t>
  </si>
  <si>
    <t>P771575</t>
  </si>
  <si>
    <t>27.107.00</t>
  </si>
  <si>
    <t>BUSCH: 063-138, DC 0025C, DC 0040C, SV 1025B/C, SV 1040B, Série R / RA; LEYBOLD: SOGEVAC SV 40, SV 65; RIETSCHLE: DTA 50 / 60 / 80, PICO VLT 40 / 60, DRUVAC VTA 60 / 80 / 100, DTN 40, VTN 40, VACFOX VC 50 / 75 / 100, VCA 40, VCE 40;</t>
  </si>
  <si>
    <t>BUSCH: 532002; 532002003</t>
  </si>
  <si>
    <t>C1112</t>
  </si>
  <si>
    <t>E70L2</t>
  </si>
  <si>
    <t>CA681PL</t>
  </si>
  <si>
    <t>AF4525</t>
  </si>
  <si>
    <t>P530645</t>
  </si>
  <si>
    <t>27.129.00</t>
  </si>
  <si>
    <t>FORD / KOMATSU: ( 1440 1B 2260 ) / MERCEDES BENZ: ( 345 094 74 04 ) / MWM</t>
  </si>
  <si>
    <t>CF1200</t>
  </si>
  <si>
    <t>E116LS</t>
  </si>
  <si>
    <t>LXS42/1</t>
  </si>
  <si>
    <t>AS830</t>
  </si>
  <si>
    <t>HS830</t>
  </si>
  <si>
    <t>CA4685SY</t>
  </si>
  <si>
    <t>WAP107/S</t>
  </si>
  <si>
    <t>AF1841</t>
  </si>
  <si>
    <t>P775369</t>
  </si>
  <si>
    <t>27.130.00</t>
  </si>
  <si>
    <t>FIAT: 190 TURBO / MERCEDES BENZ: 1935,1941 ( 388 094 71 04 ) / SCANIA: (534157)</t>
  </si>
  <si>
    <t>CF1600</t>
  </si>
  <si>
    <t>E118LS</t>
  </si>
  <si>
    <t>LXS44/1</t>
  </si>
  <si>
    <t>AS860</t>
  </si>
  <si>
    <t>HS860</t>
  </si>
  <si>
    <t>CA5483SY</t>
  </si>
  <si>
    <t>WAP287/S</t>
  </si>
  <si>
    <t>AF4523</t>
  </si>
  <si>
    <t>P775371</t>
  </si>
  <si>
    <t>27.140.00</t>
  </si>
  <si>
    <t>MITSUBISHI: L200 MOTOR 2.5L DIESEL ( MD620 109 ) / TOYOTA: LAND CRUISER 2400 ( 17801 31050 ), HILUX 2.8 (94-05/01)</t>
  </si>
  <si>
    <t>C16136</t>
  </si>
  <si>
    <t>LX912</t>
  </si>
  <si>
    <t>AP1008</t>
  </si>
  <si>
    <t>HP1008</t>
  </si>
  <si>
    <t>CA4255</t>
  </si>
  <si>
    <t>JFA0227/1</t>
  </si>
  <si>
    <t>AF25295</t>
  </si>
  <si>
    <t>27.147.00</t>
  </si>
  <si>
    <t>JOHN DEERE: Série 2000; Série 3000;  (CF 930)</t>
  </si>
  <si>
    <t>JOHN DEERE: 
AL30394</t>
  </si>
  <si>
    <t>C16334</t>
  </si>
  <si>
    <t>LX650</t>
  </si>
  <si>
    <t>CAK6604</t>
  </si>
  <si>
    <t>AF4564KM</t>
  </si>
  <si>
    <t>P770169</t>
  </si>
  <si>
    <t>27.158.00</t>
  </si>
  <si>
    <t>SCANIA: COM DRENO 365729 (SECUNDÁRIO USE  27.130.00)</t>
  </si>
  <si>
    <t>C30880/2</t>
  </si>
  <si>
    <t>E283L</t>
  </si>
  <si>
    <t>LX450/1</t>
  </si>
  <si>
    <t>AP1186</t>
  </si>
  <si>
    <t>CA4221A</t>
  </si>
  <si>
    <t>WAP180</t>
  </si>
  <si>
    <t>AF4631</t>
  </si>
  <si>
    <t>P771573</t>
  </si>
  <si>
    <t>27.161.00</t>
  </si>
  <si>
    <t>Elemento Filtrante Do Ar Primario</t>
  </si>
  <si>
    <t>Air filter Primary</t>
  </si>
  <si>
    <t>VOLVO: F10 Serie; F12 Serie (94)</t>
  </si>
  <si>
    <t>VOLVO: 1660376; 1544428</t>
  </si>
  <si>
    <t>C271390</t>
  </si>
  <si>
    <t>E127L01</t>
  </si>
  <si>
    <t>LX658</t>
  </si>
  <si>
    <t>AP5568</t>
  </si>
  <si>
    <t>CA4943</t>
  </si>
  <si>
    <t>AF4550</t>
  </si>
  <si>
    <t>P780519</t>
  </si>
  <si>
    <t>27.165.00</t>
  </si>
  <si>
    <t>Mercedes Benz: 709L (1989- &gt;); 710 (2000- &gt;) / Volkswagen: 8150 (1992-1993); 790CO (1987- &gt;) / Agrale: 1800( 1988-1996); 400D (1985- &gt;); 50 (1994-1998); 5070 (1999- &gt;) / Ford: F4000 (1980- 1989) / Agrale: 1800DR (1988-1996); 4000D(1985- &gt;); 5000RD(1994-1998); 5060; 5075; 5080; 5085; 8440 / Puma: 914CD (1991-1997) / CBT: 8440 (1985- &gt;); 8450 Turbo 4x4 (1989- &gt;) / DEUTZ: AX100C; AX4.75 Tração dupla; AX4.75 Tração dupla; AX5100 tração simples-dupla; AX80; AX80SC AX100S / MASSEY FERGUNSON: 265 (1971-1997); 272 (1991- &gt;); 273 (1994- &gt;); 290 (1994- &gt;); 292 (1977- &gt;); 34 (2001- &gt;); 5285 (1998- &gt;); 5290 (1998- &gt;); MF283; MF750; MF86 - MF 275I - MF 86HS / SANTA MATILDE: SM3000C; SM3000C; SM400 (CR); SM400; MM400; 500CR; SM1200;  / SANTAL: 115-116; CMP8 / VAMET-VALTRA: 685; 785; 880; 885; 980; 985; BF685 F/C; BF785 F/C / ENGESA: MF86 - MF 275I - MF 86HS / FIAT ALLIS: FG85, FG95 / HYSTER: H225 / TEMA TERRA: SP3000</t>
  </si>
  <si>
    <t>MERCEDES BENZ: 0020943304</t>
  </si>
  <si>
    <t>CF700</t>
  </si>
  <si>
    <t>E113LS</t>
  </si>
  <si>
    <t>LXS5/1</t>
  </si>
  <si>
    <t>AS805</t>
  </si>
  <si>
    <t>HS805</t>
  </si>
  <si>
    <t>CA3295SY</t>
  </si>
  <si>
    <t>WAP185S</t>
  </si>
  <si>
    <t>AF4522</t>
  </si>
  <si>
    <t>AFI6123</t>
  </si>
  <si>
    <t>P777524</t>
  </si>
  <si>
    <t>27.177.00</t>
  </si>
  <si>
    <t>FORD: FIESTA IMPORTADO, ORION 1.3L ( 89 BF 9601 AA, 89 BF 9601 BA )</t>
  </si>
  <si>
    <t>C3032/1</t>
  </si>
  <si>
    <t>E340L</t>
  </si>
  <si>
    <t>LX332</t>
  </si>
  <si>
    <t>AR8819</t>
  </si>
  <si>
    <t>CA5160</t>
  </si>
  <si>
    <t>WR251</t>
  </si>
  <si>
    <t>27.187.00</t>
  </si>
  <si>
    <t>DAF; IVECO; MAN; MERCEDES-BENZ</t>
  </si>
  <si>
    <t>C24508/1</t>
  </si>
  <si>
    <t>E214L</t>
  </si>
  <si>
    <t>AP7553</t>
  </si>
  <si>
    <t>AF4968</t>
  </si>
  <si>
    <t>P778441</t>
  </si>
  <si>
    <t>27.194.00</t>
  </si>
  <si>
    <t xml:space="preserve">RENAULT: EXPRESS 1.9 </t>
  </si>
  <si>
    <t>C16113</t>
  </si>
  <si>
    <t>E346L</t>
  </si>
  <si>
    <t>LX3947</t>
  </si>
  <si>
    <t>AR5102</t>
  </si>
  <si>
    <t>HL5102</t>
  </si>
  <si>
    <t>CA5308</t>
  </si>
  <si>
    <t>WR282</t>
  </si>
  <si>
    <t>27.213.00</t>
  </si>
  <si>
    <t>MERCEDES BENZ: ACTROS 2546/2646/2655/4160 OM501LA/OM502LA BLUETEC 5 (2008&gt;...) N° ORIGINAL MBB A0030947004</t>
  </si>
  <si>
    <t>C331840</t>
  </si>
  <si>
    <t>E272L</t>
  </si>
  <si>
    <t>LX674</t>
  </si>
  <si>
    <t>CA5708</t>
  </si>
  <si>
    <t>WAP391</t>
  </si>
  <si>
    <t>AF25022</t>
  </si>
  <si>
    <t>P778485</t>
  </si>
  <si>
    <t>27.228.00</t>
  </si>
  <si>
    <t>CITROËN: JUMPER 2.5 8V DIESEL (01/95-12/98); 2.8 HDI (01/00-); 2.3 8V (07/10-); 2.8 HDI 127 (01/07-); FIAT: DUCATO 2.8 JTD 8V (04/05-12/09); 2.3 16V DIESEL (01/09-); 2.5 8V (11/97-12/99); 2.8 8V TURBO (05/98-04/02); 2.8 8V TURBO INTERCOOLER (04/99-05/05); PEUGEOT: BOXER 2.5 DIESEL (01/99-12/00); 2.8 8V HDI (09/05-09/09); 2.8 DIESEL (01/99-12/02); 2.8 TB DIESEL (01/99-)</t>
  </si>
  <si>
    <t>C17278/1</t>
  </si>
  <si>
    <t>E328L</t>
  </si>
  <si>
    <t>LX611</t>
  </si>
  <si>
    <t>ARS1013</t>
  </si>
  <si>
    <t>HD1013</t>
  </si>
  <si>
    <t>CA9231</t>
  </si>
  <si>
    <t>WR317</t>
  </si>
  <si>
    <t>AF25296</t>
  </si>
  <si>
    <t xml:space="preserve">P618905 </t>
  </si>
  <si>
    <t>27.229.00</t>
  </si>
  <si>
    <t>HITACHI: EX255; EX255EL; EX255LC; EX285; EX285LC; FH220.3; FH240.3; FH300/ KOMATSU; PC290-6 /NEW HOLLAND: PC290NLC-6K; E215; E305</t>
  </si>
  <si>
    <t>FIAT: 1930602; 71420350
KOMATSU: 20601K1220; 97387973
NEW HOLLAND: 72130516; 87682988</t>
  </si>
  <si>
    <t>AF4980KM</t>
  </si>
  <si>
    <t>P772531</t>
  </si>
  <si>
    <t>27.232.00</t>
  </si>
  <si>
    <t>IVECO: DAILY 2.8 DIESEL (98-&gt;), DAILY TRUCK - 8140.23 (97-&gt;), DAILY VAN 35.10 - 8140.23 (97-&gt;)</t>
  </si>
  <si>
    <t>1908868; 503120000; 503120248;</t>
  </si>
  <si>
    <t>C16247/1</t>
  </si>
  <si>
    <t>E586L</t>
  </si>
  <si>
    <t>LX610</t>
  </si>
  <si>
    <t>ARS8233</t>
  </si>
  <si>
    <t>HD8233</t>
  </si>
  <si>
    <t>CA5787</t>
  </si>
  <si>
    <t>WR406/2</t>
  </si>
  <si>
    <t>AF25260</t>
  </si>
  <si>
    <t>P777719</t>
  </si>
  <si>
    <t>27.259.B0</t>
  </si>
  <si>
    <t>Filtro Spin-On Secador Do Ar</t>
  </si>
  <si>
    <t xml:space="preserve">IVECO  / MAN / MERCEDES BENZ /  VOLVO </t>
  </si>
  <si>
    <t>VOLVO: 3090268 / IVECO: 2992261; 500090219 / WABCO: 4324100202 / M.B:A00042957950097; 4300669 / VW: 2R0616787A; 2TB607439</t>
  </si>
  <si>
    <t>TB1374X</t>
  </si>
  <si>
    <t>T250W</t>
  </si>
  <si>
    <t>AL12</t>
  </si>
  <si>
    <t>DSF0202</t>
  </si>
  <si>
    <t>SDA0202</t>
  </si>
  <si>
    <t>PFA5693</t>
  </si>
  <si>
    <t>DAF100</t>
  </si>
  <si>
    <t>AF27817</t>
  </si>
  <si>
    <t>P781466</t>
  </si>
  <si>
    <t>27.266.04</t>
  </si>
  <si>
    <t>Elemento Filtrante Separador Ar E Óleo</t>
  </si>
  <si>
    <t>Air Filter</t>
  </si>
  <si>
    <t>IVECO STRALIS 450S33T / 460S36T  / 500S33T  - CURSOR 9 (2013-);  IVECO STRALIS 490S40T / 600S40T / 600S44T / 800S44T / 800S48T  - CURSOR 13 (2013-)</t>
  </si>
  <si>
    <t>50014092; 504153481;</t>
  </si>
  <si>
    <t>AS376M</t>
  </si>
  <si>
    <t>WEOD004</t>
  </si>
  <si>
    <t>CV50842</t>
  </si>
  <si>
    <t>27.273.00</t>
  </si>
  <si>
    <t>RENAULT: CLIO 1.0 8V (01/98-); KANGOO 1.0 8V (01/00-); TWINGO 1.2 (01/93-12/99)</t>
  </si>
  <si>
    <t>C1145/6</t>
  </si>
  <si>
    <t>E432L</t>
  </si>
  <si>
    <t>LX646/1</t>
  </si>
  <si>
    <t>AR7704</t>
  </si>
  <si>
    <t>HL7704</t>
  </si>
  <si>
    <t>CA8774</t>
  </si>
  <si>
    <t>WR349</t>
  </si>
  <si>
    <t>27.279.00</t>
  </si>
  <si>
    <t>MERCEDES-BENZ: Actros I (03/96-); Atego I (04/98-); Axor I (04/98-) / DONALDOSN: P780834; HENGST: E312L</t>
  </si>
  <si>
    <t>MB: A0030949104</t>
  </si>
  <si>
    <t>C421729</t>
  </si>
  <si>
    <t>E312L</t>
  </si>
  <si>
    <t>CA9124</t>
  </si>
  <si>
    <t>AF25427</t>
  </si>
  <si>
    <t>P780834</t>
  </si>
  <si>
    <t>27.285.00</t>
  </si>
  <si>
    <t>VOLVO: SÉRIE FH: FH 12 340 D12A/B/C/D  (08/93-03/02); FH 12 380 D12A  (01/94-); FH 12 380 D12C (01/98-); FH 12 420 D12A (01/96-); FH 12 420 D12C (01/98-); FH 12 420 D12D (01/03-); SÉRIE NH 12: NH 12 380 D12C (01/98-); NH 12 420 D12C (01/98-); NH 12 460 D12C (07/99-) - PARA REFERENCIA ORIGINAL 1665898</t>
  </si>
  <si>
    <t>C321500</t>
  </si>
  <si>
    <t>E316L</t>
  </si>
  <si>
    <t>LX832</t>
  </si>
  <si>
    <t>CA5585</t>
  </si>
  <si>
    <t>AF25238</t>
  </si>
  <si>
    <t>P778779</t>
  </si>
  <si>
    <t>27.286.00</t>
  </si>
  <si>
    <t>SCANIA: SÉRIE 4, SÉRIE G, SÉRIE P, SÉRIE R, SÉRIE T, SCANIA BUS (PARA REFERENCIA ORIGINAL 1421022)</t>
  </si>
  <si>
    <t>C301240</t>
  </si>
  <si>
    <t>E451L</t>
  </si>
  <si>
    <t>LX714</t>
  </si>
  <si>
    <t>ARS1187</t>
  </si>
  <si>
    <t>HD1187</t>
  </si>
  <si>
    <t>CA5759</t>
  </si>
  <si>
    <t>AF25314</t>
  </si>
  <si>
    <t>P778335</t>
  </si>
  <si>
    <t>27.288.00</t>
  </si>
  <si>
    <t>CF1610</t>
  </si>
  <si>
    <t>E218LS</t>
  </si>
  <si>
    <t>AS116</t>
  </si>
  <si>
    <t>HS116</t>
  </si>
  <si>
    <t>CA9380SY</t>
  </si>
  <si>
    <t>WAP287/7S</t>
  </si>
  <si>
    <t>AF4727</t>
  </si>
  <si>
    <t>P777526</t>
  </si>
  <si>
    <t>27.306.00</t>
  </si>
  <si>
    <t>VOLVO (EC360, EC290), Caterpillar (300), Fiat Allis (EX-Série), JCB (JS/JZ)</t>
  </si>
  <si>
    <t>CF16219x</t>
  </si>
  <si>
    <t>CA3782SY</t>
  </si>
  <si>
    <t>AF976</t>
  </si>
  <si>
    <t>P124047</t>
  </si>
  <si>
    <t>27.308.00</t>
  </si>
  <si>
    <t>CATERPILLAR: SÉRIE 5000, SÉRIE 780 N° ORGINAL: 3I0215, 1N4864</t>
  </si>
  <si>
    <t>CA2595SY</t>
  </si>
  <si>
    <t>AF1604</t>
  </si>
  <si>
    <t>P128408</t>
  </si>
  <si>
    <t>27.309.00</t>
  </si>
  <si>
    <t xml:space="preserve">CASE / HITACHI / KOMATSU / NEW HOLLAND / PERLINI / TEREX / </t>
  </si>
  <si>
    <t>AP1605</t>
  </si>
  <si>
    <t>HP1605</t>
  </si>
  <si>
    <t>AF1605M</t>
  </si>
  <si>
    <t>P182042</t>
  </si>
  <si>
    <t>27.310.00</t>
  </si>
  <si>
    <t xml:space="preserve">INGERSOLL RAND: DXL1050; DXL1100H; DXL1200; DXL1200S; DXL1400; DXL1400S / ATLAS COPCO: CM760; CM765; CM780D; DM30 </t>
  </si>
  <si>
    <t>INGERSOLL RAND: 35123120</t>
  </si>
  <si>
    <t>AS456</t>
  </si>
  <si>
    <t>CA3273SY</t>
  </si>
  <si>
    <t>AF890</t>
  </si>
  <si>
    <t>P116446</t>
  </si>
  <si>
    <t>27.311.00</t>
  </si>
  <si>
    <t>INGERSOLL RAND: DXL1050; DXL1100H; DXL1200; DXL1200S; DXL1400; DXL1400S / ATLAS COPCO: 130 Rotomec</t>
  </si>
  <si>
    <t>INGERSOLL RAND: 35714690</t>
  </si>
  <si>
    <t>AP3014</t>
  </si>
  <si>
    <t>AF891M</t>
  </si>
  <si>
    <t>P181049</t>
  </si>
  <si>
    <t>27.312.00</t>
  </si>
  <si>
    <t>CAT: Série 700 / HITACHI: Eh Série; EX Série / KOMATSU: PC8000-6</t>
  </si>
  <si>
    <t>CAT: 9Y7800 
KOMATSU: VS2185; 988636</t>
  </si>
  <si>
    <t>C28041x</t>
  </si>
  <si>
    <t>AF857</t>
  </si>
  <si>
    <t>P115070</t>
  </si>
  <si>
    <t>27.313.00</t>
  </si>
  <si>
    <t>CAT: Série 700 / HITACHI: EH Série; EX Série / KOMATSU: PC3000-6; PC5500-6; PC8000-6</t>
  </si>
  <si>
    <t>CAT: 1327173; 2515885
KOMATSU: VS2186</t>
  </si>
  <si>
    <t>E1651LD685</t>
  </si>
  <si>
    <t>CA573</t>
  </si>
  <si>
    <t>AF879M</t>
  </si>
  <si>
    <t>P182038</t>
  </si>
  <si>
    <t>27.314.00</t>
  </si>
  <si>
    <t>ATLAS COPCO (ROC L6), BUCYRUS (SKF 11), CASE (1000CA, 300CK, 300CL, 350CK, B SERIES, HC300), CATERPILLAR (3524B, 785C, 787B, 789, 789B, 789C, 797), DRILTECH (D40K, D40KII, D50K), EUCLID (R100), GOMSELMASH (860), KOMATSU (830E, 830E-AC, 930E-4, 930E-4SE, HD1200, HD1200M-1, HD1600, HD1600M-1), LIEBHERR (R984B, R984C), ROSTSELMASH (1701),TEREX (33-09, 33-09AA), WIRTGEN (W 2200, WR 2400), ZETTELMEYER (1000).</t>
  </si>
  <si>
    <t>1W3636 / CATERPILLAR</t>
  </si>
  <si>
    <t>CA1570SY</t>
  </si>
  <si>
    <t>AF880</t>
  </si>
  <si>
    <t>P117781</t>
  </si>
  <si>
    <t>27.315.00</t>
  </si>
  <si>
    <t>CAT: Série 700; KOMATSU: E/HD</t>
  </si>
  <si>
    <t>KOMATSU: VJ5175 
CAT: 2515886</t>
  </si>
  <si>
    <t>C453265/2x</t>
  </si>
  <si>
    <t>E2017LD686</t>
  </si>
  <si>
    <t>AF899M</t>
  </si>
  <si>
    <t>AF2922</t>
  </si>
  <si>
    <t>P182040</t>
  </si>
  <si>
    <t>27.344.B0</t>
  </si>
  <si>
    <t>SCANIA: P / R / T 114 - DSC11 75 / DSC9 12 / DSC12 02 TURBO E INTERCOOLER 98- (1455223); P / R / T 124 - DC12 - 420 CAVALOS - INJEÇÃO ELETRÔNICA 03/99- (1384549); P / R / T 124 - DSC11 75 / DSC9 12 / DSC12 02 TURBO E INTERCOOLER 98- ; P 94 - DSC11 75 / DS</t>
  </si>
  <si>
    <t>SCANIA: 1455253; 2562323 / WABCO: 4324102261</t>
  </si>
  <si>
    <t>TB1374/3X</t>
  </si>
  <si>
    <t>T300W</t>
  </si>
  <si>
    <t>AL14</t>
  </si>
  <si>
    <t>DSF0203</t>
  </si>
  <si>
    <t>PFA9596</t>
  </si>
  <si>
    <t>DAF200</t>
  </si>
  <si>
    <t>P783753</t>
  </si>
  <si>
    <t>27.345.00</t>
  </si>
  <si>
    <t>VOLVO: NL E FH 12 NACIONAL</t>
  </si>
  <si>
    <t>21834210; 3162322; 8149961;</t>
  </si>
  <si>
    <t>C341500</t>
  </si>
  <si>
    <t>E420L</t>
  </si>
  <si>
    <t>LX1281</t>
  </si>
  <si>
    <t>AP5572</t>
  </si>
  <si>
    <t>HP5572</t>
  </si>
  <si>
    <t>CA9560</t>
  </si>
  <si>
    <t>WAP604</t>
  </si>
  <si>
    <t>AF25632</t>
  </si>
  <si>
    <t>AR5722</t>
  </si>
  <si>
    <t>P782396</t>
  </si>
  <si>
    <t>VOLVO: FM 400, FM 440, FM 480 (TRACTOR E RIGIDO) - D13A DIESEL (07-)</t>
  </si>
  <si>
    <t>C311345/1</t>
  </si>
  <si>
    <t>E496L01</t>
  </si>
  <si>
    <t>LX1587</t>
  </si>
  <si>
    <t>AR6345RS</t>
  </si>
  <si>
    <t>CA9581</t>
  </si>
  <si>
    <t>WAP612</t>
  </si>
  <si>
    <t>AF25631</t>
  </si>
  <si>
    <t>P782857</t>
  </si>
  <si>
    <t>27.356.00</t>
  </si>
  <si>
    <t>CATERPILLAR RETROESCAVADEIRA 416C</t>
  </si>
  <si>
    <t>1903669, 99478393, 82981152</t>
  </si>
  <si>
    <t>C17337/2</t>
  </si>
  <si>
    <t>E434L</t>
  </si>
  <si>
    <t>LX3986</t>
  </si>
  <si>
    <t>ARS8889</t>
  </si>
  <si>
    <t>HD8889</t>
  </si>
  <si>
    <t>CA5741</t>
  </si>
  <si>
    <t>WAP903</t>
  </si>
  <si>
    <t>AF25352</t>
  </si>
  <si>
    <t>27.359.00</t>
  </si>
  <si>
    <t>NAVISTAR</t>
  </si>
  <si>
    <t>AF928M</t>
  </si>
  <si>
    <t>P181056</t>
  </si>
  <si>
    <t>27.368.00</t>
  </si>
  <si>
    <t>JOHN DEERE; RENAULT TRUCKS</t>
  </si>
  <si>
    <t>C311310</t>
  </si>
  <si>
    <t>AF4583M</t>
  </si>
  <si>
    <t>P771523</t>
  </si>
  <si>
    <t>27.369.00</t>
  </si>
  <si>
    <t>KOMATSU Escavadeira PC220 Motor S6D105 Komatsu  // KOMATSU Carregadeira  WA250-1 Motor S6D105-186423 Komatsu</t>
  </si>
  <si>
    <t>KOMATSU 6112837620</t>
  </si>
  <si>
    <t>C1374</t>
  </si>
  <si>
    <t>CA1592SY</t>
  </si>
  <si>
    <t>AF892</t>
  </si>
  <si>
    <t>AFI6033</t>
  </si>
  <si>
    <t>P159036</t>
  </si>
  <si>
    <t>27.370.00</t>
  </si>
  <si>
    <t>KOMATSU: D35A15; D50F16; D53S15; D53A15;D55S; D60A; D60P; D60PL; D60S; D65A; D65F; D65P</t>
  </si>
  <si>
    <t>KOMATSU: 6001812300; 6001812310; 6001812311; 6001812312; 6001812310; 6112837610; 6001811220; 6002827610</t>
  </si>
  <si>
    <t>C25655</t>
  </si>
  <si>
    <t>AP6001</t>
  </si>
  <si>
    <t>CA1592</t>
  </si>
  <si>
    <t>AF893</t>
  </si>
  <si>
    <t>AFI6032</t>
  </si>
  <si>
    <t>P181139</t>
  </si>
  <si>
    <t>27.371.00</t>
  </si>
  <si>
    <t>DAF CF85 / REF OE DAF: 166 4524 / 135 3115</t>
  </si>
  <si>
    <t>DAF: 1353115</t>
  </si>
  <si>
    <t>C291366/1</t>
  </si>
  <si>
    <t>E366L</t>
  </si>
  <si>
    <t>CA9354</t>
  </si>
  <si>
    <t>P781525</t>
  </si>
  <si>
    <t>27.373.00</t>
  </si>
  <si>
    <t>Caterpillar Generador 3114/3116/3304B</t>
  </si>
  <si>
    <t>Caterpillar 8N4901</t>
  </si>
  <si>
    <t>AF4639</t>
  </si>
  <si>
    <t>P141580</t>
  </si>
  <si>
    <t>27.377.00</t>
  </si>
  <si>
    <t xml:space="preserve">JCB: Série 100 ROBOT; 1CX </t>
  </si>
  <si>
    <t>JCB: 32/905002; 32/909102</t>
  </si>
  <si>
    <t>CF84X</t>
  </si>
  <si>
    <t>CA5455SY</t>
  </si>
  <si>
    <t>AF25529</t>
  </si>
  <si>
    <t>P776895</t>
  </si>
  <si>
    <t>27.379.00</t>
  </si>
  <si>
    <t>JCB: 32/905001</t>
  </si>
  <si>
    <t>C14123</t>
  </si>
  <si>
    <t>CAK5455</t>
  </si>
  <si>
    <t>AF25540K</t>
  </si>
  <si>
    <t>P776360</t>
  </si>
  <si>
    <t>27.383.00</t>
  </si>
  <si>
    <t>MERCEDES BENZ: ATEGO 1315, 1418, 1518, 1718, 1705, 2425 (MOTOR OM 904 LA, OM 906 LA )</t>
  </si>
  <si>
    <t>C291032/1</t>
  </si>
  <si>
    <t>E361L</t>
  </si>
  <si>
    <t>AP9496/1</t>
  </si>
  <si>
    <t>HP9496/1</t>
  </si>
  <si>
    <t>CA9388</t>
  </si>
  <si>
    <t>WAP104</t>
  </si>
  <si>
    <t>AF25653</t>
  </si>
  <si>
    <t>P781465</t>
  </si>
  <si>
    <t>27.384.00</t>
  </si>
  <si>
    <t>BMW: SÉRIE 3 (E90/E91/E92/E93) DIESEL (2010&gt;2013), SÉRIE 5 (F07/F10/F11) DIESEL (2009&gt;2011), SÉRIE 7 (F01/F02) (2009&gt;2015), X5 (E70) DIESEL (2008&gt;2013), X6 (E71) (2008&gt;...) / LAND ROVER: RANGE ROVER III 3.0 TD6 (2002&gt;2006)</t>
  </si>
  <si>
    <t>C15143</t>
  </si>
  <si>
    <t>E376L</t>
  </si>
  <si>
    <t>LX818</t>
  </si>
  <si>
    <t>CA8985</t>
  </si>
  <si>
    <t>WR278</t>
  </si>
  <si>
    <t>27.390.00</t>
  </si>
  <si>
    <t>IVECO: EUROTRAKKER 380E37 (1993&gt;2001)</t>
  </si>
  <si>
    <t>41214148; 41214149; 2996157;</t>
  </si>
  <si>
    <t>CF2100/1</t>
  </si>
  <si>
    <t>E433LS</t>
  </si>
  <si>
    <t>AF26245</t>
  </si>
  <si>
    <t>P787247</t>
  </si>
  <si>
    <t>27.393.00</t>
  </si>
  <si>
    <t>DAF: XF105</t>
  </si>
  <si>
    <t>TB1364X</t>
  </si>
  <si>
    <t>T200W</t>
  </si>
  <si>
    <t>AL22</t>
  </si>
  <si>
    <t>AF27853</t>
  </si>
  <si>
    <t>P951417</t>
  </si>
  <si>
    <t>27.401.00</t>
  </si>
  <si>
    <t>AUDI: A3 1.6 (05/03-); VOLKSWAGEN: PASSAT 2.0 16V FSI TURBO - (COMFORTLINE / DSG / HIGHLINE) - GASOLINA - AUTOMÁTICO / TIPTRONIC (05-07)</t>
  </si>
  <si>
    <t>C14130</t>
  </si>
  <si>
    <t>E482L</t>
  </si>
  <si>
    <t>AR6075</t>
  </si>
  <si>
    <t>HL6075</t>
  </si>
  <si>
    <t>CA9800</t>
  </si>
  <si>
    <t>WR196</t>
  </si>
  <si>
    <t>27.407.00</t>
  </si>
  <si>
    <t>CATERPILLAR / CASE CONSTRUCTION / DOOSAN / NEW HOLLAND</t>
  </si>
  <si>
    <t>1106331; 1318903; 26510343; 222422A1; 86982525;</t>
  </si>
  <si>
    <t>CF990/2</t>
  </si>
  <si>
    <t>E434LS</t>
  </si>
  <si>
    <t>ASR889</t>
  </si>
  <si>
    <t>HDS889</t>
  </si>
  <si>
    <t>CA5741SY</t>
  </si>
  <si>
    <t>WAP903/S</t>
  </si>
  <si>
    <t>AF25485</t>
  </si>
  <si>
    <t>P775302</t>
  </si>
  <si>
    <t>27.408.00</t>
  </si>
  <si>
    <t xml:space="preserve">CASE; DYNAPAC; JOHN DEERE; JCB; LIEBHERR; MF; VOLVO CONSTRUCTION </t>
  </si>
  <si>
    <t>CF15116/2</t>
  </si>
  <si>
    <t>AF25523</t>
  </si>
  <si>
    <t>P537877</t>
  </si>
  <si>
    <t>27.410.00</t>
  </si>
  <si>
    <t>CATERPILLAR: D5H; D6MLGP; 235; 320B/LN; 320B/N; 320B/S; 320B; 320C; 320D/L; 320D; 320D2; 320DL; 322B; 322BLN; 322C; 322CL; 322D; 322DL; 325B; 325BL; 325BLN; 330C; 527; 630B; 550; 550B; 561N; 570; 570B; 580; 580B; 589; 611; 615C; 65B; 815B; 816B; 938F; 938G; 950F; 950G; 960F; 962G; 966E; 966F</t>
  </si>
  <si>
    <t>CAT: 6L2501; 1282686</t>
  </si>
  <si>
    <t>C29840/2</t>
  </si>
  <si>
    <t>ARS2501</t>
  </si>
  <si>
    <t>HD2501</t>
  </si>
  <si>
    <t>CA7486</t>
  </si>
  <si>
    <t>AF25125M</t>
  </si>
  <si>
    <t>AF2501RS</t>
  </si>
  <si>
    <t>P532501</t>
  </si>
  <si>
    <t>27.411.00</t>
  </si>
  <si>
    <t xml:space="preserve">CATERPILLAR: D5H; D6MLGP; 235; 320B/LN; 320B/N; 320B/S; 320B; 320C; 320D/L; 320D; 320D2; 320DL; 322B; 322BLN; 322C; 322CL; 322D; 322DL; 325B; 325BL; 325BLN; 330C; 527; 630B; 550; 550B; 561N; 570; 570B; 580; 580B; 589; 611; 615C; 65B; 815B; 816B; 938F; 938G; 950F; 950G; 960F; 962G; 966E; 966F </t>
  </si>
  <si>
    <t>CAT:RS3505</t>
  </si>
  <si>
    <t>CF1574</t>
  </si>
  <si>
    <t>E591LS</t>
  </si>
  <si>
    <t>ASR501</t>
  </si>
  <si>
    <t>HDS501</t>
  </si>
  <si>
    <t>CA7486SY</t>
  </si>
  <si>
    <t>AF25126M</t>
  </si>
  <si>
    <t>AF2502RS</t>
  </si>
  <si>
    <t>P532502</t>
  </si>
  <si>
    <t>27.413.00</t>
  </si>
  <si>
    <t>CAT: ATERPILLAR 627F; 627F; 627G; 633E; 637G; 638G; D8L; D9N; D9R;  R2900</t>
  </si>
  <si>
    <t>CAT: 6I2507; 1327166</t>
  </si>
  <si>
    <t>CA7478</t>
  </si>
  <si>
    <t>AF25288M</t>
  </si>
  <si>
    <t>P532507</t>
  </si>
  <si>
    <t>27.414.00</t>
  </si>
  <si>
    <t>CAT: 5130; 5230B; 834G; 836G; 988G; D9L Série 14Y1; PM465; PM565</t>
  </si>
  <si>
    <t>CAT: 6I2509</t>
  </si>
  <si>
    <t>C32160</t>
  </si>
  <si>
    <t>E1887L</t>
  </si>
  <si>
    <t>ARS2509</t>
  </si>
  <si>
    <t>HD4221</t>
  </si>
  <si>
    <t>AF25137M</t>
  </si>
  <si>
    <t>AF2509RS</t>
  </si>
  <si>
    <t>P532509</t>
  </si>
  <si>
    <t>27.415.00</t>
  </si>
  <si>
    <t>CAT: 5130B; 5230; 5230B; 631G; 637G; 637G; 637G; 638G; 834G; 836G; 980H; 988G; 994F; 994G; D6R; D8R; E624; PM465; PM565B; R1600; R1600G; R1700 II; R2900; RM500</t>
  </si>
  <si>
    <t>CAT: 612510</t>
  </si>
  <si>
    <t>CF22160</t>
  </si>
  <si>
    <t>AF25138M</t>
  </si>
  <si>
    <t>P532510</t>
  </si>
  <si>
    <t>27.416.00</t>
  </si>
  <si>
    <t>CAT: 245B; 5110; 5110B; 587R; 587T; 815F; 824G; 825G; 980G; 6RN1; 7LN1 639D, 815F</t>
  </si>
  <si>
    <t>CAT:6I2505</t>
  </si>
  <si>
    <t>C321170</t>
  </si>
  <si>
    <t>ARS5135</t>
  </si>
  <si>
    <t>CA7480</t>
  </si>
  <si>
    <t>AF25135M</t>
  </si>
  <si>
    <t>AF2505RS</t>
  </si>
  <si>
    <t>P532505</t>
  </si>
  <si>
    <t>27.417.00</t>
  </si>
  <si>
    <t>CATERPILLAR: 245B; 5110; 583R; 587R; 587T; 815F; 824G; 825G; 826G; 980G; 85C; 85D</t>
  </si>
  <si>
    <t>CAT: 6I2506</t>
  </si>
  <si>
    <t>CF21239</t>
  </si>
  <si>
    <t>E736LS</t>
  </si>
  <si>
    <t>ASR513</t>
  </si>
  <si>
    <t>HDS513</t>
  </si>
  <si>
    <t>CA7480SY</t>
  </si>
  <si>
    <t>AF25136M</t>
  </si>
  <si>
    <t>AF2506RS</t>
  </si>
  <si>
    <t>P532506</t>
  </si>
  <si>
    <t>27.418.00</t>
  </si>
  <si>
    <t>CAT: 231D; 235; 322C; 324D; 324DL; 324E; 325C; 325D; 325DL; 329EL; 330C; 815F; 966G; 972G; Challenger 65; Challenger 65B; Challenger 75 / KOMATSU; D65EX-15; D65EX-15; D65PX-15; D65WX-15; D85EX-15E0; D85PX-15E0; PC450-7K</t>
  </si>
  <si>
    <t>CAT: 6I2503</t>
  </si>
  <si>
    <t>C281045/2</t>
  </si>
  <si>
    <t>E808L</t>
  </si>
  <si>
    <t>ARS2503</t>
  </si>
  <si>
    <t>AF25129M</t>
  </si>
  <si>
    <t>AF2503RS</t>
  </si>
  <si>
    <t>P532503</t>
  </si>
  <si>
    <t>27.419.00</t>
  </si>
  <si>
    <t>CATERPILLAR: 6I2504 - CAT: 231D; 235; 322C; 324D; 324DL; 324E; 325C; 325D; 325DL; 329EL; 330C; 815F; 966G; 972G; Challenger 65; Challenger 65B; Challenger 75 / KOMATSU; D65EX-15; D65EX-15; D65PX-15; D65WX-15; D85EX-15E0; D85PX-15E0; PC450-7K</t>
  </si>
  <si>
    <t>6I2504</t>
  </si>
  <si>
    <t>CF15136</t>
  </si>
  <si>
    <t>E808LS</t>
  </si>
  <si>
    <t>ASR503</t>
  </si>
  <si>
    <t>HDS503</t>
  </si>
  <si>
    <t>AF25130M</t>
  </si>
  <si>
    <t>AF2504RS</t>
  </si>
  <si>
    <t>P532504</t>
  </si>
  <si>
    <t>BOB CAT: 337; 751 / CASE: 1838; C60; C60X; C50; C50X / CAT: 216; 226; 228; 236; 246; 248; 262; 906 / VOLVO: ECR88 / JOHN DEERE: 5105; 5205</t>
  </si>
  <si>
    <t>CAT: 1348726</t>
  </si>
  <si>
    <t>C13145/2</t>
  </si>
  <si>
    <t>E1504L</t>
  </si>
  <si>
    <t>ARS6333</t>
  </si>
  <si>
    <t>HD6333</t>
  </si>
  <si>
    <t>WAP750</t>
  </si>
  <si>
    <t>AF25553</t>
  </si>
  <si>
    <t>P822768</t>
  </si>
  <si>
    <t>27.421.00</t>
  </si>
  <si>
    <t>KOMATSU: BR580JG-1; D155A-6; D155AX-5; D275A-5; PC450LC-7 / Jhon deere: 600CLC / VOLVO: A25D; A25D; A30; A30C; A20D; A30D; EC330B; EC360B; EC360B; EC360C; EC360HR; FB2800C; G740B; G746B; G780B / Atlas copco: MT2010; RD10+; ROCF6; ROCF7 / HITACHI: LX290; ZX450; ZX500H; ZX600; ZX650H</t>
  </si>
  <si>
    <t>KOMATSU: 6001856110 / VOLVO: 11033996</t>
  </si>
  <si>
    <t>C321700/2</t>
  </si>
  <si>
    <t>ARS5564</t>
  </si>
  <si>
    <t>HD5564</t>
  </si>
  <si>
    <t>AF25627</t>
  </si>
  <si>
    <t>P781640</t>
  </si>
  <si>
    <t>27.422.00</t>
  </si>
  <si>
    <t>KOMATSU: 6001856120 / VOLVO: 11033997</t>
  </si>
  <si>
    <t>CF18190/2</t>
  </si>
  <si>
    <t>E540LS</t>
  </si>
  <si>
    <t>ASR564</t>
  </si>
  <si>
    <t>HD564</t>
  </si>
  <si>
    <t>AF25468</t>
  </si>
  <si>
    <t>P777869</t>
  </si>
  <si>
    <t>27.423.00</t>
  </si>
  <si>
    <t>CAT: Série 300; 3306B / JOHN DEERE: 1270D; 1470D; 608L; 1710D; 1711D / NEW HOLLAND: TX62; TX63; TX64; TX65; TX68</t>
  </si>
  <si>
    <t>VOLVO: 11110022
CAT: 1421339
CASE: 275809A1</t>
  </si>
  <si>
    <t>C291420/2</t>
  </si>
  <si>
    <t>E844L</t>
  </si>
  <si>
    <t>LX3290</t>
  </si>
  <si>
    <t>ARS2758</t>
  </si>
  <si>
    <t xml:space="preserve">CA8621 </t>
  </si>
  <si>
    <t>WAP715</t>
  </si>
  <si>
    <t>AF25756</t>
  </si>
  <si>
    <t>AR6341RS</t>
  </si>
  <si>
    <t>P777409</t>
  </si>
  <si>
    <t>27.424.00</t>
  </si>
  <si>
    <t>CATERPILLAR -N. Original CATERPILLAR: 6I0273</t>
  </si>
  <si>
    <t>Caterpillar 6I0273</t>
  </si>
  <si>
    <t>C30899</t>
  </si>
  <si>
    <t>E593L</t>
  </si>
  <si>
    <t>LX1776</t>
  </si>
  <si>
    <t>ARS2473</t>
  </si>
  <si>
    <t>HD2473</t>
  </si>
  <si>
    <t>CA7482</t>
  </si>
  <si>
    <t>AF25131M</t>
  </si>
  <si>
    <t>AF2473RS</t>
  </si>
  <si>
    <t>P532473</t>
  </si>
  <si>
    <t>27.425.00</t>
  </si>
  <si>
    <t>CATERPILLAR: 120H, 12H, 14H, 525B N° ORIGINAL: 6I0274</t>
  </si>
  <si>
    <t>6I0274</t>
  </si>
  <si>
    <t>CF19186</t>
  </si>
  <si>
    <t>E593LS</t>
  </si>
  <si>
    <t>ASR473</t>
  </si>
  <si>
    <t>HDS473</t>
  </si>
  <si>
    <t>CA7482SY</t>
  </si>
  <si>
    <t>AF25132M</t>
  </si>
  <si>
    <t>AF2474RS</t>
  </si>
  <si>
    <t>P532474</t>
  </si>
  <si>
    <t>27.429.00</t>
  </si>
  <si>
    <t>INGERSOLL RAND (ORIGINAL 85400679), NEW ROLAND TL65/TL70/TL75</t>
  </si>
  <si>
    <t>C14210/2</t>
  </si>
  <si>
    <t>E571L</t>
  </si>
  <si>
    <t>LX1241</t>
  </si>
  <si>
    <t>ARS7653</t>
  </si>
  <si>
    <t>CA5745</t>
  </si>
  <si>
    <t>AF25291</t>
  </si>
  <si>
    <t>P772579</t>
  </si>
  <si>
    <t>27.430.00</t>
  </si>
  <si>
    <t>EMPILHADEIRA DIVERSAS; CASE; MASSEY FERGUSON; FENDT;</t>
  </si>
  <si>
    <t>1456804; 47135976;</t>
  </si>
  <si>
    <t>CF850/2</t>
  </si>
  <si>
    <t>E571LS</t>
  </si>
  <si>
    <t>LXS284</t>
  </si>
  <si>
    <t>ASR484</t>
  </si>
  <si>
    <t>HDS484</t>
  </si>
  <si>
    <t>CA5745SY</t>
  </si>
  <si>
    <t>WAP752/S</t>
  </si>
  <si>
    <t>AF25484</t>
  </si>
  <si>
    <t>P775300; P829332;</t>
  </si>
  <si>
    <t>27.437.00</t>
  </si>
  <si>
    <t xml:space="preserve">CASE: 360; iH1840 / BOBCAT:  2400; 2410; 953 / INGERSOL RAND: P100WD </t>
  </si>
  <si>
    <t>CASE: 1336992C1
BOB CAT: 2393449
IGERSOLL RAND: 35291970</t>
  </si>
  <si>
    <t>C14190</t>
  </si>
  <si>
    <t>E1772L</t>
  </si>
  <si>
    <t>AP2393</t>
  </si>
  <si>
    <t>CAK4928</t>
  </si>
  <si>
    <t>AF1606KM</t>
  </si>
  <si>
    <t>P182062</t>
  </si>
  <si>
    <t>27.441.00</t>
  </si>
  <si>
    <t xml:space="preserve">CATERPILLAR: 9Y6851 / DOOSAN: 24749053 / KOMATSU: 6001816820 - 6001816830 </t>
  </si>
  <si>
    <t>KOMATSU 6001816820</t>
  </si>
  <si>
    <t>CA6665</t>
  </si>
  <si>
    <t>AF4838</t>
  </si>
  <si>
    <t>P181191</t>
  </si>
  <si>
    <t>27.442.00</t>
  </si>
  <si>
    <t>KOMATSU: 6001816730 - 6001816740 - 6001816810 - DOOSAN: 24749054</t>
  </si>
  <si>
    <t>Komatsu 6001816730</t>
  </si>
  <si>
    <t>CA6684SY</t>
  </si>
  <si>
    <t>AF4896</t>
  </si>
  <si>
    <t>P522452</t>
  </si>
  <si>
    <t>27.445.00</t>
  </si>
  <si>
    <t>CASE: 1285; 1286; 1550; 40E; 45B; 6830T; 721; 821; 821B; W30 / JOHN DEERE: 790; 790D; 792; 793D; 892D/ ATLAS COPCO: QAS150; QAS180; QAS180KD</t>
  </si>
  <si>
    <t>CASE: S238647
JOHN DEERE: AT81019</t>
  </si>
  <si>
    <t>C15176</t>
  </si>
  <si>
    <t>AS249</t>
  </si>
  <si>
    <t>HS249</t>
  </si>
  <si>
    <t>CA3989</t>
  </si>
  <si>
    <t>AF1935M</t>
  </si>
  <si>
    <t>P124046</t>
  </si>
  <si>
    <t>27.484.00</t>
  </si>
  <si>
    <t>CF1510/1</t>
  </si>
  <si>
    <t>E496LS</t>
  </si>
  <si>
    <t>LXS361</t>
  </si>
  <si>
    <t>AF26162</t>
  </si>
  <si>
    <t>P500174</t>
  </si>
  <si>
    <t>27.486.00</t>
  </si>
  <si>
    <t>MB: CLASSE C 180 1.6 DE 2007 A 2011, C 200 1.8 DE 2007 A 2010 - N. ORIGINAL MB: 2710940204</t>
  </si>
  <si>
    <t>C14114</t>
  </si>
  <si>
    <t>E472L</t>
  </si>
  <si>
    <t>ARS1123</t>
  </si>
  <si>
    <t>CA9680</t>
  </si>
  <si>
    <t>WR365</t>
  </si>
  <si>
    <t>27.507.00</t>
  </si>
  <si>
    <t>AGRALE: MA 7.5T - MICRO-BUS - MWM 4.10T; MA 8.5T - MICRO-BUS - MWM 4.10T / AGCO: MF-297 / JCB: 580/12021</t>
  </si>
  <si>
    <t>6007001744001</t>
  </si>
  <si>
    <t>CF500/1</t>
  </si>
  <si>
    <t>E1900LS</t>
  </si>
  <si>
    <t>LXS251</t>
  </si>
  <si>
    <t>ASR203</t>
  </si>
  <si>
    <t>HDS203</t>
  </si>
  <si>
    <t>CA9352SY</t>
  </si>
  <si>
    <t>AF25724</t>
  </si>
  <si>
    <t>P780036</t>
  </si>
  <si>
    <t>27.509.00</t>
  </si>
  <si>
    <t>HOLDER TRACTORS: 2-34; 2-42; 220; 230; 240; 330; 340 / INGERSOLL RAND: 7-21; 7-26 / KAESER MOBILAIR: M22; M25/ KRAMER: 318 / KUBOTA: ZD321; ZD326 / TEREX: HR12/ VOLVO CONSTRUCTION EQUIPMENT: DD22; DD24</t>
  </si>
  <si>
    <t>ATLAS COPCO: 2914930100</t>
  </si>
  <si>
    <t>CF100</t>
  </si>
  <si>
    <t>E1500LS</t>
  </si>
  <si>
    <t>AF26388</t>
  </si>
  <si>
    <t>P780018</t>
  </si>
  <si>
    <t>27.510.00</t>
  </si>
  <si>
    <t>AGCO: COLHEITADEIRA MS56/3640; MF-680 / AGRALE: TRATOR BX E CAMINHÃO MA (EXPORTAÇÃO COLOMBIA) / CATERPILLAR / VALTRA / VALMET: TRATOR 1280, 1380, 1580, 1680, 1780, 1880; TRATOR BH140, BH160, BH180</t>
  </si>
  <si>
    <t xml:space="preserve">055134R1; 2567902; </t>
  </si>
  <si>
    <t>C23610</t>
  </si>
  <si>
    <t>E2000L</t>
  </si>
  <si>
    <t>LX1801</t>
  </si>
  <si>
    <t>ARS5134</t>
  </si>
  <si>
    <t>HD5134</t>
  </si>
  <si>
    <t>CA9746</t>
  </si>
  <si>
    <t>WR200/9</t>
  </si>
  <si>
    <t>AF25729</t>
  </si>
  <si>
    <t>P782104</t>
  </si>
  <si>
    <t>27.511.00</t>
  </si>
  <si>
    <t>AGRALE: MA 12.0 E (2006- &gt;); MA 8.5 (2006- &gt;); MA 9.2 (2006- &gt;); MT 12.0 LE/SB (2006- &gt;); MT 12.0 LE/SB(2006- &gt;); W8 E (2005- 2007)/ MASSEY FERGUNSO: N5650(2002- &gt;); 6350; 6360(2002- &gt;); 680 / VALMET: 1180; 1280R; 1380; 1580; 1680(2000- &gt;); 1780 (2000- &gt;); 1880; BH 180 - Linha Leve (2001- &gt;); BH140 - Linha Leve; BH160 - Linha Leve / AHLMANN: AS210 / ATLAS-COPCO: XA/XAS/XASS-Série 66 D/DDG (1998); XA/XAS/XASS-Série 76 DD (1997); XA/XAS/XASS-Série 96DD (1998) / CATERPILLAR: 120M / JCB:JS330 / ZOOMILION: YZ18G; YZ20E; YZ25</t>
  </si>
  <si>
    <t>AGRALE: 80113101027006
CATERPILLAR: 2567903
MASSEY FERGUNSON: 3902782M1</t>
  </si>
  <si>
    <t>CF610</t>
  </si>
  <si>
    <t>E2000LS</t>
  </si>
  <si>
    <t>ASR353</t>
  </si>
  <si>
    <t>HDS353</t>
  </si>
  <si>
    <t>CA9746SY</t>
  </si>
  <si>
    <t>WR200/9S</t>
  </si>
  <si>
    <t>AF26398</t>
  </si>
  <si>
    <t>AFI5720RS</t>
  </si>
  <si>
    <t>P782107</t>
  </si>
  <si>
    <t>27.513.00</t>
  </si>
  <si>
    <t>BOBCAT; MF</t>
  </si>
  <si>
    <t>CF200</t>
  </si>
  <si>
    <t>E1600LS</t>
  </si>
  <si>
    <t>ASR868</t>
  </si>
  <si>
    <t>AF25728</t>
  </si>
  <si>
    <t>P780024</t>
  </si>
  <si>
    <t>27.514.00</t>
  </si>
  <si>
    <t>MASSEY FERGUNSON: 265; 275; 283; 283F; 425; 435; MF86H / RANDON: RB406; RK460B</t>
  </si>
  <si>
    <t>MASSEY FERGUNSON: 3901464M1</t>
  </si>
  <si>
    <t>C15300</t>
  </si>
  <si>
    <t>E1700L</t>
  </si>
  <si>
    <t>LX1687/1</t>
  </si>
  <si>
    <t>ARS7109</t>
  </si>
  <si>
    <t>HD7109</t>
  </si>
  <si>
    <t>CA9744</t>
  </si>
  <si>
    <t>WR200/4</t>
  </si>
  <si>
    <t>AF26391</t>
  </si>
  <si>
    <t>P778989</t>
  </si>
  <si>
    <t>27.515.00</t>
  </si>
  <si>
    <t>MASSEY FERGUNSON: 390146M1
CASE: 87574363</t>
  </si>
  <si>
    <t>CF300/1</t>
  </si>
  <si>
    <t>E1700LS</t>
  </si>
  <si>
    <t>LXS259</t>
  </si>
  <si>
    <t>ASR806</t>
  </si>
  <si>
    <t>HD806</t>
  </si>
  <si>
    <t>CA9744SY</t>
  </si>
  <si>
    <t>WAP200/4S</t>
  </si>
  <si>
    <t>AF26392</t>
  </si>
  <si>
    <t>P780030</t>
  </si>
  <si>
    <t>27.517.00</t>
  </si>
  <si>
    <t>VALTRA / VALMET: Trator;</t>
  </si>
  <si>
    <t>055125R1; 11705111;</t>
  </si>
  <si>
    <t>CF400/1</t>
  </si>
  <si>
    <t>ASR807</t>
  </si>
  <si>
    <t>HDS807</t>
  </si>
  <si>
    <t>CA9745SY</t>
  </si>
  <si>
    <t>WAP200/6S</t>
  </si>
  <si>
    <t>AF26394</t>
  </si>
  <si>
    <t>P780012</t>
  </si>
  <si>
    <t>27.518.00</t>
  </si>
  <si>
    <t>NEW HOLLAND: T6030; T6050; T6080; TS115A; TS125A; TS135A / CAT: 315C; 315CL; 318C; 928G / CASE: Série 6000; Série PUMA</t>
  </si>
  <si>
    <t>CAT: 1527217
CASE: 82034620
NEW HOLLAND: 73175974</t>
  </si>
  <si>
    <t>C216303</t>
  </si>
  <si>
    <t>E707L</t>
  </si>
  <si>
    <t>ARS5492</t>
  </si>
  <si>
    <t>CA8596</t>
  </si>
  <si>
    <t>WAP708</t>
  </si>
  <si>
    <t>AF25492</t>
  </si>
  <si>
    <t>P777638</t>
  </si>
  <si>
    <t>CASE IH SÉRIE 900; SERIE PUMA ; SERIE 6000; SERIE CVT; SERIE PROF ; CATERPILLAR SERIE 300; SERIE 500 SERIE 900 ; KOMATSU GD ; MASSEY FERGUSON SÉRIE 7400 ; NEW HOLLAND SERIE T6 ; T6000 ; T7 ; TS-A.</t>
  </si>
  <si>
    <t>1527219; 87683000;</t>
  </si>
  <si>
    <t>CF1140/2</t>
  </si>
  <si>
    <t>E672LS</t>
  </si>
  <si>
    <t>LXS286</t>
  </si>
  <si>
    <t>ASR492</t>
  </si>
  <si>
    <t xml:space="preserve">HDS492 </t>
  </si>
  <si>
    <t>CA8596SY</t>
  </si>
  <si>
    <t>WAP708/S</t>
  </si>
  <si>
    <t>AF25491</t>
  </si>
  <si>
    <t>AF7219RS</t>
  </si>
  <si>
    <t>P777639</t>
  </si>
  <si>
    <t>27.530.00</t>
  </si>
  <si>
    <t>Jonh Deere: 200DLC; 2154D; 240DLC; 270DLC; 444K; 460DC; 524K; 640H; 644K; 648H; 700K; 478H; 848H; 850J; R450</t>
  </si>
  <si>
    <t>John Deere: AT300487; Komatsu: 12Y0211180</t>
  </si>
  <si>
    <t>ARS2759</t>
  </si>
  <si>
    <t>CA10981</t>
  </si>
  <si>
    <t>WAP176</t>
  </si>
  <si>
    <t>AF25962</t>
  </si>
  <si>
    <t>P613334</t>
  </si>
  <si>
    <t>27.536.00</t>
  </si>
  <si>
    <t xml:space="preserve">BUSCH, MÁQUINAS GRÁFICAS RIETSCHLE 730519 </t>
  </si>
  <si>
    <t>C1337</t>
  </si>
  <si>
    <t>E128L</t>
  </si>
  <si>
    <t>27.539.00</t>
  </si>
  <si>
    <t>CATERPILLAR: 6I2499</t>
  </si>
  <si>
    <t>Caterpillar 6I2499</t>
  </si>
  <si>
    <t>C24580</t>
  </si>
  <si>
    <t>E754L</t>
  </si>
  <si>
    <t>LX2528</t>
  </si>
  <si>
    <t>ARS2499</t>
  </si>
  <si>
    <t>HD2499</t>
  </si>
  <si>
    <t>CA7487</t>
  </si>
  <si>
    <t>AF25111M</t>
  </si>
  <si>
    <t>AF2499RS</t>
  </si>
  <si>
    <t>P532499</t>
  </si>
  <si>
    <t>27.540.00</t>
  </si>
  <si>
    <t>CAT: Série 120; Série 12; Série 130; Série 200; Série 500; Série 900; AP Séries; BG Séries; CP Séries; Séries CS;Séries D ; Série IT</t>
  </si>
  <si>
    <t>Caterpillar  6I2500</t>
  </si>
  <si>
    <t>CF1273</t>
  </si>
  <si>
    <t>E754LS</t>
  </si>
  <si>
    <t>LXS304</t>
  </si>
  <si>
    <t>ASR250</t>
  </si>
  <si>
    <t>HDS250</t>
  </si>
  <si>
    <t>CA7487SY</t>
  </si>
  <si>
    <t>WAP618</t>
  </si>
  <si>
    <t>AF25112M</t>
  </si>
  <si>
    <t>AF2500RS</t>
  </si>
  <si>
    <t>P532500</t>
  </si>
  <si>
    <t>27.544.00</t>
  </si>
  <si>
    <t>IVECO: STRALIS: HD 380; HD 450 E38; HD 450 S38T; HD 570 S38T - CURSOR 13 F3BE0681G (08/05-) / HD 450 S42T; HD 570 S42T; HD 740 S42T - CURSOR 13 F3BE0681V (08/05-) (CHASSIS ATÉ NO. 8702995 - (-08/06))</t>
  </si>
  <si>
    <t>1907695, 2996127, 41272515</t>
  </si>
  <si>
    <t>C331600/2</t>
  </si>
  <si>
    <t>E270L</t>
  </si>
  <si>
    <t>LX626</t>
  </si>
  <si>
    <t>AP7554</t>
  </si>
  <si>
    <t>CA10866</t>
  </si>
  <si>
    <t>WAP113</t>
  </si>
  <si>
    <t>AF25235</t>
  </si>
  <si>
    <t>P778081</t>
  </si>
  <si>
    <t>27.550.00</t>
  </si>
  <si>
    <t>CAT: 3025C /  New Holland: T3010; T3020; T3030; T3040; TCE40; TCE45; TCE50; TCE55</t>
  </si>
  <si>
    <t>New Holland: 73184170</t>
  </si>
  <si>
    <t>C11103/2</t>
  </si>
  <si>
    <t>E582L</t>
  </si>
  <si>
    <t>ARS7318</t>
  </si>
  <si>
    <t>CA10982</t>
  </si>
  <si>
    <t>AF25539</t>
  </si>
  <si>
    <t>P772578</t>
  </si>
  <si>
    <t>27.551.00</t>
  </si>
  <si>
    <t>New Holland: 87290071</t>
  </si>
  <si>
    <t>CF620</t>
  </si>
  <si>
    <t>ASR318</t>
  </si>
  <si>
    <t>CA10982SY</t>
  </si>
  <si>
    <t>AF25434</t>
  </si>
  <si>
    <t>P775298</t>
  </si>
  <si>
    <t>27.552.00</t>
  </si>
  <si>
    <t>CATERPILLAR:1467473 / YANMAR: 12905112530</t>
  </si>
  <si>
    <t>TBA30082</t>
  </si>
  <si>
    <t>CF752</t>
  </si>
  <si>
    <t>E816LS</t>
  </si>
  <si>
    <t>ASR572</t>
  </si>
  <si>
    <t>HDS572</t>
  </si>
  <si>
    <t>CA9550SY</t>
  </si>
  <si>
    <t>AF25552</t>
  </si>
  <si>
    <t>P822858</t>
  </si>
  <si>
    <t>27.555.00</t>
  </si>
  <si>
    <t>CATERPILLAR / MITSUBISHI 9136113300</t>
  </si>
  <si>
    <t>Caterpillar 1085330</t>
  </si>
  <si>
    <t>AF25477</t>
  </si>
  <si>
    <t>P546641</t>
  </si>
  <si>
    <t>27.556.00</t>
  </si>
  <si>
    <t>JOHN DEERE: 380G LC; 624H LL; 624H; TC62H / NEW HOLLAND: W130B; W170B; W170TC; W190B / CASE: 621E; 721D; 721DXT; 721E; 821E  / FIAT HITACHI: LX120-3</t>
  </si>
  <si>
    <t>JOHN DEERE: AT178583; CASE:8605139; 8501334; AGCO: 700722567</t>
  </si>
  <si>
    <t>C24906/2</t>
  </si>
  <si>
    <t>ARS3393</t>
  </si>
  <si>
    <t>AF27691</t>
  </si>
  <si>
    <t>P538392</t>
  </si>
  <si>
    <t>27.557.00</t>
  </si>
  <si>
    <t xml:space="preserve">JOHN DEERE: AT178584 / CASE: 8501333; 8605140; 8605140 </t>
  </si>
  <si>
    <t>ASR393</t>
  </si>
  <si>
    <t>AF27846</t>
  </si>
  <si>
    <t>P538393</t>
  </si>
  <si>
    <t>27.558.00</t>
  </si>
  <si>
    <t xml:space="preserve">CATERPILLAR: 966H; 972H / MASSEY FERGUNSON (colheitadeiras): 38; 8780; Optima 660 / DEUTZ: Agron XXL1630 </t>
  </si>
  <si>
    <t>MASSEY FERGUNSON: 054707R1
CATERPILLAR: 2453818</t>
  </si>
  <si>
    <t>C30810/3</t>
  </si>
  <si>
    <t>E631L01</t>
  </si>
  <si>
    <t>ARS5470</t>
  </si>
  <si>
    <t>HD5470</t>
  </si>
  <si>
    <t>AF26401</t>
  </si>
  <si>
    <t>P782106</t>
  </si>
  <si>
    <t>27.562.00</t>
  </si>
  <si>
    <t>CLAAS JAGUAR: 489; 490; 830; 850; 860; 870; 880; 890; 900; 930; 970; 980 / CLAAS LEXION: 480; 510; 520; 530; 540; 550; 560; 570; 580; 600 ; 660; 670; 740; 750; 760; 770 / JOHN DEERE: 7450; 7550; 7750; 7750; 7850; 7950 / NEW HOLLAND: FX Séries</t>
  </si>
  <si>
    <t>CLAAS: 0773670; 04193518; 773672
JOHN DEERE: AZ61133</t>
  </si>
  <si>
    <t>C33920/5</t>
  </si>
  <si>
    <t>E119L74</t>
  </si>
  <si>
    <t>LX1255</t>
  </si>
  <si>
    <t>CA5707</t>
  </si>
  <si>
    <t>AF26279</t>
  </si>
  <si>
    <t>P780006</t>
  </si>
  <si>
    <t>27.563.00</t>
  </si>
  <si>
    <t>IVECO: EUROTRAKKER 260E31 (1999&gt;2004), 380E37 (1993&gt;2001), 380E44 (2000&gt;2004), TRAKKER 190T44 (2004&gt;...)</t>
  </si>
  <si>
    <t>2991785; 2992374; 41272211; 2996155;</t>
  </si>
  <si>
    <t>C331465/1</t>
  </si>
  <si>
    <t>E433L</t>
  </si>
  <si>
    <t>CA9783</t>
  </si>
  <si>
    <t>AF26204</t>
  </si>
  <si>
    <t>27.565.00</t>
  </si>
  <si>
    <t>VOLVO CONSTRUCTION: A25G; A30G; A séries; EC Séries; L Séries / NEW HOLLAND: CR Séries; CX Séries / MASSEY FERGUSON: MF 7200 Séries</t>
  </si>
  <si>
    <t>VOLVO: 11033999
NEW HOLLAND:NP84069018</t>
  </si>
  <si>
    <t>CF1821/1</t>
  </si>
  <si>
    <t>E786LS</t>
  </si>
  <si>
    <t>ASR998</t>
  </si>
  <si>
    <t>CA9741SY</t>
  </si>
  <si>
    <t>AF25620</t>
  </si>
  <si>
    <t>P777875</t>
  </si>
  <si>
    <t>27.566.00</t>
  </si>
  <si>
    <t xml:space="preserve"> HITACHI: SCX 550 3 SCX SERIES: SCX 700C 3; SCX550 3; SCX700C 3; ISUZU 4HK1.N; EX200; EX210; EX220; EX225; EX230; EX270; EX280; SCX550; SCX700. / JOHN DEERE: 180C; 180C W; 210C W; 225C LC; 225D LC / NEW HOLLAND: E225BSR / CASE: ESCAVADEIRA CX290 </t>
  </si>
  <si>
    <t>HITACHI: 4286128
JOHN DEERE: AT280662</t>
  </si>
  <si>
    <t>C24553</t>
  </si>
  <si>
    <t>E1503L</t>
  </si>
  <si>
    <t>LX3616</t>
  </si>
  <si>
    <t>ARS3538</t>
  </si>
  <si>
    <t>CA8244</t>
  </si>
  <si>
    <t>WAP704</t>
  </si>
  <si>
    <t>AF25414</t>
  </si>
  <si>
    <t>P821938</t>
  </si>
  <si>
    <t>27.567.00</t>
  </si>
  <si>
    <t>HITACHI: 263E237001
JOHN DEERE: AT280663</t>
  </si>
  <si>
    <t>CF1414</t>
  </si>
  <si>
    <t>ASR538</t>
  </si>
  <si>
    <t>CA8245</t>
  </si>
  <si>
    <t>WAP704S</t>
  </si>
  <si>
    <t>AF25412</t>
  </si>
  <si>
    <t>P821963</t>
  </si>
  <si>
    <t>27.568.00</t>
  </si>
  <si>
    <t>CAT: 3054; 3054C; 3054C; C4.4 / JONH DEERE: 5310; 5410; 5510; 5245; 5315; 5415; 5515; 5615 / MANITOU: MA460; ML 635 TURBO; MLT 1035 L TURBO LSU; MLT 634 -120 LSU; MLT 634 -120 LSU POWERSHIFT; MLT 634 TURBO LSU; MLT 735 -120 LSU; MLT 735 -120 LSU POWERSHIFT; MLT 735 TURBO LSU; MLT 741 -120 LSU; MLT 741 -120 LSU POWERSHIFT; MLT 741 TURBO LSU; MLT629; MLT633; MLT730; MLT731; MLT735120LSU; MSI40; MT 1235 S; MT 1235 S TURBO; MT 1240 L TURBO; MT 1240 L TURBO ULTRA; MT 1335 SL; MT 1335 SL TURBO; MT 1340 SL TURBO; MT 1340 SL TURBO ULTRA; MT 1435 SL; MT 1435 SL TURBO; MT 1440 SL; MT 1440 SL TURBO; MT 1440 SL TURBO ULTRA; MT 1740 SL TURBO; MT 1740 SL TURBO ULTRA; MT 940 L TURBO; MT1030SS2; MT1235; MT732; MT932; MVT665T</t>
  </si>
  <si>
    <t>C16324/2</t>
  </si>
  <si>
    <t>AF25795</t>
  </si>
  <si>
    <t>P783730</t>
  </si>
  <si>
    <t>27.569.00</t>
  </si>
  <si>
    <t>CAT:2335184
JOHN DEERE: ER263059
MANITOU: 563415</t>
  </si>
  <si>
    <t>CF980/2</t>
  </si>
  <si>
    <t>E1508LS</t>
  </si>
  <si>
    <t>AF25794</t>
  </si>
  <si>
    <t>P783731</t>
  </si>
  <si>
    <t>27.573.00</t>
  </si>
  <si>
    <t>C271170</t>
  </si>
  <si>
    <t>E541L01</t>
  </si>
  <si>
    <t>ARS9844</t>
  </si>
  <si>
    <t>CA10817</t>
  </si>
  <si>
    <t>WAP991</t>
  </si>
  <si>
    <t>AF26246</t>
  </si>
  <si>
    <t>P786421</t>
  </si>
  <si>
    <t>27.576.00</t>
  </si>
  <si>
    <t>VOLVO: FH12340, FH12380, FH12400, FH12440, NH12340, NH12380, NH12420. - USAR C/ AP5572 - N. ORIGINAL VOLVO: 1665937</t>
  </si>
  <si>
    <t>CF2000/1</t>
  </si>
  <si>
    <t>LXS282</t>
  </si>
  <si>
    <t>AS572</t>
  </si>
  <si>
    <t>HS572</t>
  </si>
  <si>
    <t>AF25317</t>
  </si>
  <si>
    <t>27.583.00</t>
  </si>
  <si>
    <t xml:space="preserve">TOYOTA: HILUX 2.4 8V (01/93 - 12/96);2.7 16V (01/96 - 12/00);2.7 16V (01/02 - 12/03);2.8 DIESEL (01/92 - 12/96);3.0 12V V6 </t>
  </si>
  <si>
    <t>C22267</t>
  </si>
  <si>
    <t>AP7060</t>
  </si>
  <si>
    <t>CA10703</t>
  </si>
  <si>
    <t>JFA0292</t>
  </si>
  <si>
    <t>AF25584M</t>
  </si>
  <si>
    <t>P500125</t>
  </si>
  <si>
    <t>27.594.00</t>
  </si>
  <si>
    <t>BMW: SÉRIE 1 (E81/E87) (2003&gt;2009), SÉRIE 3 (E90/E92) (2005&gt;2013)</t>
  </si>
  <si>
    <t>E620L</t>
  </si>
  <si>
    <t>LX1650</t>
  </si>
  <si>
    <t>CA9950</t>
  </si>
  <si>
    <t>27.595.00</t>
  </si>
  <si>
    <t>BMW: 320I (03/05-02/12); X1 18I 2.0 16V GAS. (03/10-)</t>
  </si>
  <si>
    <t>C1361</t>
  </si>
  <si>
    <t>E621L</t>
  </si>
  <si>
    <t>LX1651</t>
  </si>
  <si>
    <t>AR6079</t>
  </si>
  <si>
    <t>CA9951</t>
  </si>
  <si>
    <t>WR363</t>
  </si>
  <si>
    <t>27.600.00</t>
  </si>
  <si>
    <t>IVECO: STRALIS: HD 450 S38T; HD 570 S38T - CURSOR 13 F3BE0681G (08/05-) / HD 450 S42T; HD 570 S42T; HD 740 S42T - CURSOR 13 F3BE0681V (08/05-) TODOS COM CHASSIS A PARTIR DO NO. 8702996 (09/06-)</t>
  </si>
  <si>
    <t>2996126; 41270082; 41272124; 500058312;</t>
  </si>
  <si>
    <t>C321420/1</t>
  </si>
  <si>
    <t>E681L</t>
  </si>
  <si>
    <t>LX2082/1</t>
  </si>
  <si>
    <t>ARS8235</t>
  </si>
  <si>
    <t>HD8235</t>
  </si>
  <si>
    <t>CA5699</t>
  </si>
  <si>
    <t>WAP111</t>
  </si>
  <si>
    <t>AF26241</t>
  </si>
  <si>
    <t>AR6333RS</t>
  </si>
  <si>
    <t>P633572</t>
  </si>
  <si>
    <t>27.615.00</t>
  </si>
  <si>
    <t>KOMATSU: BR580JG-1; D155A-3; D155A-5; D155A-6; D275-5 /  SCANIA: R144; T144; R164; R500; R560; R620; T500; T580.</t>
  </si>
  <si>
    <t>Scania: 1387548; KOMATSU: 6001856110</t>
  </si>
  <si>
    <t>C311495</t>
  </si>
  <si>
    <t>E540L</t>
  </si>
  <si>
    <t>ARS6088</t>
  </si>
  <si>
    <t>CA9434</t>
  </si>
  <si>
    <t>P608885</t>
  </si>
  <si>
    <t>27.616.00</t>
  </si>
  <si>
    <t>MAN: TGX 29.440 / TGX 33.440 (TODOS: DIESEL (12-) MOTOR D2676 LF28)</t>
  </si>
  <si>
    <t>CF1640</t>
  </si>
  <si>
    <t>E428LS</t>
  </si>
  <si>
    <t>LXS277</t>
  </si>
  <si>
    <t>ASR942</t>
  </si>
  <si>
    <t>HDS942</t>
  </si>
  <si>
    <t>CA9654SY</t>
  </si>
  <si>
    <t>WAP120/S</t>
  </si>
  <si>
    <t>AF25896</t>
  </si>
  <si>
    <t>P782937</t>
  </si>
  <si>
    <t>27.619.00</t>
  </si>
  <si>
    <t>C271250/1</t>
  </si>
  <si>
    <t>E428L01</t>
  </si>
  <si>
    <t>LX3593</t>
  </si>
  <si>
    <t>ARS9842</t>
  </si>
  <si>
    <t>HD9842</t>
  </si>
  <si>
    <t>CA9654</t>
  </si>
  <si>
    <t>WAP120</t>
  </si>
  <si>
    <t>AF25894</t>
  </si>
  <si>
    <t>P782936</t>
  </si>
  <si>
    <t>27.620.00</t>
  </si>
  <si>
    <t>NISSAN: BF03; BGF03; WF03; WGF03; BF03</t>
  </si>
  <si>
    <t>NISSAN: 1654651760</t>
  </si>
  <si>
    <t>AF4573K</t>
  </si>
  <si>
    <t>P606948</t>
  </si>
  <si>
    <t>27.621.00</t>
  </si>
  <si>
    <t>AUDI: A1 1.4 16V TFSI GASOLINA (10-)</t>
  </si>
  <si>
    <t>6R0129620A</t>
  </si>
  <si>
    <t>C15008</t>
  </si>
  <si>
    <t>E1017L</t>
  </si>
  <si>
    <t>LX2831</t>
  </si>
  <si>
    <t>AR6085</t>
  </si>
  <si>
    <t>CA10822</t>
  </si>
  <si>
    <t>WR212</t>
  </si>
  <si>
    <t>27.626.00</t>
  </si>
  <si>
    <t>IVECO: Eurocargo l; Eurocargo ll</t>
  </si>
  <si>
    <t>IVECO: 500055621; 4586056114</t>
  </si>
  <si>
    <t>C25860/1</t>
  </si>
  <si>
    <t>E595L</t>
  </si>
  <si>
    <t>LX1276</t>
  </si>
  <si>
    <t>CA9570</t>
  </si>
  <si>
    <t>AF25876</t>
  </si>
  <si>
    <t>P782880</t>
  </si>
  <si>
    <t>27.628.00</t>
  </si>
  <si>
    <t>PEUGEOT: Boxer Turbo Diesel 2.0 - 120cv - 2019-&gt;; FIAT: Ducato Multijet Diesel2.3 16V - 130cv - 2018-&gt;; CITROEN: Jumper 2.0 BlueHDi - 130cv - 2019-&gt;;</t>
  </si>
  <si>
    <t>FIAT: 1359644080; Citroen: 16064024680;</t>
  </si>
  <si>
    <t>C17237</t>
  </si>
  <si>
    <t>E839L</t>
  </si>
  <si>
    <t>ARS1015</t>
  </si>
  <si>
    <t>WR315/1</t>
  </si>
  <si>
    <t>27.630.00</t>
  </si>
  <si>
    <t>FIAT: BRAVO 1.4 16V TURBO (01/11-)</t>
  </si>
  <si>
    <t>C14004</t>
  </si>
  <si>
    <t>E1120L</t>
  </si>
  <si>
    <t>ARS5187</t>
  </si>
  <si>
    <t>HD5187</t>
  </si>
  <si>
    <t>CA10523</t>
  </si>
  <si>
    <t>WR110</t>
  </si>
  <si>
    <t>27.636.00</t>
  </si>
  <si>
    <t>BMW: 325I 2.5 24V GAS. (01/05-12/11);  330I 3.0 24V GAS. (03/05-12/11); X1 28 IX 3.0 (10/09-08/11)</t>
  </si>
  <si>
    <t>C18114</t>
  </si>
  <si>
    <t>E733L</t>
  </si>
  <si>
    <t>LX1035</t>
  </si>
  <si>
    <t>CA10239</t>
  </si>
  <si>
    <t>WR364</t>
  </si>
  <si>
    <t>27.639.00</t>
  </si>
  <si>
    <t>MERCEDES BENZ: ACTROS I, AXOR I, AXOR II PARA SISTEMA DE FILTRAGEM MAHLE N° ORIGINAL: A0040942504, A0040942404</t>
  </si>
  <si>
    <t>E497L</t>
  </si>
  <si>
    <t>LX814/1</t>
  </si>
  <si>
    <t>AP9845</t>
  </si>
  <si>
    <t>CA10312</t>
  </si>
  <si>
    <t>AF26165</t>
  </si>
  <si>
    <t>P785542</t>
  </si>
  <si>
    <t>27.642.00</t>
  </si>
  <si>
    <t>SCANIA: P, R, T 94, 114, 124 - ALGUNS MODELOS(1377099)</t>
  </si>
  <si>
    <t>C301359</t>
  </si>
  <si>
    <t>E1006L</t>
  </si>
  <si>
    <t>ARS1183</t>
  </si>
  <si>
    <t>CA9419</t>
  </si>
  <si>
    <t>WAP105</t>
  </si>
  <si>
    <t>P787610</t>
  </si>
  <si>
    <t>27.644.00</t>
  </si>
  <si>
    <t>MAN, DIV.</t>
  </si>
  <si>
    <t>C281275</t>
  </si>
  <si>
    <t>E1007L</t>
  </si>
  <si>
    <t>LX3155</t>
  </si>
  <si>
    <t>AF27974</t>
  </si>
  <si>
    <t>27.646.00</t>
  </si>
  <si>
    <t>MAN / MERCEDES BENZ / CATERPILLAR</t>
  </si>
  <si>
    <t>A0040943904; 0040943904;</t>
  </si>
  <si>
    <t>CF1830</t>
  </si>
  <si>
    <t>E1007LS</t>
  </si>
  <si>
    <t>AF27973</t>
  </si>
  <si>
    <t>27.649.00</t>
  </si>
  <si>
    <t>SCANIA: SÉRIE K: K230 DC9, K270 DC9, K310 DC9, K340 DC11, K420 DSC12 (01/05-) - PARA REFERÊNCIA ORIGINAL 1510942 / PRIMÁRIO USE 27.A11.00</t>
  </si>
  <si>
    <t>CF1650</t>
  </si>
  <si>
    <t>E719LS</t>
  </si>
  <si>
    <t>LXS312</t>
  </si>
  <si>
    <t>ASR180</t>
  </si>
  <si>
    <t>CA11126</t>
  </si>
  <si>
    <t>WAP272/S</t>
  </si>
  <si>
    <t>AF26678</t>
  </si>
  <si>
    <t>27.675.00</t>
  </si>
  <si>
    <t>FORD: FOCUS (SEDAN/ HATCH) NOVO (GL/ GLX) 1.6 16V E 2.0 16V FLEX (08-)</t>
  </si>
  <si>
    <t>C16134/1</t>
  </si>
  <si>
    <t>E1010L</t>
  </si>
  <si>
    <t>LX1780/3</t>
  </si>
  <si>
    <t>ARS5196</t>
  </si>
  <si>
    <t>HD5196</t>
  </si>
  <si>
    <t>CA10521</t>
  </si>
  <si>
    <t>WR192</t>
  </si>
  <si>
    <t>27.686.00</t>
  </si>
  <si>
    <t xml:space="preserve">CASE: Magnum -Cursor 9 (2011- &gt;) / NEW HOLLAND: Série T8 </t>
  </si>
  <si>
    <t>IVECO: 504334915
CASE: 5801659560</t>
  </si>
  <si>
    <t>AR9560</t>
  </si>
  <si>
    <t>WEOD005</t>
  </si>
  <si>
    <t>27.689.00</t>
  </si>
  <si>
    <t>Elemento Filtrante Do Ar  - Blow-By</t>
  </si>
  <si>
    <t>IVECO: Daily 3.0 (2013&gt;...)</t>
  </si>
  <si>
    <t>RA630</t>
  </si>
  <si>
    <t>RES630</t>
  </si>
  <si>
    <t>WEOD408</t>
  </si>
  <si>
    <t>27.718.00</t>
  </si>
  <si>
    <t>Compressor Cecatto</t>
  </si>
  <si>
    <t>CECCATO
640550</t>
  </si>
  <si>
    <t>C2360</t>
  </si>
  <si>
    <t>CA2680</t>
  </si>
  <si>
    <t>27.728.00</t>
  </si>
  <si>
    <t xml:space="preserve">FIAT: 147 1.0 / 1.1 / CITY  (83-91)/ FIORINO 1.3 (83-96) / OGGI 1.3 (77-87) / PANORAMA 1.3 (83-86)  / UNO  1.0 (91-95)  / 1.5  (85-87) </t>
  </si>
  <si>
    <t>C2120</t>
  </si>
  <si>
    <t>E194L</t>
  </si>
  <si>
    <t>AR2147</t>
  </si>
  <si>
    <t>HL2147</t>
  </si>
  <si>
    <t>CA2718</t>
  </si>
  <si>
    <t>27.762.00</t>
  </si>
  <si>
    <t>Compressores; O.E: ATMOS 627962121300 / ROTORCOMP R9213;</t>
  </si>
  <si>
    <t>BOSCH
1457429001
1457432116
9457232100</t>
  </si>
  <si>
    <t>C1213</t>
  </si>
  <si>
    <t>CA2695</t>
  </si>
  <si>
    <t>27.789.00</t>
  </si>
  <si>
    <t xml:space="preserve">CASE: 4300 - IH D817; CHICAGO PNEUMATIC: 365RO-2 Cummins V504; 600RO-2 Cummins NH220; 600RO-2 Leyland-Daf (LDV) 690; 600RO-2 Rolls Royce C6NFL ;900RO-2 DETROIT 8V-71N; 900RO-2 Detroit Diesel 6-110 / COMPAIR: 100- Detroit Diesel 12V-71; 120 - Detroit Diesel 12V-71; 70 - Detroit Diesel 12V-71; 555 - Allis-Chalmers 21000 </t>
  </si>
  <si>
    <t xml:space="preserve">CAT: 9L3420; CASE:172435H1 </t>
  </si>
  <si>
    <t>C36840/3</t>
  </si>
  <si>
    <t>AP1724</t>
  </si>
  <si>
    <t>AF362</t>
  </si>
  <si>
    <t>P181031</t>
  </si>
  <si>
    <t>27.793.00</t>
  </si>
  <si>
    <t>ALLIS; CASE; CATERPILLAR; DODGE; IVECO; LIEBHERR; RENAULT</t>
  </si>
  <si>
    <t>C24719</t>
  </si>
  <si>
    <t>E570L</t>
  </si>
  <si>
    <t>LX28</t>
  </si>
  <si>
    <t>AS266</t>
  </si>
  <si>
    <t>HS266</t>
  </si>
  <si>
    <t>CA523</t>
  </si>
  <si>
    <t>AF418</t>
  </si>
  <si>
    <t>P106587</t>
  </si>
  <si>
    <t>27.801.00</t>
  </si>
  <si>
    <t>AGRALE: 4230 / CATERPILLAR: V180; V200; V225; V250; V300 / ATLAS COPCO: R30A. Compress. Estac. / AUSTIN WESTERN: Grupo Gerador Continental</t>
  </si>
  <si>
    <t>VOLKSWAGEM: 3051296191
CAT: 6A5162</t>
  </si>
  <si>
    <t>C1176/3</t>
  </si>
  <si>
    <t>E111L</t>
  </si>
  <si>
    <t>LX272</t>
  </si>
  <si>
    <t>AR2867</t>
  </si>
  <si>
    <t>HL2867</t>
  </si>
  <si>
    <t>CA4260</t>
  </si>
  <si>
    <t>WAP605</t>
  </si>
  <si>
    <t>AF4066</t>
  </si>
  <si>
    <t>P778404</t>
  </si>
  <si>
    <t>27.802.00</t>
  </si>
  <si>
    <t xml:space="preserve">CASE CONSTRUCTION / CUMMINS / FORD /  GM / KOMATSU / MERCEDES BENZ: (0010945204)
AGRALE: 7000; 7500; 8500; 1090; 2100; 2105; 2600 CANAVIERO; 4100 Turbo; 4130; 490; 8450 (4X4); BX 4.60; BX 4.90; BX100 Turbo; BX130; BX4110; BX4130; BX60; BX90 / CBT: 1065, 1105, 2600; 1090A, 2100 CANAVIEIRO; 2500, 2100; 9450 TURBO (4X4) / DEUTZ: AX 4140/L/TRAÇÃO DUPLA; AX 4145/L/TRAÇÃO DUPLA; AX160; AX160S TURBO; AX4160; AX5.145 Tração Dupla; AX5125 TRAÇÃO SIMPL-DUPLA; AX5145 TRAÇÃO DUPLA; ; DX160; M 2000; M 2385; Optima E / FORD: B1618; FT7000 / MASSEY FERGUNSON: 297; 299; 299; 630; 650, 660; 6804; 86RV; 9110, 9120, 9130, 9140; 9130 Turbo / MERCEDES BENZ: 1017O; 1113L/LK; 1114L/LK; 1116; 1118L/LK; 1214 L/LK/R/K/LA; 1215L/LA; 1218L/LA/LAK/LK-R; 1313L/LK; 1314 L/LK/LAK; 1316 L/LK; 1317L/LK/LAK; 1318L/LK; 1319L; 1414L/LK; 1418L/LK/LA/LAK-R; 1513L/LK; 1514L/LK; 1516L/LK; 1517L/LK; 1518L/LK; 1519L/LS/LK; 1520LP; 1614L/LK; 1618L/LK; 1714L/LK; 1718KA; 1721LK/LS-S; 1924LS; 2013L / NEW HOLLAND: 1530 / 1540; 1550; 4040; 5050; 7630 S100; 8040; 8055 TURBO; 8055; 8055; 8430 Diesel Turbo; 8430; 8630, 8830 Diesel Turbo; 8630 / JOHN DEERE: 1000; 1065; 1068; 1072; 1075; 1166; 1174; 1177; 2000; 2200; 6300; 7500 / VALMET -VALTRA: 1180; 965 (4X4); 980 (4X4); 985 (4X4); BM110; BM120; BM125
</t>
  </si>
  <si>
    <t>MERCEDES BENZ: 0010945304; 0020940004
VOLVO: 7362224; 4780961</t>
  </si>
  <si>
    <t>C20325/2</t>
  </si>
  <si>
    <t>E115L</t>
  </si>
  <si>
    <t>LX265</t>
  </si>
  <si>
    <t>AP9834</t>
  </si>
  <si>
    <t>HP9834</t>
  </si>
  <si>
    <t>CA3291C</t>
  </si>
  <si>
    <t>WAP163</t>
  </si>
  <si>
    <t>AF25044M</t>
  </si>
  <si>
    <t>P771561</t>
  </si>
  <si>
    <t>27.805.00</t>
  </si>
  <si>
    <t>AGRALE / ATLAS COPCO/ CASE IH/ FORD / IVECO / JOHN DEERE / LIEBHERR / MERCEDES BENZ / MWM / NEW HOLLAND / VOLVO / VOLKSWAGEN</t>
  </si>
  <si>
    <t>8009101128000; BD7T9601B; 1902048; 10944704; 824847;</t>
  </si>
  <si>
    <t>C23440/1</t>
  </si>
  <si>
    <t>E116L</t>
  </si>
  <si>
    <t>LX227</t>
  </si>
  <si>
    <t>AP4440</t>
  </si>
  <si>
    <t>HP4440</t>
  </si>
  <si>
    <t>CA4685</t>
  </si>
  <si>
    <t>WAP223</t>
  </si>
  <si>
    <t>AF25043M</t>
  </si>
  <si>
    <t>AR23440/1</t>
  </si>
  <si>
    <t>P140136</t>
  </si>
  <si>
    <t>27.806.00</t>
  </si>
  <si>
    <t>MERCEDES BENZ ( 350 094 70 04 ) / SCANIA /  VWC (Motores Cummins)</t>
  </si>
  <si>
    <t>C24650/1</t>
  </si>
  <si>
    <t>E117L</t>
  </si>
  <si>
    <t>LX271/2</t>
  </si>
  <si>
    <t>AP4650/1</t>
  </si>
  <si>
    <t>HP4650/1</t>
  </si>
  <si>
    <t>CA3280</t>
  </si>
  <si>
    <t>WAP165</t>
  </si>
  <si>
    <t>AF4060</t>
  </si>
  <si>
    <t>P140110</t>
  </si>
  <si>
    <t>27.808.00</t>
  </si>
  <si>
    <t>ATLAS COPCO / LISTER</t>
  </si>
  <si>
    <t>C1450</t>
  </si>
  <si>
    <t>E69L</t>
  </si>
  <si>
    <t>LX157</t>
  </si>
  <si>
    <t>CA666PL</t>
  </si>
  <si>
    <t>AF1978</t>
  </si>
  <si>
    <t>27.813.00</t>
  </si>
  <si>
    <t>BECKER: SV 5.1050/1, 5.490/1, 5.690/1, 5.690/2; RIETSCHLE: CLFD 251 / 341 / 501, MACRO VTB 340 / 500, CLFDE 401;</t>
  </si>
  <si>
    <t>BECKER-KOMPRESSOREN
84040112000</t>
  </si>
  <si>
    <t>C21138/1</t>
  </si>
  <si>
    <t>E164L</t>
  </si>
  <si>
    <t>CA2727</t>
  </si>
  <si>
    <t>27.824.00</t>
  </si>
  <si>
    <t>CITROËN: CX 2.0L, 2.2L  ( 75 492 226, 95 495 229 )  / RENAULT:  R 18 GTX, 2.0L , R 18 TURBO 1.6L, R 19 1.4L, R 20, R 21, R 25, ESPACE,MEGANE, SCENIC, TRAFFIC GASOL. ( 7 701 348 175 )</t>
  </si>
  <si>
    <t>C1380</t>
  </si>
  <si>
    <t>E430L</t>
  </si>
  <si>
    <t>LX290</t>
  </si>
  <si>
    <t>AR7702</t>
  </si>
  <si>
    <t>HL7702</t>
  </si>
  <si>
    <t>CA3154</t>
  </si>
  <si>
    <t>WR275</t>
  </si>
  <si>
    <t>27.837.00</t>
  </si>
  <si>
    <t>DEUTZ-FAHR (CF 821)</t>
  </si>
  <si>
    <t>DEUTZ: 2211565; 4384102; 2311565</t>
  </si>
  <si>
    <t>C17134</t>
  </si>
  <si>
    <t>E277L</t>
  </si>
  <si>
    <t>CA3249</t>
  </si>
  <si>
    <t>AF4137</t>
  </si>
  <si>
    <t>P771594</t>
  </si>
  <si>
    <t>27.839.00</t>
  </si>
  <si>
    <t>EATON YALE / MERCEDES BENZ:(001 094 75 04) / MICHIGAN / TEMA TERRA</t>
  </si>
  <si>
    <t>09451160042; 9451160042; 2RP129620; 10947504;</t>
  </si>
  <si>
    <t>C20325</t>
  </si>
  <si>
    <t>E150L</t>
  </si>
  <si>
    <t>LX243</t>
  </si>
  <si>
    <t>AP2032</t>
  </si>
  <si>
    <t>CA3291E</t>
  </si>
  <si>
    <t>WAP101</t>
  </si>
  <si>
    <t>AF1601M</t>
  </si>
  <si>
    <t>27.845.02</t>
  </si>
  <si>
    <t>PEUGEOT: 106, 205, 405</t>
  </si>
  <si>
    <t>C1468</t>
  </si>
  <si>
    <t>E348L</t>
  </si>
  <si>
    <t>LX291</t>
  </si>
  <si>
    <t>AR9561</t>
  </si>
  <si>
    <t>CA3174B</t>
  </si>
  <si>
    <t>FAP0854</t>
  </si>
  <si>
    <t>27.878.00</t>
  </si>
  <si>
    <t>CASE / CBT / CLARK MICHIGAN / MASSEY PERKINS</t>
  </si>
  <si>
    <t>C16190x</t>
  </si>
  <si>
    <t>E568L</t>
  </si>
  <si>
    <t>LX17</t>
  </si>
  <si>
    <t>AP6774</t>
  </si>
  <si>
    <t>CAK258</t>
  </si>
  <si>
    <t>WAP203</t>
  </si>
  <si>
    <t>AF409K</t>
  </si>
  <si>
    <t>E500170</t>
  </si>
  <si>
    <t>27.888.00</t>
  </si>
  <si>
    <t>FIAT: DUCATO / CITRÖEN: JUMPER / PEUGEOT: BOXER</t>
  </si>
  <si>
    <t>C17129</t>
  </si>
  <si>
    <t>E244L</t>
  </si>
  <si>
    <t>LX478/1</t>
  </si>
  <si>
    <t>CA4813</t>
  </si>
  <si>
    <t>WR263</t>
  </si>
  <si>
    <t>AF4906</t>
  </si>
  <si>
    <t>27.893.00</t>
  </si>
  <si>
    <t xml:space="preserve"> NEW HOLLAND: tratores 86; 95; colheitadeiras TR96 / CLARK: Série 125; Série 85 / FIAT ALLIS: AD20; BD20; FD20; FE40; FE45; FL20; FR20 / JOHN DEERE: 860B / KOMATSU: D65PX; D85E; WA380; F668; D60F</t>
  </si>
  <si>
    <t>JOHN DEERE: AU43090; U44957</t>
  </si>
  <si>
    <t>C29939</t>
  </si>
  <si>
    <t>E129L</t>
  </si>
  <si>
    <t>LX29</t>
  </si>
  <si>
    <t>AP2221</t>
  </si>
  <si>
    <t>CA507</t>
  </si>
  <si>
    <t>AF424</t>
  </si>
  <si>
    <t>P106769</t>
  </si>
  <si>
    <t>27.894.00</t>
  </si>
  <si>
    <t>CASE; 1280; 1280B/ CATERPILLAR: PR1000C/ CLARK: 125 Series III ART; 125 Series III ART; 125B; 125B; 75B; 85 Series III A; 85 Series III A; 85 Series III/ JOHN DEERE: 992D; 6610ASE - SE; 6650; 860; 860A; 860B / KOMATSU; D60F-7; D65PX-12; D85E-SS-2A; HD255-5; HD325-6</t>
  </si>
  <si>
    <t>NEW HOLLAND: 708721029
JOHN DEERE: AT131683</t>
  </si>
  <si>
    <t>C17149</t>
  </si>
  <si>
    <t>AS221</t>
  </si>
  <si>
    <t>CA507SY</t>
  </si>
  <si>
    <t>AF820M</t>
  </si>
  <si>
    <t>P119373</t>
  </si>
  <si>
    <t>27.920.00</t>
  </si>
  <si>
    <t>MITSUBISHI: L300 2.5 DIESEL / BOB CAT: S130/150/175</t>
  </si>
  <si>
    <t>C14179</t>
  </si>
  <si>
    <t>E563L</t>
  </si>
  <si>
    <t>AP5080</t>
  </si>
  <si>
    <t>HP5080</t>
  </si>
  <si>
    <t>CAK253</t>
  </si>
  <si>
    <t>JFA0514</t>
  </si>
  <si>
    <t>AF437K</t>
  </si>
  <si>
    <t>E500160</t>
  </si>
  <si>
    <t>27.922.00</t>
  </si>
  <si>
    <t>Caterpillar: Série 518, 920, 922, 926, 930, D4D, D4H, D6, D5 - Nº original Caterpillar: 4M8047.</t>
  </si>
  <si>
    <t>Caterpillar 4M8047</t>
  </si>
  <si>
    <t>C24444</t>
  </si>
  <si>
    <t>E584L</t>
  </si>
  <si>
    <t>LX116</t>
  </si>
  <si>
    <t>AP8047</t>
  </si>
  <si>
    <t>HP8047</t>
  </si>
  <si>
    <t>CA224</t>
  </si>
  <si>
    <t>WAP900</t>
  </si>
  <si>
    <t>AF344M</t>
  </si>
  <si>
    <t>AF8047</t>
  </si>
  <si>
    <t>P150907</t>
  </si>
  <si>
    <t>27.926.00</t>
  </si>
  <si>
    <t>ALLIS; FIAT; IVECO; LIEBHERR; MICHIGAN; TEREX; VOLVO</t>
  </si>
  <si>
    <t>0066768-6; 619763C91;</t>
  </si>
  <si>
    <t>C311170</t>
  </si>
  <si>
    <t>LX763</t>
  </si>
  <si>
    <t>AF421</t>
  </si>
  <si>
    <t>P182041</t>
  </si>
  <si>
    <t>27.932.00</t>
  </si>
  <si>
    <t>ALLIS CHALMERS 79011386; CASE D56453; CATERPILLAR 7E0975; FIAT 73067507; KOBELCO 2451U124-3A; KOMATSU 600-181-9240</t>
  </si>
  <si>
    <t>C16302</t>
  </si>
  <si>
    <t>E567L</t>
  </si>
  <si>
    <t>AP4252</t>
  </si>
  <si>
    <t>WAP270</t>
  </si>
  <si>
    <t>AF1733K</t>
  </si>
  <si>
    <t>E700119</t>
  </si>
  <si>
    <t>27.944.00</t>
  </si>
  <si>
    <t>INGERSOLL RAND</t>
  </si>
  <si>
    <t>C271397</t>
  </si>
  <si>
    <t>LX31</t>
  </si>
  <si>
    <t>AF853M</t>
  </si>
  <si>
    <t>P181007</t>
  </si>
  <si>
    <t>27.945.00</t>
  </si>
  <si>
    <t>Colheitadeira Brastoft: E6000, E7000, E8000 com motores Cummins; Case 7000 e 7700 com motor Cummins; Fiat Allis: 21B, 945, 945B com motor Cummins KOMATSU: ( 6127 81 7311 )  / TEREX  = Secundário use - N° Original Cummins: 3351170.</t>
  </si>
  <si>
    <t xml:space="preserve">9034222; 850531; D099447; PB0125; </t>
  </si>
  <si>
    <t>C311390</t>
  </si>
  <si>
    <t>E1468L</t>
  </si>
  <si>
    <t>LX760</t>
  </si>
  <si>
    <t>AP4807</t>
  </si>
  <si>
    <t>HP4807</t>
  </si>
  <si>
    <t>CA502</t>
  </si>
  <si>
    <t>AF472</t>
  </si>
  <si>
    <t>P106632</t>
  </si>
  <si>
    <t>27.949.00</t>
  </si>
  <si>
    <t>ALLIS CHALMERS 79011387; CASE L55204; CATERPILLAR 5W5890; FIAT 70257029; J.C. BAMFORD 32/202601; MASSEY FERGUSON 1093683-M92</t>
  </si>
  <si>
    <t>CF922</t>
  </si>
  <si>
    <t>E567LS</t>
  </si>
  <si>
    <t>AS252</t>
  </si>
  <si>
    <t>AF4103</t>
  </si>
  <si>
    <t>P119410</t>
  </si>
  <si>
    <t>27.973.00</t>
  </si>
  <si>
    <t>DEUTZ-FAHR: A3L911; A3L912; A3L912; A3L912; A5L911; A5L911; A6L911; A6L912; BF4L913; Série DX</t>
  </si>
  <si>
    <t>DEUTZ: 02934588; 2323855</t>
  </si>
  <si>
    <t>C17250</t>
  </si>
  <si>
    <t>E278L</t>
  </si>
  <si>
    <t>CA4216</t>
  </si>
  <si>
    <t>AF991</t>
  </si>
  <si>
    <t>P771557</t>
  </si>
  <si>
    <t>27.979.00</t>
  </si>
  <si>
    <t>MERCEDES BENZ: ( 364 094 70 04 ) / SCANIA:  ( 531452 ) / VOLKSWAGENC ( MOT. CUMMINS )</t>
  </si>
  <si>
    <t>CF1300</t>
  </si>
  <si>
    <t>E117LS</t>
  </si>
  <si>
    <t>LXS43/1</t>
  </si>
  <si>
    <t>AS840</t>
  </si>
  <si>
    <t>HS840</t>
  </si>
  <si>
    <t>CA3280SY</t>
  </si>
  <si>
    <t>WAP106/S</t>
  </si>
  <si>
    <t>AF1843</t>
  </si>
  <si>
    <t>P775370</t>
  </si>
  <si>
    <t>27.984.00</t>
  </si>
  <si>
    <t>CATERPILLAR:  (4M8048)</t>
  </si>
  <si>
    <t>4M8048; 251285; 2S1285; 8N4901;</t>
  </si>
  <si>
    <t>C1371</t>
  </si>
  <si>
    <t>E584LS</t>
  </si>
  <si>
    <t>LX1062</t>
  </si>
  <si>
    <t>AP8048</t>
  </si>
  <si>
    <t>HS8048</t>
  </si>
  <si>
    <t>CA237SY</t>
  </si>
  <si>
    <t>WAP904</t>
  </si>
  <si>
    <t>AF343</t>
  </si>
  <si>
    <t>AF2052</t>
  </si>
  <si>
    <t>P104384</t>
  </si>
  <si>
    <t>27.985.00</t>
  </si>
  <si>
    <t>CATERPILLAR:  (4M9335)</t>
  </si>
  <si>
    <t>4M9335; 2S1286; 4M9339; 4N3250; 9S9972;</t>
  </si>
  <si>
    <t>C16140</t>
  </si>
  <si>
    <t>E569LS</t>
  </si>
  <si>
    <t>LX1063</t>
  </si>
  <si>
    <t>AP4935</t>
  </si>
  <si>
    <t>HS4935</t>
  </si>
  <si>
    <t>CA236</t>
  </si>
  <si>
    <t>WAP601/S</t>
  </si>
  <si>
    <t>AF338</t>
  </si>
  <si>
    <t>P104385</t>
  </si>
  <si>
    <t>27.996.00</t>
  </si>
  <si>
    <t xml:space="preserve"> CAT: 776B; 777B; 777C; PR1000C; RR250; SS250; 3406B; 3406; 3408; 3408D; 3412; D349; D399; 3406C / AGCO: 8425; Copco DM45</t>
  </si>
  <si>
    <t>CAT: 6N6072; AGCO:71409553</t>
  </si>
  <si>
    <t>CF22269</t>
  </si>
  <si>
    <t>AF883M</t>
  </si>
  <si>
    <t>P114931</t>
  </si>
  <si>
    <t>JOHN DEERE: 790; 4210 / CATERPILLAR: 301.5; 301.6; 301.8; 4200 / KOMATSU: PC20R-8; PC25R-8; PC27R-8; PC30R-8; PC35R-8; PC40R-8; PC45R-8</t>
  </si>
  <si>
    <t>CAT: 1467472; 3I2147</t>
  </si>
  <si>
    <t>C1196/2</t>
  </si>
  <si>
    <t>E816L</t>
  </si>
  <si>
    <t>LX2958</t>
  </si>
  <si>
    <t>ARS2567</t>
  </si>
  <si>
    <t>HD2567</t>
  </si>
  <si>
    <t>CA9550</t>
  </si>
  <si>
    <t>WAP246</t>
  </si>
  <si>
    <t>AF25551</t>
  </si>
  <si>
    <t>P821575</t>
  </si>
  <si>
    <t>27.A03.00</t>
  </si>
  <si>
    <t>VOLVO: FH12400; FH12440; FH12480; FH12520 - D13A (11/06-)</t>
  </si>
  <si>
    <t>21115483; 21834205;</t>
  </si>
  <si>
    <t>C331460/1</t>
  </si>
  <si>
    <t>E1024L</t>
  </si>
  <si>
    <t>LX3141</t>
  </si>
  <si>
    <t>ARS5574</t>
  </si>
  <si>
    <t>HD5574</t>
  </si>
  <si>
    <t>CA11145</t>
  </si>
  <si>
    <t>WAP610</t>
  </si>
  <si>
    <t>AF27834</t>
  </si>
  <si>
    <t>P951102</t>
  </si>
  <si>
    <t>27.A04.00</t>
  </si>
  <si>
    <t>VOLVO: FH12400; FH12440; FH12480; FH12520 - D13A (11/06-) = PRIMÁRIO USE 27.A03.00</t>
  </si>
  <si>
    <t>CF1940</t>
  </si>
  <si>
    <t>E1024LS</t>
  </si>
  <si>
    <t>LXS300</t>
  </si>
  <si>
    <t>ASR574</t>
  </si>
  <si>
    <t>27.A05.00</t>
  </si>
  <si>
    <t>BOB CAT (ORIGINAL 6673752)</t>
  </si>
  <si>
    <t>C946</t>
  </si>
  <si>
    <t>E1505L</t>
  </si>
  <si>
    <t>LX2908</t>
  </si>
  <si>
    <t>AF25550</t>
  </si>
  <si>
    <t>P822686</t>
  </si>
  <si>
    <t>27.A06.00</t>
  </si>
  <si>
    <t>CATERPILLAR: 120K; 140K; 140M; 160K; 160M B9L1-UP; 160M; 525C / 535C; 525C 5251 UP; 535C / 545C - 5351-UP; 815B Série 17Z1 - UP; 950H; 966E; 966F; IT62H M5G1-UP / VOLVO: ABG5820 / ABG6820; ABG7820; ABG8820 / MASSEY FERGUNSON:  MF8140; MF8150; MF8160; /  VALMET _VALTRA: S230; S260; S280</t>
  </si>
  <si>
    <t>C25710/3</t>
  </si>
  <si>
    <t>E630L01</t>
  </si>
  <si>
    <t>LX2619</t>
  </si>
  <si>
    <t>ARS3902</t>
  </si>
  <si>
    <t>HD3902</t>
  </si>
  <si>
    <t>CA10030</t>
  </si>
  <si>
    <t>WR2005</t>
  </si>
  <si>
    <t>AF26399</t>
  </si>
  <si>
    <t>P782105</t>
  </si>
  <si>
    <t>27.A07.00</t>
  </si>
  <si>
    <t>BECKER: U 4.100, U 2.190, U 2.250, U 4.250, SV 5.250/1, SV 5.250/2, SV 5.300/1; BUSCH: Bombas à vácuo (Diversas aplicações); LEYBOLD: SOGEVAC SV 200 / SV 300; RIETSCHLE: KTA 100/1 - 3, KTA 140/1 - 3, KTA 80/1 - 4, DRUVAC VTA 100 / 140, MACRO VTB 180 / 250 / 340;</t>
  </si>
  <si>
    <t>BECKER: 84040110000; 
BUSCH: 532004</t>
  </si>
  <si>
    <t>C15124/1</t>
  </si>
  <si>
    <t>27.A08.00</t>
  </si>
  <si>
    <t>CATERPILLAR SERIE 900 ; MOTONIVELADORAS; MASSEY FERGUSON SERIE 30 ; MAXION SÉRIE MF</t>
  </si>
  <si>
    <t>LF26400</t>
  </si>
  <si>
    <t>P782108</t>
  </si>
  <si>
    <t>27.A09.00</t>
  </si>
  <si>
    <t>VOLVO PENTA (TAD) 01/01; IVECO BUS (IRISBUS) (CITELIS) 07/05; ATLAS COPCO (QAS-Serie)</t>
  </si>
  <si>
    <t>VOLVO: 21377913
IVECO: 5006254879
DEUTZ FAHR: 1182953</t>
  </si>
  <si>
    <t>C24820</t>
  </si>
  <si>
    <t>E1545L</t>
  </si>
  <si>
    <t>AF4408</t>
  </si>
  <si>
    <t>27.A10.00</t>
  </si>
  <si>
    <t>IVECO: CAMINHÕES MOTOR AT EUROTRONIC FH, STRALIS E STRALIS ECOLINE - 2013-&gt;; MOTOR ECOLINE 200S33AD, 200S36AT, 310T36AD, 460S33T, 460S36AT, 530S36, 530S36AT - 2013-&gt;;</t>
  </si>
  <si>
    <t>IVECO: 504127720; CNH: 5801856862</t>
  </si>
  <si>
    <t>AR6862</t>
  </si>
  <si>
    <t>WEOD003</t>
  </si>
  <si>
    <t>AR6357</t>
  </si>
  <si>
    <t>27.A11.00</t>
  </si>
  <si>
    <t>SCANIA: SÉRIE K: K230 DC9, K270 DC9, K310 DC9, K340 DC11, K420 DSC12 (01/05-)- PARA REFERÊNCIA ORIGINAL 1510905</t>
  </si>
  <si>
    <t>C261100</t>
  </si>
  <si>
    <t>E719L</t>
  </si>
  <si>
    <t>ARS1180</t>
  </si>
  <si>
    <t>CA11144</t>
  </si>
  <si>
    <t>WAP272</t>
  </si>
  <si>
    <t>AF26677</t>
  </si>
  <si>
    <t>27.A12.00</t>
  </si>
  <si>
    <t>MBB: AXOR 2035 S; 2040 S; 2540 S (6X2); 2644 S (6X4); 3340 / 3340 S / 3340 K (6X4) - OM 457 LA (01/05-)2544 S (6X2); 2640 S (6X4); 3344 / 3344 S / 3344 K (6X4); 4140 K (6X4); 4144 K (6X4) - OM 457 LA (01/06-) - CONFORME ORIGINAL 0040943504</t>
  </si>
  <si>
    <t>C271320/1</t>
  </si>
  <si>
    <t>E603L</t>
  </si>
  <si>
    <t>LX1313/1</t>
  </si>
  <si>
    <t>ARS9840</t>
  </si>
  <si>
    <t>HD9840</t>
  </si>
  <si>
    <t>CA9747</t>
  </si>
  <si>
    <t>WAP181</t>
  </si>
  <si>
    <t>AF26242</t>
  </si>
  <si>
    <t>AR5717RS</t>
  </si>
  <si>
    <t>P784457</t>
  </si>
  <si>
    <t>27.A14.00</t>
  </si>
  <si>
    <t>ATMOS: E - Série; BOGE: Séries: C, CF, CL, CLD, CLF, EO, PO, S, SD, SDF, SF; COMPAIR: C 20, C 20P, CV 20P; INGERSOLL-RAND: IN 7.5 / 10 / 15 50HZ, SSRM 4 / 5.5 / 7.5 / 11, SSRMH 5, UNIGY 07-10 / UNI 10-150, UNIGY 11-10 / UNI 15-150; NEW HOLLAND: TM120 / TM130 / TM140 / TM155 (06/02-12/07);</t>
  </si>
  <si>
    <t>INGERSOLL-RAND: 22173538; 88171913; 88210620</t>
  </si>
  <si>
    <t>C1140</t>
  </si>
  <si>
    <t>E714L</t>
  </si>
  <si>
    <t>AR1613</t>
  </si>
  <si>
    <t>AF26403</t>
  </si>
  <si>
    <t>P784578</t>
  </si>
  <si>
    <t>27.A18.00</t>
  </si>
  <si>
    <t>AF25555</t>
  </si>
  <si>
    <t>27.A19.00</t>
  </si>
  <si>
    <t>CATERPILLAR / CASE / JOHN DEERE</t>
  </si>
  <si>
    <t>2065234; RE171235;</t>
  </si>
  <si>
    <t>C19460/2</t>
  </si>
  <si>
    <t>E735L</t>
  </si>
  <si>
    <t>ARS1235</t>
  </si>
  <si>
    <t>AF25957</t>
  </si>
  <si>
    <t>P780522</t>
  </si>
  <si>
    <t>27.A23.00</t>
  </si>
  <si>
    <t>LIEBHERR: TA SÉRIE TA 230 / VOLVO PENTA: TAD</t>
  </si>
  <si>
    <t>C26980</t>
  </si>
  <si>
    <t>E671L</t>
  </si>
  <si>
    <t>LX1946</t>
  </si>
  <si>
    <t>AF26353</t>
  </si>
  <si>
    <t>27.A25.00</t>
  </si>
  <si>
    <t>SCANIA: 94 P/R/T DSC9-12 (01.97-&gt;); P 114 DSC11 (10.96-10.04); T 124 DSC12 (11.95-10.04); G 400 DC13 113 (04.10-&gt;); P 114 DSC11; P 310 DC9 11-310 (09.04-&gt;); P 310 DC9 18/110-310 (11.05-&gt;); P 360 DC13 06-360 (10.07-&gt;); P124 DSC12; R 340 DC12 10-340 (10.05-&gt;); R 360 DC13 06-360 (10.07-&gt;); R 400 DC13 05-400 (10.07-&gt;); R 480 DT12 17-480 (09.06-&gt;); T 114 DC11 / SCANIA BUS: F 94 DSC9-11,DC9-01,9-03 (01.98-&gt;)</t>
  </si>
  <si>
    <t>AF27708</t>
  </si>
  <si>
    <t>P785518</t>
  </si>
  <si>
    <t>27.A28.00</t>
  </si>
  <si>
    <t>CASE MX 110/ 135, KOMATSU PC160, CAT, J.DEERE, ETC</t>
  </si>
  <si>
    <t>CF1141/2</t>
  </si>
  <si>
    <t>E679LS</t>
  </si>
  <si>
    <t>AF25618</t>
  </si>
  <si>
    <t>P780523</t>
  </si>
  <si>
    <t>27.A30.00</t>
  </si>
  <si>
    <t>BUSCH: R5 0400-212, R5 0502B, R5 0630-212, R5 400, R5 400B, R5 630, R5 630B, RA 0400B, RA 0630B;</t>
  </si>
  <si>
    <t>BUSCH 0532000006
BECKER-KOMPRESSOREN 84149090</t>
  </si>
  <si>
    <t>C26240</t>
  </si>
  <si>
    <t>27.A31.00</t>
  </si>
  <si>
    <t>JOHN DEERE: 5105; 5205 / BOB CAT: 337; 751 / CATERPILLAR: 216; 226; 228; 236; 246; 262; 906 / VOLVO: ECR88</t>
  </si>
  <si>
    <t>JOHN DEERE: RE68049
CAT: 1402334</t>
  </si>
  <si>
    <t>CF97/2</t>
  </si>
  <si>
    <t>E1504LS</t>
  </si>
  <si>
    <t>ASR333</t>
  </si>
  <si>
    <t>HDS333</t>
  </si>
  <si>
    <t>WAP750/S</t>
  </si>
  <si>
    <t>AF25497</t>
  </si>
  <si>
    <t>P822769</t>
  </si>
  <si>
    <t>27.A35.00</t>
  </si>
  <si>
    <t>CAT: 24H; 345B; 345B II; 345BL; 345C; 345CL; 345D; 345DL; 349D; 349DL; 350; 350L; 365B; 365BL; 365BL II; 365C; 365CL; 374D; 385B; 385BL; 385C; 385CL; 390DL; 5090B; 776C; 776D; 777; 777C; 777D; 777E; 777F; 824H; 825H; 826H; 834H; 836H; 854G; 854K; 980H; 988H; 992G; 992K; 993K; D10N; D10R; D11N; D11R; D11R CD; D11T; D9L; W345B II; W345BMH II</t>
  </si>
  <si>
    <t>CAT: 1063969; 1327168</t>
  </si>
  <si>
    <t>C371930/2</t>
  </si>
  <si>
    <t>E2036L</t>
  </si>
  <si>
    <t>AF25262</t>
  </si>
  <si>
    <t>P533882</t>
  </si>
  <si>
    <t>27.A36.00</t>
  </si>
  <si>
    <t xml:space="preserve">CAT: Série 300; Série 700; Série 800; Série 900; Série D </t>
  </si>
  <si>
    <t>CAT: 1063973
FORD: D8RZ9D695A</t>
  </si>
  <si>
    <t>CA8493SY</t>
  </si>
  <si>
    <t>AF25263</t>
  </si>
  <si>
    <t>P533884</t>
  </si>
  <si>
    <t>27.A41.00</t>
  </si>
  <si>
    <t>CATERPILLAR RETROESCAVADEIRA 320D</t>
  </si>
  <si>
    <t>27.A42.00</t>
  </si>
  <si>
    <t>CF1398</t>
  </si>
  <si>
    <t>E740LS</t>
  </si>
  <si>
    <t>WAP177/S</t>
  </si>
  <si>
    <t>AF25624</t>
  </si>
  <si>
    <t>P536492</t>
  </si>
  <si>
    <t>CATERPILLAR: (CÓD. ORIGINAL 131-8822); ESCAVADEIRAS 320B / 320 C L / 322 BL / 322 C / 325 B / OUTROS</t>
  </si>
  <si>
    <t>C24642/2</t>
  </si>
  <si>
    <t>E740L</t>
  </si>
  <si>
    <t>ASR924</t>
  </si>
  <si>
    <t>HDS624</t>
  </si>
  <si>
    <t>CA9244</t>
  </si>
  <si>
    <t>WAP177</t>
  </si>
  <si>
    <t>AF25589</t>
  </si>
  <si>
    <t>P536457</t>
  </si>
  <si>
    <t>27.A43.00</t>
  </si>
  <si>
    <t>CASE AGRICULTURA MX-135</t>
  </si>
  <si>
    <t>C21584</t>
  </si>
  <si>
    <t>CA11516</t>
  </si>
  <si>
    <t>AF25617</t>
  </si>
  <si>
    <t>P547331</t>
  </si>
  <si>
    <t>27.A44.00</t>
  </si>
  <si>
    <t>SCANIA: T 124 GA 360 (DSC12) , T 124 GA 420 (DC12; DSC12) (98-05) / T 124 LA 360 - DSC 12 (98-04) / T 124 LA 420 - DSC 12 (98-02) / T 124 CA 420 - DSC 12 (02-) / T 124 GA 400 - DC12/ DSC 12 (01-06) / T 124 LA 400 - DC12 (01-05) / T 124 GB 360 - DSC 12 (01-02) (TODOS DIESEL) = PRIMÁRIO USE 27.358.00</t>
  </si>
  <si>
    <t>CF1720</t>
  </si>
  <si>
    <t>E1033LS</t>
  </si>
  <si>
    <t>ASR118</t>
  </si>
  <si>
    <t>AF25969</t>
  </si>
  <si>
    <t>P781228</t>
  </si>
  <si>
    <t>27.A46.00</t>
  </si>
  <si>
    <t>CASE: 585E; 548G; 586G; 585G; 590D; 590L; 580; 580L; 580M; 590</t>
  </si>
  <si>
    <t>C14230</t>
  </si>
  <si>
    <t>LX2527</t>
  </si>
  <si>
    <t>ARS6940</t>
  </si>
  <si>
    <t>HD6940</t>
  </si>
  <si>
    <t>WAP751</t>
  </si>
  <si>
    <t>AF25524</t>
  </si>
  <si>
    <t>P536940</t>
  </si>
  <si>
    <t>27.A48.00</t>
  </si>
  <si>
    <t>AUDI: A6/A7/S6/S7 2.8 FSI E 3.0 TDI/ TFSI (2011&gt;...)</t>
  </si>
  <si>
    <t>C16005</t>
  </si>
  <si>
    <t>E1054L</t>
  </si>
  <si>
    <t>LX3550</t>
  </si>
  <si>
    <t>CA11070</t>
  </si>
  <si>
    <t>WR369</t>
  </si>
  <si>
    <t>27.A66.B0</t>
  </si>
  <si>
    <t>IVECO: Tector (2016-&gt;)/ MERCEDES BENZ: Actos (2012- &gt;)</t>
  </si>
  <si>
    <t>VOLVO: 21620181 / WABCO: 4329012231 / M.B: 0004291097</t>
  </si>
  <si>
    <t>TB1394/1X</t>
  </si>
  <si>
    <t>T280W</t>
  </si>
  <si>
    <t>AL24</t>
  </si>
  <si>
    <t>DSF0204</t>
  </si>
  <si>
    <t>SDA0204</t>
  </si>
  <si>
    <t>DAF800</t>
  </si>
  <si>
    <t>P951413</t>
  </si>
  <si>
    <t>27.A69.00</t>
  </si>
  <si>
    <t xml:space="preserve">CITROEN: Jumper 2.3 HDI (2018&gt;...) FIAT: Ducato 2.3 16V (2018&gt;...) PEUGEOT: Boxer 2.0 (2019&gt;...) </t>
  </si>
  <si>
    <t>C17237/1</t>
  </si>
  <si>
    <t>E1260L</t>
  </si>
  <si>
    <t>LX3353</t>
  </si>
  <si>
    <t>HD1015</t>
  </si>
  <si>
    <t>27.A83.00</t>
  </si>
  <si>
    <t>SCANIA: P 230 - DC9-13; P 270 - DC9-12; P 310 - DC9-12; P340 - DC11-08; P420 - DC12-06; R 420 - DC12-06; R 440 - DT12-18; R 470 - DT12-06; R 500 - DC16-04; G 380 - D12-17; G 420 - D12-06; G 440 - DT12-18; G 470 - DT12-06 (11/06-)</t>
  </si>
  <si>
    <t>SCANIA: 1759847</t>
  </si>
  <si>
    <t>CF1652</t>
  </si>
  <si>
    <t>LXS313</t>
  </si>
  <si>
    <t>P750004</t>
  </si>
  <si>
    <t>27.A86.00</t>
  </si>
  <si>
    <t>Filtro Spin-On De Ar</t>
  </si>
  <si>
    <t>DAF: CF85 (2016-2020) XF105 (2012-2020)/ VOLKSWAGEN: Constellation (2012-&gt;) / FORD: F350 (2014-&gt;); F4000 (2014-&gt;); Cargo (2012-&gt;)</t>
  </si>
  <si>
    <t>DAF: 16866587; 2120279
VW: 2Z0611941; 2Z0616787
IVECO: 503139396</t>
  </si>
  <si>
    <t>C811</t>
  </si>
  <si>
    <t>H100WL</t>
  </si>
  <si>
    <t>PSAO176</t>
  </si>
  <si>
    <t>PH10392</t>
  </si>
  <si>
    <t>AS2474</t>
  </si>
  <si>
    <t>P954933</t>
  </si>
  <si>
    <t>27.A88.00</t>
  </si>
  <si>
    <t>Elemento Filtrante do Ar Secundário</t>
  </si>
  <si>
    <t>VOLVO:  L60E;L60E; L70E;  L70F; L90D-E-F; Série EC /  CLAAS: Série Ares; JC BAMFORD: 400-Série, Fastrao 3170; JOHN DEERE: 1070D ECO III, 460DC, 460DG, 540G III, 648G III, Forestry 460DC / 460DG (6068H / 6068T); LIEBHERR: Série L500; VOLVO CONSTRUCTION: Séries: EC/ECR, EW, L;</t>
  </si>
  <si>
    <t>VOLVO: 11110176
JOHN DEERE: AT196825
JCB: 3292505</t>
  </si>
  <si>
    <t>CF14145/2</t>
  </si>
  <si>
    <t>E1507LS</t>
  </si>
  <si>
    <t>ASR176</t>
  </si>
  <si>
    <t>WAP914/S</t>
  </si>
  <si>
    <t>AF25749</t>
  </si>
  <si>
    <t>P778906</t>
  </si>
  <si>
    <t>27.A92.00</t>
  </si>
  <si>
    <t>INFINITI: Q50 2.0 T 2014&gt;... ; Q60 2.0 T 2016&gt;... / MERCEDES-BENZ: C CLASSE 1.6 2012&gt;... ; E CLASSE; GLC CLASSE; GLK CLASSE 2013&gt;...</t>
  </si>
  <si>
    <t>C14006</t>
  </si>
  <si>
    <t>E1145L</t>
  </si>
  <si>
    <t>LX3775</t>
  </si>
  <si>
    <t>CA11761</t>
  </si>
  <si>
    <t>WR328</t>
  </si>
  <si>
    <t>27.A97.00</t>
  </si>
  <si>
    <t xml:space="preserve">BMW: SÉRIE 5 (F07/F10/F11) DIESEL (2009&gt;...), SÉRIE 7 (F01/F02) DIESEL (2009&gt;...) </t>
  </si>
  <si>
    <t>E1077L</t>
  </si>
  <si>
    <t>LX3598</t>
  </si>
  <si>
    <t>CA11433</t>
  </si>
  <si>
    <t>27.B02.00</t>
  </si>
  <si>
    <t>BUSCH: Seco/Tiny SV1010B / SV1016B, Rotary vane vacuum pump - Lubrificada a óleo (Diversas); LEYBOLD: SOGEVAC SV16 / SV16BR / SV25 / SV25BR / UV25; RIETSCHLE: PICO VLT 15 / 25 / 40, DTN 10 / 15 / 25 / 40, VTN 10 / 15 / 25 / 40, VCA 25 / 40, VCE 25 / 40 / 60, VGA e VGC 4 / 6;</t>
  </si>
  <si>
    <t xml:space="preserve">BUSCH: 0532005030; 532000005
</t>
  </si>
  <si>
    <t>C75</t>
  </si>
  <si>
    <t>27.B03.00</t>
  </si>
  <si>
    <t>LIEBHERR: LTC1045; LTM1100; LTM1130; LTM1200</t>
  </si>
  <si>
    <t>LIEBHERR: 10278553</t>
  </si>
  <si>
    <t>C23632/1</t>
  </si>
  <si>
    <t>E1868L</t>
  </si>
  <si>
    <t>AF25128</t>
  </si>
  <si>
    <t>27.B11.00</t>
  </si>
  <si>
    <t>IVECO: Tector 170E30 (2008-2009); Tector Attack 170E24</t>
  </si>
  <si>
    <t>IVECO:2992447</t>
  </si>
  <si>
    <t>C911x-2</t>
  </si>
  <si>
    <t>EAS304MD1522</t>
  </si>
  <si>
    <t>ESAO2447</t>
  </si>
  <si>
    <t>AS2495</t>
  </si>
  <si>
    <t>P954868</t>
  </si>
  <si>
    <t>CASE / HYUNDAI / JOHN DEERE / NEW HOLLAND</t>
  </si>
  <si>
    <t>249987A1; 11N627040; 87564846; 6001854110;</t>
  </si>
  <si>
    <t>C24015/2</t>
  </si>
  <si>
    <t>E1502L D516</t>
  </si>
  <si>
    <t>ARS4844</t>
  </si>
  <si>
    <t>CA8193</t>
  </si>
  <si>
    <t>WAP703</t>
  </si>
  <si>
    <t>AF25667</t>
  </si>
  <si>
    <t xml:space="preserve">AR6350RS </t>
  </si>
  <si>
    <t>P532966</t>
  </si>
  <si>
    <t>27.B30.00</t>
  </si>
  <si>
    <t xml:space="preserve">11N627030; 249988A1; 6001854120; </t>
  </si>
  <si>
    <t>CF14002/2</t>
  </si>
  <si>
    <t>E1502LS</t>
  </si>
  <si>
    <t>ASR844</t>
  </si>
  <si>
    <t>CA8659SY</t>
  </si>
  <si>
    <t>WAP703/S</t>
  </si>
  <si>
    <t>AF26114</t>
  </si>
  <si>
    <t>AR6349RS</t>
  </si>
  <si>
    <t>P533781</t>
  </si>
  <si>
    <t>27.B31.00</t>
  </si>
  <si>
    <t>ATLAS COPCO: GA11; GA15; GA18; GA22C</t>
  </si>
  <si>
    <t>ATLAS COPCO: 1613872000</t>
  </si>
  <si>
    <t>C1250</t>
  </si>
  <si>
    <t>AR1250</t>
  </si>
  <si>
    <t>AF26419</t>
  </si>
  <si>
    <t>27.B32.00</t>
  </si>
  <si>
    <t>CATERPILLAR MOTOR INDUSTRIAL, MOTOR NAVAL N. Original: 2465011</t>
  </si>
  <si>
    <t>Caterpillar  2465011</t>
  </si>
  <si>
    <t>ARS5501</t>
  </si>
  <si>
    <t>HD5501</t>
  </si>
  <si>
    <t>CA8809</t>
  </si>
  <si>
    <t>AF26659</t>
  </si>
  <si>
    <t>P505976</t>
  </si>
  <si>
    <t>27.B34.00</t>
  </si>
  <si>
    <t>COMPAIR: CYCLONE 105 / 107 / 111, L07; DEMAG: START 005 / 010; INGERSOLL-RAND: SSRM 4 / 5.5 / 7.5;</t>
  </si>
  <si>
    <t>INGERSOLL RAND
92888718
93585495</t>
  </si>
  <si>
    <t>C1131</t>
  </si>
  <si>
    <t>27.B36.00</t>
  </si>
  <si>
    <t>SCANIA: SÉRIE G / P / R ; SCANIA BUS SÉRIE F (98-)</t>
  </si>
  <si>
    <t>1869993; 1869995;</t>
  </si>
  <si>
    <t>C31014/1</t>
  </si>
  <si>
    <t>E1013L</t>
  </si>
  <si>
    <t>LX3534</t>
  </si>
  <si>
    <t>ARS1184</t>
  </si>
  <si>
    <t xml:space="preserve">HD1184/1 </t>
  </si>
  <si>
    <t>CA11974</t>
  </si>
  <si>
    <t>WAP112</t>
  </si>
  <si>
    <t>AF27940</t>
  </si>
  <si>
    <t>AR6355RS</t>
  </si>
  <si>
    <t>P953211</t>
  </si>
  <si>
    <t>27.B44.00</t>
  </si>
  <si>
    <t xml:space="preserve">Compressor Compair modelos L30 / L55 </t>
  </si>
  <si>
    <t>COMPAIR HOLMAN: 
100009925</t>
  </si>
  <si>
    <t>C23513</t>
  </si>
  <si>
    <t>27.B45.00</t>
  </si>
  <si>
    <t>DAF: XF105 (2006- &gt;)</t>
  </si>
  <si>
    <t>DAF: 1638054; 1931680; 1931684</t>
  </si>
  <si>
    <t>C28028</t>
  </si>
  <si>
    <t>E794L</t>
  </si>
  <si>
    <t>LX2838</t>
  </si>
  <si>
    <t>AF27689</t>
  </si>
  <si>
    <t>P786443</t>
  </si>
  <si>
    <t>27.B53.00</t>
  </si>
  <si>
    <t>IVECO: CURSOR87TE1.D; C87TE1D; C87TE1D</t>
  </si>
  <si>
    <t>IVECO:8041419</t>
  </si>
  <si>
    <t>AF27918</t>
  </si>
  <si>
    <t>P952740</t>
  </si>
  <si>
    <t>27.B74.00</t>
  </si>
  <si>
    <t>C22024</t>
  </si>
  <si>
    <t>E1205L</t>
  </si>
  <si>
    <t>LX3680</t>
  </si>
  <si>
    <t>ARS7994</t>
  </si>
  <si>
    <t>HD7994</t>
  </si>
  <si>
    <t>CA11674</t>
  </si>
  <si>
    <t>WR191</t>
  </si>
  <si>
    <t>27.B75.00</t>
  </si>
  <si>
    <t xml:space="preserve">Compressor Compair modelos L15 </t>
  </si>
  <si>
    <t>HYDROVANE: 52438</t>
  </si>
  <si>
    <t>C35111</t>
  </si>
  <si>
    <t>27.B76.00</t>
  </si>
  <si>
    <t>NEW HOLLAND: FR9040; FR9050; FR9060; CX860(&gt;2001);CX880(2001);FX30 (2002);FX38;FX40(2002);FX48(2002); FX60 (2002)
CATTERPILAR: 772G; 770 - BZZ1; 775F - DLS1; 777F - JRP1; 350D
CASE: STX375; STX500
JOHN DEERE: 350D; 450D.</t>
  </si>
  <si>
    <t>JOHN DEERE: AH170798; CASE: 87417040; CATERPILLAR: 2465009; NEW HOLLAND: 84819117;</t>
  </si>
  <si>
    <t>C372680/2</t>
  </si>
  <si>
    <t>ARS6207</t>
  </si>
  <si>
    <t>HD6207</t>
  </si>
  <si>
    <t>AF26207</t>
  </si>
  <si>
    <t>AR6351RS</t>
  </si>
  <si>
    <t>P781098</t>
  </si>
  <si>
    <t>27.B77.B0</t>
  </si>
  <si>
    <t>8003453807341</t>
  </si>
  <si>
    <t>NEW HOLLAND: CR9080; CR9090(2018);CX860(&gt;2001);CX880(2001);FX30 (2002);FX38;FX40(2002);FX48(2002); FX60 (2002)
CATTERPILAR: 772G; 770 - BZZ1; 775F - DLS1; 777F - JRP1; 350D
CASE: STX375; STX500
JOHN DEERE: 350D; 450D.</t>
  </si>
  <si>
    <t xml:space="preserve">JOHN DEERE: AH174196; CATERPILLAR: 2465010; </t>
  </si>
  <si>
    <t>CF23550/2</t>
  </si>
  <si>
    <t>ASR607</t>
  </si>
  <si>
    <t>HDS607</t>
  </si>
  <si>
    <t>AF26208</t>
  </si>
  <si>
    <t>AR6352RS</t>
  </si>
  <si>
    <t>P781102</t>
  </si>
  <si>
    <t>27.B78.00</t>
  </si>
  <si>
    <t>TOYOTA: 02627FDF30; 5FD35; 6FD18; 6FD25; 6FDF25; 7FD18; 7FDF25; 7FGCU20; 8FN20; 8FN25; 8FN30</t>
  </si>
  <si>
    <t>TOYOTA: 177432360071; 177412360071</t>
  </si>
  <si>
    <t>E1506L</t>
  </si>
  <si>
    <t>ARS7080</t>
  </si>
  <si>
    <t>WAP290</t>
  </si>
  <si>
    <t>AF25337M</t>
  </si>
  <si>
    <t>P827655</t>
  </si>
  <si>
    <t>27.B82.00</t>
  </si>
  <si>
    <t>YALE: 408480 / CATERPILLAR: 7Y0404 - 9Y6849</t>
  </si>
  <si>
    <t>Yale 408480</t>
  </si>
  <si>
    <t>C24430</t>
  </si>
  <si>
    <t>E737L</t>
  </si>
  <si>
    <t>CA2548</t>
  </si>
  <si>
    <t>AF4865</t>
  </si>
  <si>
    <t>AF3072LL</t>
  </si>
  <si>
    <t>P181080</t>
  </si>
  <si>
    <t>27.B83.00</t>
  </si>
  <si>
    <t xml:space="preserve">CATERPILLAR ESCAVADERA 320 ~ 8LK1 3066 ~ MOTOR DIESEL CATERPILLAR  / CATERPILLAR ESCAVADERA 320 ~ 3RK1 3066 </t>
  </si>
  <si>
    <t>Yale 408481</t>
  </si>
  <si>
    <t>CF15121</t>
  </si>
  <si>
    <t>E737LS</t>
  </si>
  <si>
    <t>CA2548SY</t>
  </si>
  <si>
    <t>AF1767</t>
  </si>
  <si>
    <t>P826112</t>
  </si>
  <si>
    <t>27.B84.00</t>
  </si>
  <si>
    <t>Compressor Ingersoll Rand Serie SSRM</t>
  </si>
  <si>
    <t>INGERSOLL RAND
93191542</t>
  </si>
  <si>
    <t>C17100</t>
  </si>
  <si>
    <t>27.B85.00</t>
  </si>
  <si>
    <t>YALE: Série OptiAir - 8 polegadas / INGERSOLL RAND: Série SSRM - SSRM 37</t>
  </si>
  <si>
    <t>YALE: 871272N</t>
  </si>
  <si>
    <t>WAP755/S</t>
  </si>
  <si>
    <t>AF25961</t>
  </si>
  <si>
    <t>P629466</t>
  </si>
  <si>
    <t>27.B87.00</t>
  </si>
  <si>
    <t>Compressor Compair modelos Hydrovane 128 ( O.E 50332)</t>
  </si>
  <si>
    <t>HYDROVANNE: 50332</t>
  </si>
  <si>
    <t>C3576</t>
  </si>
  <si>
    <t>AF390</t>
  </si>
  <si>
    <t>27.B89.00</t>
  </si>
  <si>
    <t>Compressores Diversos</t>
  </si>
  <si>
    <t>ATLAS COPCO
1613950100
DEUTZ
01182956</t>
  </si>
  <si>
    <t>C25740</t>
  </si>
  <si>
    <t>AF27844</t>
  </si>
  <si>
    <t>27.B90.00</t>
  </si>
  <si>
    <t>Compressores Compair Cyclone, Gardner Denver ESM, Ingersoll HP</t>
  </si>
  <si>
    <t>INGERSOLL RAND
39582721
92889534
BECKER-KOMPRESSOREN
905730
909573</t>
  </si>
  <si>
    <t>C1368</t>
  </si>
  <si>
    <t>27.B92.00</t>
  </si>
  <si>
    <t>HYSTER: 2103627; 8543758
YALE: 22203095; 580088196</t>
  </si>
  <si>
    <t>C16013</t>
  </si>
  <si>
    <t>WAP755</t>
  </si>
  <si>
    <t>AF25960</t>
  </si>
  <si>
    <t>P628326</t>
  </si>
  <si>
    <t>27.B93.00</t>
  </si>
  <si>
    <t>CAT: TH3510D; TH357D; TH408D; TL1055D; TL1255D; TL1055; TL1255 / OTOKAR: NAVIGO-MAXI CITY; NAVIGO-SULTAN; NAVIGO-CITY.</t>
  </si>
  <si>
    <t>CAT: 4731345</t>
  </si>
  <si>
    <t>AF26120</t>
  </si>
  <si>
    <t>P628327</t>
  </si>
  <si>
    <t>27.C00.00</t>
  </si>
  <si>
    <t>Air filter primary</t>
  </si>
  <si>
    <t>8003453104822</t>
  </si>
  <si>
    <t>CHN: TL85E; TL95E - MWM (09/05-); TS100; TS110 - IVECO NH675TD (01/02-); 7630; 8030; TS6000; TS6020; TS6030; TS6040 - New Holland (12/07-) / JOHN DEERE: 5403; 5605 - JD4045D (09/05-); 5705 - JD4045T (09/05-), 5403 - JD 3029T (01/02-) / MASSEY-FERGUSON: 290, 291, 292, 297, 298, 299 - motor Perkins P4004 (08-)</t>
  </si>
  <si>
    <t>CASE: 87344135</t>
  </si>
  <si>
    <t>C18360/2</t>
  </si>
  <si>
    <t>LX3190</t>
  </si>
  <si>
    <t>ARS6223</t>
  </si>
  <si>
    <t>HD6223</t>
  </si>
  <si>
    <t>CA10764</t>
  </si>
  <si>
    <t>JFA0575</t>
  </si>
  <si>
    <t>AF25174</t>
  </si>
  <si>
    <t>P628182</t>
  </si>
  <si>
    <t>27.C01.00</t>
  </si>
  <si>
    <t>JOHN DEERE: 5403; 5605;(2002- &gt;); 5705 - JD4045T (2002- &gt;), 5403 - JD 3029T (2002- &gt;)) / MASSEY-FERGUSON: 290; 292; 297; 298; 299 - Perkins P4004 (2008-&gt;); 4265; 4275; 4283; 4290- Perkins 4 cil. (2010-&gt;) / NEW HOLLAND: 100; 110; 120- Iveco NH675TD (2002- &gt;); 6000; 6020; 6030; 6040; 7630; 8030; 85E; 90TS; 95E; 5605 (2007- &gt;)</t>
  </si>
  <si>
    <t>JOHN DEERE: DQ59139
CASE: 87344136
AGCO: 6223619M1</t>
  </si>
  <si>
    <t>CF360</t>
  </si>
  <si>
    <t>LXS292</t>
  </si>
  <si>
    <t>ASR223</t>
  </si>
  <si>
    <t>HDS223</t>
  </si>
  <si>
    <t>JFA0575S</t>
  </si>
  <si>
    <t>AF25176</t>
  </si>
  <si>
    <t>P628400</t>
  </si>
  <si>
    <t>27.C40.00</t>
  </si>
  <si>
    <t>JOHN DEERE: Serie 1000; Série 2000; Serie 4000; X Serie / BOB CAT: Sére 300</t>
  </si>
  <si>
    <t>JOHN DEERE: AM123378</t>
  </si>
  <si>
    <t>CF52/2</t>
  </si>
  <si>
    <t>E1505LS</t>
  </si>
  <si>
    <t>AF25967</t>
  </si>
  <si>
    <t>P535396</t>
  </si>
  <si>
    <t>27.C45.00</t>
  </si>
  <si>
    <t>JOHN DEERE: 200DLC; 2154D; 240DLC; 270DLC; 444K; 460DC; 460DG; 524K; 640H; 644K; 648H; 700K; 748H; 848H; 850J; R450; 210G; 2454D (2001- &gt;); 2954D (2001- &gt;); 544K (2001- &gt;); 624K (2001- &gt;).</t>
  </si>
  <si>
    <t>JOHN DEERE: AT300488; AT314583
KOMATSU: 12Y0211190
VOLVO: 43904176</t>
  </si>
  <si>
    <t>E1560LS</t>
  </si>
  <si>
    <t>ASR759</t>
  </si>
  <si>
    <t>WAP176S</t>
  </si>
  <si>
    <t>AF25963</t>
  </si>
  <si>
    <t>P613335</t>
  </si>
  <si>
    <t>27.C46.00</t>
  </si>
  <si>
    <t>MOTORES INDUSTRIIAIS VOLVO PENTA:  TAD1030GE ; TAD1031GE TAD1032GE ; TAD1240GE TAD1241GE ; TAD1241VE  / VOLVO: 21702911;3827643;21212204</t>
  </si>
  <si>
    <t>VOLVO PENTA 21702911;3827643;21212204</t>
  </si>
  <si>
    <t>C301345</t>
  </si>
  <si>
    <t>E2065L</t>
  </si>
  <si>
    <t>AF26249</t>
  </si>
  <si>
    <t>P955200</t>
  </si>
  <si>
    <t>27.C49.00</t>
  </si>
  <si>
    <t>BOB CAT: Mini Pá Carregadeira 337 e 751; CASE: Trator C50, C50X, C60, C60X; JOHN DEERE: Trator 5105 e 5205;</t>
  </si>
  <si>
    <t>Caterpillar: 1348726; Toyota: 17741U210071; Clark: 2791707; FIAT: 4290940; BOB CAT: 6666333;</t>
  </si>
  <si>
    <t>LX2959</t>
  </si>
  <si>
    <t>CA9246</t>
  </si>
  <si>
    <t>AF25308</t>
  </si>
  <si>
    <t>P532410</t>
  </si>
  <si>
    <t>27.C57.00</t>
  </si>
  <si>
    <t>JOHN DEERE 6500; 6700; 310D; 315D; 400G; 410D; 415B; 450E; 455G; 510D; 515B; 550G  - CASE: 8420 / CBT / CLARK MICHIGAN / MASSEY FERGUSON: MF1630; MF1830; MF210; 210X; 220; 310</t>
  </si>
  <si>
    <t>JOHN DEERE: AT44378
CAT: 3I0266</t>
  </si>
  <si>
    <t>CF924</t>
  </si>
  <si>
    <t>E568LS</t>
  </si>
  <si>
    <t>AS215</t>
  </si>
  <si>
    <t>CA258SY</t>
  </si>
  <si>
    <t>AF1980</t>
  </si>
  <si>
    <t>P131394</t>
  </si>
  <si>
    <t>27.C58.00</t>
  </si>
  <si>
    <t>8003453105225</t>
  </si>
  <si>
    <t>VW: 13.170-Cummins 6BTAA 5.9(00-); 13.180-MWM Série 10 6.10TCA(00-); 13.190-Cummins 6BTAA 5.9(02-); 15.170-Cummins 6BTAA 5.9(00-); 15.180-MWM 6.10 6Cil.(00-); 15.190-Cummins 6BTAA 5.9(02-); 17.210-Cummins 6BTAA 5.9T(00-); 17.210 OD-MWM 6.10 TCA</t>
  </si>
  <si>
    <t>C27830</t>
  </si>
  <si>
    <t>E1068L</t>
  </si>
  <si>
    <t>LX1716</t>
  </si>
  <si>
    <t>ARS9839</t>
  </si>
  <si>
    <t>HD9839</t>
  </si>
  <si>
    <t>CA5626PU</t>
  </si>
  <si>
    <t>WAP103</t>
  </si>
  <si>
    <t>AF25997</t>
  </si>
  <si>
    <t>27.C70.00</t>
  </si>
  <si>
    <t>MASSEY-FERGUSON: - MF-445 XTRA</t>
  </si>
  <si>
    <t>MASSEY FERGUSON: 6223615M1</t>
  </si>
  <si>
    <t>AF25178</t>
  </si>
  <si>
    <t>27.C71.00</t>
  </si>
  <si>
    <t>8003453105553</t>
  </si>
  <si>
    <t>CF1552</t>
  </si>
  <si>
    <t>E1068LS</t>
  </si>
  <si>
    <t>LXS260</t>
  </si>
  <si>
    <t>ARS839</t>
  </si>
  <si>
    <t>CA5626SYPU</t>
  </si>
  <si>
    <t>WAP103/S</t>
  </si>
  <si>
    <t>27.C73.00</t>
  </si>
  <si>
    <t>SULLAIR: H1050; H750; H900 / CUMMINS: C1250D2R; 275D5; 450D5EB; CF700D2R</t>
  </si>
  <si>
    <t>SULLAIR: 2250051239
CUMMINS: 1403814</t>
  </si>
  <si>
    <t>AF25545</t>
  </si>
  <si>
    <t>P607224</t>
  </si>
  <si>
    <t>27.C78.00</t>
  </si>
  <si>
    <t>XCMG: 1109N12020</t>
  </si>
  <si>
    <t>XCMG 1109N12020</t>
  </si>
  <si>
    <t>CA1575</t>
  </si>
  <si>
    <t>AF25276</t>
  </si>
  <si>
    <t>P500940</t>
  </si>
  <si>
    <t>27.C85.00</t>
  </si>
  <si>
    <t>CUMMINS: MOTORES 6BT5.9, 6B5.9, 4BTA3.9, 4BT3.9, 4B3.9; DONG FENG: DFL4240, DFL1311 A3,DFL1311 A10; KING LONGÔNIBUS XMQ6720,XMQ670; GUANGXI LIUGONG MACHINERY: PÁ CARREGADEIRA ZL30G, CLG835II; ;XCMG: ROLO COMPACTADOR XS120;.XS120PD. N. ORIGINAL Fleetguard: AF25268</t>
  </si>
  <si>
    <t>DONGFENG MOTORS 11096B020</t>
  </si>
  <si>
    <t>AP1109</t>
  </si>
  <si>
    <t>AF25268</t>
  </si>
  <si>
    <t>P500186</t>
  </si>
  <si>
    <t>27.C92.00</t>
  </si>
  <si>
    <t>John Deere / Liebherr</t>
  </si>
  <si>
    <t>INGERSOLL RAND:23487465
ATLAS COPCO
1621510700</t>
  </si>
  <si>
    <t>C281440</t>
  </si>
  <si>
    <t>27.D06.00</t>
  </si>
  <si>
    <t>8003453106222</t>
  </si>
  <si>
    <t>MERCEDES BENZ: 1634,1938 S - Eletrônico, 1944, 2338 L, LS, LK - OM 457 Eletrônico - Série 500 (476 094 01 04) / SCANIA: ÔNIBUS - K 114 e K 124 (1484437)</t>
  </si>
  <si>
    <t>CF1651</t>
  </si>
  <si>
    <t>ASR941</t>
  </si>
  <si>
    <t>HDS941</t>
  </si>
  <si>
    <t>CA9747SY</t>
  </si>
  <si>
    <t>WAP181/S</t>
  </si>
  <si>
    <t>27.D25.00</t>
  </si>
  <si>
    <t>JOHN DEERE: 350G LC; 380G LC</t>
  </si>
  <si>
    <t>JOHN DEERE: AT317578; AT330980</t>
  </si>
  <si>
    <t>CF21002</t>
  </si>
  <si>
    <t>E1509LS</t>
  </si>
  <si>
    <t>ASR309</t>
  </si>
  <si>
    <t>AF26125</t>
  </si>
  <si>
    <t>P617644</t>
  </si>
  <si>
    <t>27.D33.00</t>
  </si>
  <si>
    <t>8003453106420</t>
  </si>
  <si>
    <t>MERCEDES BENZ: Atego 1315; 1418; 1518; 1718 - OM 904 LA (11/06-); 1725; 2425 - OM 906 LA (11/06-); 1728 e 2428 - OM 926 LA (07/07-)</t>
  </si>
  <si>
    <t>C281012</t>
  </si>
  <si>
    <t>E1028L</t>
  </si>
  <si>
    <t>LX2621</t>
  </si>
  <si>
    <t>ARS9841</t>
  </si>
  <si>
    <t>HD9841</t>
  </si>
  <si>
    <t>CA10477</t>
  </si>
  <si>
    <t>WAP179</t>
  </si>
  <si>
    <t>27.D35.00</t>
  </si>
  <si>
    <t>8003453106444</t>
  </si>
  <si>
    <t>CF1711</t>
  </si>
  <si>
    <t>LXS262</t>
  </si>
  <si>
    <t>ASR870</t>
  </si>
  <si>
    <t>HD870</t>
  </si>
  <si>
    <t>CA9418SY</t>
  </si>
  <si>
    <t>WAP360/5S</t>
  </si>
  <si>
    <t>27.D36.00</t>
  </si>
  <si>
    <t>8003453106451</t>
  </si>
  <si>
    <t>FORD: Cargo 1217 6BT 5.9L (02-&gt;) ; Cargo 1417 6BT 5.9L (02-&gt;)Cargo 1421 6BT 5.9L (02-&gt;) ; Cargo 1617 6BT 5.9L (02-&gt;)Cargo 1621 6BT 5.9L (02-&gt;); Cargo 1717 6BTAAB 5.9 (02-&gt;)Cargo 1721 6BTAAB 5.9 (02-&gt;)</t>
  </si>
  <si>
    <t>C21470</t>
  </si>
  <si>
    <t>E1111L</t>
  </si>
  <si>
    <t>LX2533</t>
  </si>
  <si>
    <t>ASR5673</t>
  </si>
  <si>
    <t>HD5673</t>
  </si>
  <si>
    <t>CA9369C</t>
  </si>
  <si>
    <t>WAP102</t>
  </si>
  <si>
    <t xml:space="preserve">AF27978 </t>
  </si>
  <si>
    <t>27.D38.00</t>
  </si>
  <si>
    <t>8003453106468</t>
  </si>
  <si>
    <t>CNH: Tratores modelo TM 165 e TM menores (12/06-&gt;); Troller - Jeep e Pick up Pantanal (09/05-&gt;); Iveco - Daily 2.8 Diesel (04/03-&gt;)</t>
  </si>
  <si>
    <t>93828280; 93829614; 5801640992; 5801640092; 5802525725; 5802773390;</t>
  </si>
  <si>
    <t>C18450/1</t>
  </si>
  <si>
    <t>E1253L</t>
  </si>
  <si>
    <t>ARS8234</t>
  </si>
  <si>
    <t>HD8234</t>
  </si>
  <si>
    <t>CA10221</t>
  </si>
  <si>
    <t>WR200/8</t>
  </si>
  <si>
    <t>Scania: G360; G420; G440; G470; P114; P230; P250; P270; P310; P340; P360; P400; P420; R114; R450; R470; T114;</t>
  </si>
  <si>
    <t>CF17007/1</t>
  </si>
  <si>
    <t>E1013LS</t>
  </si>
  <si>
    <t>ASR181</t>
  </si>
  <si>
    <t>WAP112/S</t>
  </si>
  <si>
    <t>P953215</t>
  </si>
  <si>
    <t>27.D44.00</t>
  </si>
  <si>
    <t>Compressor Ingersoll Rand</t>
  </si>
  <si>
    <t>INGERSOLL RAND
30011466
30016790</t>
  </si>
  <si>
    <t>C27230</t>
  </si>
  <si>
    <t>AF25852</t>
  </si>
  <si>
    <t>P606288</t>
  </si>
  <si>
    <t>27.D54.00</t>
  </si>
  <si>
    <t>Compressores IgersollRand/ Atlas Copco</t>
  </si>
  <si>
    <t>INGERSOLL RAND: 39588777; 39829668
Atlas Copco: 2255300133</t>
  </si>
  <si>
    <t>C14137</t>
  </si>
  <si>
    <t>27.E19.00</t>
  </si>
  <si>
    <t>JONH DEERE AR95759/KOMATSU/NEW HOLLAND</t>
  </si>
  <si>
    <t>JOHN DEERE AR95759</t>
  </si>
  <si>
    <t>AS759</t>
  </si>
  <si>
    <t>AF4819</t>
  </si>
  <si>
    <t>P127313</t>
  </si>
  <si>
    <t>27.E21.00</t>
  </si>
  <si>
    <t>JOHN DEERE: Série 9000</t>
  </si>
  <si>
    <t>JOHN DEERE: RE63931; AH148880</t>
  </si>
  <si>
    <t>ARS3530</t>
  </si>
  <si>
    <t>AF25033M</t>
  </si>
  <si>
    <t>P533235</t>
  </si>
  <si>
    <t>27.F18.00</t>
  </si>
  <si>
    <t>VOLVO: FH 750 FH16-750 - D16G-750, D16K-750 E6 (01/13-); FH 16-540 D16E/G 540 (01/13-)</t>
  </si>
  <si>
    <t>VOLVO: 20882320; 
21716424</t>
  </si>
  <si>
    <t>C331630/2</t>
  </si>
  <si>
    <t>E767L</t>
  </si>
  <si>
    <t>CA9901</t>
  </si>
  <si>
    <t>AF26472M</t>
  </si>
  <si>
    <t>P606720</t>
  </si>
  <si>
    <t>27.F30.B0</t>
  </si>
  <si>
    <t>SCANIA: 1774598 / WABCO: 4329012282</t>
  </si>
  <si>
    <t>TB1394/3X</t>
  </si>
  <si>
    <t>DSF2282</t>
  </si>
  <si>
    <t>DAF215</t>
  </si>
  <si>
    <t>P951419</t>
  </si>
  <si>
    <t>27.F44.00</t>
  </si>
  <si>
    <t>JOHN DEERE: 8030 Série; 8R Série; 8RT Série; 8RT-IT4 Série.</t>
  </si>
  <si>
    <t>JOHN DEERE: RE210102; RE587793</t>
  </si>
  <si>
    <t>C31021</t>
  </si>
  <si>
    <t>E1720L</t>
  </si>
  <si>
    <t>ARS5354</t>
  </si>
  <si>
    <t>AF26337</t>
  </si>
  <si>
    <t>P617646</t>
  </si>
  <si>
    <t>27.F68.B0</t>
  </si>
  <si>
    <t>Air Dryer Filter</t>
  </si>
  <si>
    <t>VOLVO: FM 370  D11C 370CV  2013&gt;... ; FM 460 D13C 460CV  2013&gt;...</t>
  </si>
  <si>
    <t>21412848; 22223804; 23260134; 23690622;</t>
  </si>
  <si>
    <t>T370W</t>
  </si>
  <si>
    <t>DAF600</t>
  </si>
  <si>
    <t>27.G10.00</t>
  </si>
  <si>
    <t>AUDI: A4 2.0 190CV (2016- &gt;); A5 2.0 190CV (2016- &gt;); RS4 4.2 V8 450CV (2013- &gt;)</t>
  </si>
  <si>
    <t>AUDI: 8W0133843B</t>
  </si>
  <si>
    <t>C17012/1</t>
  </si>
  <si>
    <t>E1454L</t>
  </si>
  <si>
    <t>LX4411</t>
  </si>
  <si>
    <t>WR374</t>
  </si>
  <si>
    <t>27.G30.00</t>
  </si>
  <si>
    <t>CATERPILLAR GERADOR 3412, 3412C, 3508, 3512, 3516,C13, C18, PM3412</t>
  </si>
  <si>
    <t>INGERSOL RAND 3905326</t>
  </si>
  <si>
    <t>CA6817</t>
  </si>
  <si>
    <t>AH1136</t>
  </si>
  <si>
    <t>B085001</t>
  </si>
  <si>
    <t>27.H27.00</t>
  </si>
  <si>
    <t>Elemento Filtrante Do Ar Condicionado</t>
  </si>
  <si>
    <t>Cabin filter</t>
  </si>
  <si>
    <t xml:space="preserve">JOHN DEERE:Tratore  Série 6E - 6J; Série 7000; Série 8000; 310D; 315D; 400G; 450G; 455E; 510D; 555G; 650G;  </t>
  </si>
  <si>
    <t>JOHN DEERE: RE24619; AT65296</t>
  </si>
  <si>
    <t>C18009x</t>
  </si>
  <si>
    <t>E741L</t>
  </si>
  <si>
    <t>AP4736</t>
  </si>
  <si>
    <t>HP4736</t>
  </si>
  <si>
    <t>AF4736</t>
  </si>
  <si>
    <t>P611440</t>
  </si>
  <si>
    <t>27.H34.00</t>
  </si>
  <si>
    <t>CAT: 414E; 416D; 416D; 416E; 416E; 420D; 420D; 420D; 420E; 420E; 420E; 420E IT; 422E; 422E; 424D; 424D; 428D; 428D; 428E; 428E; 430D; 430D; 430E; 432D; 432D; 432E; 432E; 434E; 434E; 442D; 442D; 442E; 442E; 444E; 444E; 914G; AP300; AP650B; AP800D; BG230D; CB434D; CB534D; CB564D; CD44; CD54; CP323C; CP433E; CP533E; CS323C; CS423E; CS433E; CS533E; D3K; D4K LGP; D4K XL; D5K; IT14G; PF300C; PS150C; PS300C; PS360C; TH210; TH215 /  VALTRA: A72; A72L; A82; A82H; A82L; A83; A92; A92H; A92L; A93; N82 Classic/Hitech; N92 Classic/Hitech</t>
  </si>
  <si>
    <t>CAT: 2934053; 2277448
VALTRA: 37352500</t>
  </si>
  <si>
    <t>C23220</t>
  </si>
  <si>
    <t>E1865L</t>
  </si>
  <si>
    <t>AF27827</t>
  </si>
  <si>
    <t>P608766</t>
  </si>
  <si>
    <t>27.H36.B0</t>
  </si>
  <si>
    <t>John Deere: S685; S680; S670; S650STS; S660; S660STS; S670STS; S685HM; S685STS; S680STS; S690STS;</t>
  </si>
  <si>
    <t>HXE11090; 48064114; ACM4029980;</t>
  </si>
  <si>
    <t>ARS1090</t>
  </si>
  <si>
    <t>AF4220</t>
  </si>
  <si>
    <t>P618689</t>
  </si>
  <si>
    <t>27.H37.B0</t>
  </si>
  <si>
    <t>HXE11091; 48064117; ACW0381740;</t>
  </si>
  <si>
    <t>ASR090</t>
  </si>
  <si>
    <t>AF4223</t>
  </si>
  <si>
    <t>P618690</t>
  </si>
  <si>
    <t>27.H60.B0</t>
  </si>
  <si>
    <t>New Holland: TC5090 - 8.3L</t>
  </si>
  <si>
    <t>84120624; 84120626; 84286399; 87641533;</t>
  </si>
  <si>
    <t>ARS1533</t>
  </si>
  <si>
    <t>WAP191</t>
  </si>
  <si>
    <t>P630292</t>
  </si>
  <si>
    <t>27.H61.B0</t>
  </si>
  <si>
    <t>84120625; 84286397; 87641532;</t>
  </si>
  <si>
    <t xml:space="preserve">ASR533 </t>
  </si>
  <si>
    <t>WAP191/S</t>
  </si>
  <si>
    <t>P630353</t>
  </si>
  <si>
    <t>27.H62.B0</t>
  </si>
  <si>
    <t>John Deere: 8R Series - PSS 9.0L: 8245R; 8270R; 8295R; 8320R; 8320RT; 8345R; 8345RT; 8370R; 8370RT;</t>
  </si>
  <si>
    <t>RE580337; RE587791;</t>
  </si>
  <si>
    <t>P635443</t>
  </si>
  <si>
    <t>27.H63.B0</t>
  </si>
  <si>
    <t>RE580338; RE587792;</t>
  </si>
  <si>
    <t>P635447</t>
  </si>
  <si>
    <t>27.H71.00</t>
  </si>
  <si>
    <t>JOHN DEERE: Série 200; Série 100; Série 300; Série 400 / New Holland: Série E</t>
  </si>
  <si>
    <t>JOHN DEERE: AT332908
AGCO: 4379574M1</t>
  </si>
  <si>
    <t>WAP913</t>
  </si>
  <si>
    <t>AF4181</t>
  </si>
  <si>
    <t>27.H92.00</t>
  </si>
  <si>
    <t xml:space="preserve">Compressores Yanmar </t>
  </si>
  <si>
    <t>GEHL: 242540</t>
  </si>
  <si>
    <t>CF50</t>
  </si>
  <si>
    <t>E1654LS</t>
  </si>
  <si>
    <t>27.H98.00</t>
  </si>
  <si>
    <t>Elemento Filtrante Do Ar</t>
  </si>
  <si>
    <t>CASE: CVX Série / NEW HOLLAND: TVT Série</t>
  </si>
  <si>
    <t>CASE: 16200190700; 47107867</t>
  </si>
  <si>
    <t>C20015</t>
  </si>
  <si>
    <t>E1824L</t>
  </si>
  <si>
    <t>LX7120</t>
  </si>
  <si>
    <t>AF26284</t>
  </si>
  <si>
    <t>27.I52.B0</t>
  </si>
  <si>
    <t>John Deere: 9560 STS; 9660 STS; 9760 STS; 9860 STS</t>
  </si>
  <si>
    <t>JOHN DEERE: AH222225
CNH: 84305930</t>
  </si>
  <si>
    <t>C332200</t>
  </si>
  <si>
    <t>LX3561</t>
  </si>
  <si>
    <t>ARS5472</t>
  </si>
  <si>
    <t>HD5472</t>
  </si>
  <si>
    <t>AF27852</t>
  </si>
  <si>
    <t>P618931</t>
  </si>
  <si>
    <t>27.I53.B0</t>
  </si>
  <si>
    <t>JOHN DEERE: AH212295
CASE: 84305935</t>
  </si>
  <si>
    <t>CF1760</t>
  </si>
  <si>
    <t>E1659LS</t>
  </si>
  <si>
    <t>AF26438</t>
  </si>
  <si>
    <t>P618932</t>
  </si>
  <si>
    <t>29.002.00</t>
  </si>
  <si>
    <t>Filtro Spin-on de agua</t>
  </si>
  <si>
    <t>Water Filter</t>
  </si>
  <si>
    <t xml:space="preserve">Motores CUMMINS </t>
  </si>
  <si>
    <t>CUMMINS: 3300724; 3300900; 3305366; 3305367; 3314581</t>
  </si>
  <si>
    <t>H13WF12</t>
  </si>
  <si>
    <t>PR3304</t>
  </si>
  <si>
    <t>WF2010</t>
  </si>
  <si>
    <t>P554071</t>
  </si>
  <si>
    <t>29.009.00</t>
  </si>
  <si>
    <t>CUMMINS: 3100307; 3315788</t>
  </si>
  <si>
    <t>WA940/7</t>
  </si>
  <si>
    <t>WF2074</t>
  </si>
  <si>
    <t>P552074</t>
  </si>
  <si>
    <t>29.011.00</t>
  </si>
  <si>
    <t>Filtro Blindado da Refrigeração</t>
  </si>
  <si>
    <t>Water filter</t>
  </si>
  <si>
    <t>CATERPILLAR / CASE / CATERPILLAR / FIAT-ALLIS / FORD/ CUMMINS / KOMATSU / MICHIGAN / RANDON / SCANIA</t>
  </si>
  <si>
    <t>JOHN DEERE: F432265
KOMATSU:
1257937H1</t>
  </si>
  <si>
    <t>WA940/1</t>
  </si>
  <si>
    <t>H33WF</t>
  </si>
  <si>
    <t>WFC4</t>
  </si>
  <si>
    <t>PSA272</t>
  </si>
  <si>
    <t>WF2013</t>
  </si>
  <si>
    <t>P552072</t>
  </si>
  <si>
    <t>30.001.00</t>
  </si>
  <si>
    <t>SUBARU: LEGACY 1.8 DL, GL</t>
  </si>
  <si>
    <t>C2329</t>
  </si>
  <si>
    <t>E555L</t>
  </si>
  <si>
    <t>LX1298</t>
  </si>
  <si>
    <t>ARL1030</t>
  </si>
  <si>
    <t>HLP1030</t>
  </si>
  <si>
    <t>CA8040</t>
  </si>
  <si>
    <t>JFA0198</t>
  </si>
  <si>
    <t>30.007.00</t>
  </si>
  <si>
    <t>VOLVO: 850 (1993&gt;1996), C70 (1997&gt;2002), S70 (1997&gt;2000), V70 (1998&gt;2000)</t>
  </si>
  <si>
    <t>C35127</t>
  </si>
  <si>
    <t>E351L</t>
  </si>
  <si>
    <t>LX686</t>
  </si>
  <si>
    <t>CA5436</t>
  </si>
  <si>
    <t>FAP3606</t>
  </si>
  <si>
    <t>30.017.00</t>
  </si>
  <si>
    <t>GM: Astra 2.0i 8V - 116 cv (91-98)</t>
  </si>
  <si>
    <t>GM: 90410652; 90443103</t>
  </si>
  <si>
    <t>C3167/1</t>
  </si>
  <si>
    <t>E236L</t>
  </si>
  <si>
    <t>LX390</t>
  </si>
  <si>
    <t>CA5400</t>
  </si>
  <si>
    <t>FAP1701</t>
  </si>
  <si>
    <t>30.023.00</t>
  </si>
  <si>
    <t>FERRARI: 456 5.5 V12 GT, 456 5.5 V12 GTA, 550 MARANELLO, F355 COUPÉ, F355 SPIDER</t>
  </si>
  <si>
    <t>30.024.00</t>
  </si>
  <si>
    <t>FORD: MONDEO 1.8/2.0 (1993&gt;2007)</t>
  </si>
  <si>
    <t>C40107</t>
  </si>
  <si>
    <t>E304L</t>
  </si>
  <si>
    <t>LX522</t>
  </si>
  <si>
    <t>ARL5410</t>
  </si>
  <si>
    <t>HLP5410</t>
  </si>
  <si>
    <t>CA5494</t>
  </si>
  <si>
    <t>FAP3241</t>
  </si>
  <si>
    <t>30.027.00</t>
  </si>
  <si>
    <t>GM: Agile 1.4 (2009-2015); Classic 1.0 8v 71cv (2003-2005); Classic 8v 72cv (2006-2008); Classic 8v 78cv (2010- &gt;); Corsa 1.0 16V 68cv (1999-2001);  Corsa 1.0 8V 60cv (1994-2001); Corsa 1.0 8V 64cv (2000-2006); Corsa 1.4 8V 60cv (1994-2001); Corsa 1.6 8V 92cv (1996- &gt;); Montana 1.4 (04/2011- &gt;); Tigra 1.4 16V (1994-1998); Tigra 1.6 16V (1998-1999); Tigra 1.6 16V (1994-1998).</t>
  </si>
  <si>
    <t>GM: 90411732; 90486296</t>
  </si>
  <si>
    <t>C2256</t>
  </si>
  <si>
    <t>E250L</t>
  </si>
  <si>
    <t>LX523</t>
  </si>
  <si>
    <t>ARL8832</t>
  </si>
  <si>
    <t>HLP8832</t>
  </si>
  <si>
    <t>CA5496</t>
  </si>
  <si>
    <t>FAP2827</t>
  </si>
  <si>
    <t>30.051.00</t>
  </si>
  <si>
    <t>VOLVO / VOLVO CONSTRUCTION</t>
  </si>
  <si>
    <t>CU2785</t>
  </si>
  <si>
    <t>E1905LI</t>
  </si>
  <si>
    <t>LA99</t>
  </si>
  <si>
    <t>AF4608</t>
  </si>
  <si>
    <t>P535089</t>
  </si>
  <si>
    <t>30.057.00</t>
  </si>
  <si>
    <t>RENAULT: LAGUNA I 2.0I 16V (1995&gt;1998)</t>
  </si>
  <si>
    <t>C2282</t>
  </si>
  <si>
    <t>E828L</t>
  </si>
  <si>
    <t>LX475</t>
  </si>
  <si>
    <t>CA5673</t>
  </si>
  <si>
    <t>FAP4840</t>
  </si>
  <si>
    <t>30.059.00</t>
  </si>
  <si>
    <t>Mercedes Benz: LO914C (1998- &gt;); O818 (2005- &gt;); 508D (1989- &gt;); 512D (1996- &gt;); 611D (1994- &gt;); 614D (1996- &gt;); 618D (2006-&gt;) ; 711D (1986- &gt;); 814D (1997- &gt;); 816D (2006- &gt;)</t>
  </si>
  <si>
    <t>MB: 20949304</t>
  </si>
  <si>
    <t>C60345</t>
  </si>
  <si>
    <t>E209L</t>
  </si>
  <si>
    <t>ARL9304</t>
  </si>
  <si>
    <t>CA9855</t>
  </si>
  <si>
    <t>FAP6126</t>
  </si>
  <si>
    <t>AF4616</t>
  </si>
  <si>
    <t>P783198</t>
  </si>
  <si>
    <t>30.073.00</t>
  </si>
  <si>
    <t>MERCEDES BENZ: SÉRIE E  W210</t>
  </si>
  <si>
    <t>C34175</t>
  </si>
  <si>
    <t>E242L</t>
  </si>
  <si>
    <t>LX517</t>
  </si>
  <si>
    <t>CA5782</t>
  </si>
  <si>
    <t>FAP4853</t>
  </si>
  <si>
    <t>30.082.00</t>
  </si>
  <si>
    <t xml:space="preserve">MERCEDES BENZ: Sprinter 311 (2001-2003); Sprinter 411 (2000-2002); Sprinter 2.2 16V (2001-2002); Sprinter 2.2 L 16V DOHV L4 (2002- &gt;); Sprinter 2.5 8V(1997-2003); Sprinter 2.5 L 8V SOHV L4 (2000-2003); Sprinter OM 611 LA II / 21 (2001-2004); Sprinter OM 611 LA III (2002- &gt;); Sprinter OM 612 156 CV (2000-2006); Vito 108 CDI (1999-2003); Vito 110 CDI (1999-2003); Vito 112 CDI (1999-2003). </t>
  </si>
  <si>
    <t>MERCEDES BENZ: 6900947004; 6040940104; 30948304</t>
  </si>
  <si>
    <t>C32338/1</t>
  </si>
  <si>
    <t>E240L01</t>
  </si>
  <si>
    <t>LX513</t>
  </si>
  <si>
    <t>ARL5310</t>
  </si>
  <si>
    <t>HLP5310</t>
  </si>
  <si>
    <t>CA8668</t>
  </si>
  <si>
    <t>FAP6003/1</t>
  </si>
  <si>
    <t>AF25319</t>
  </si>
  <si>
    <t>P784015</t>
  </si>
  <si>
    <t>30.099.00</t>
  </si>
  <si>
    <t>RENAULT: MASTER 2.5 DCI 16V TURBO DIESEL (05-); 2.8 DTI TURBO/ARPIRADO (02-04)</t>
  </si>
  <si>
    <t>C32154/1</t>
  </si>
  <si>
    <t>E355L</t>
  </si>
  <si>
    <t>LX876</t>
  </si>
  <si>
    <t>ARL5137</t>
  </si>
  <si>
    <t>HLP5137</t>
  </si>
  <si>
    <t>CA8821</t>
  </si>
  <si>
    <t>FAP3271</t>
  </si>
  <si>
    <t>AF25696</t>
  </si>
  <si>
    <t>30.101.00</t>
  </si>
  <si>
    <t>FORD: FOCUS 1.8 16V ZETEC, 2.0 16V ZETEC (09/98-&gt;)</t>
  </si>
  <si>
    <t>C2776</t>
  </si>
  <si>
    <t>E375L</t>
  </si>
  <si>
    <t>LX1712</t>
  </si>
  <si>
    <t>ARL9607</t>
  </si>
  <si>
    <t>HLP9607</t>
  </si>
  <si>
    <t>CA5929</t>
  </si>
  <si>
    <t>FAP3610</t>
  </si>
  <si>
    <t>30.117.00</t>
  </si>
  <si>
    <t>PEUGEOT: 206 NACIONAL 1.6I 16V DE 12/2000 EM DIANTE, 206 1.6 8V ENTRE OS ANOS DE 1998 À 2000 - N° ORIGINAL PEUGEOT: 1444H3.</t>
  </si>
  <si>
    <t>C2159</t>
  </si>
  <si>
    <t>E382L</t>
  </si>
  <si>
    <t>LX645/1</t>
  </si>
  <si>
    <t>ARL5050</t>
  </si>
  <si>
    <t>HLP5050</t>
  </si>
  <si>
    <t>CA10131</t>
  </si>
  <si>
    <t>FAP6008</t>
  </si>
  <si>
    <t>30.119.00</t>
  </si>
  <si>
    <t>MERCEDES BENZ: CLK 320 1998&gt;...</t>
  </si>
  <si>
    <t xml:space="preserve"> 6040940404; 6040941304; 6040941404;</t>
  </si>
  <si>
    <t>C30195/2</t>
  </si>
  <si>
    <t>E321L</t>
  </si>
  <si>
    <t>LX439/1</t>
  </si>
  <si>
    <t>ARL1132</t>
  </si>
  <si>
    <t>CA5948; CA5539;</t>
  </si>
  <si>
    <t xml:space="preserve">FAP9119 </t>
  </si>
  <si>
    <t>30.133.00</t>
  </si>
  <si>
    <t xml:space="preserve">VOLKSWAGEN: POLO 2.0 GASOLINA (01/02-07/06) Nº VOLKSWAGEN 6Q0129620B </t>
  </si>
  <si>
    <t>C2295/3</t>
  </si>
  <si>
    <t>E395L</t>
  </si>
  <si>
    <t>LX709</t>
  </si>
  <si>
    <t>ART6097</t>
  </si>
  <si>
    <t>HLT6097</t>
  </si>
  <si>
    <t>CA9431</t>
  </si>
  <si>
    <t>FAP7006</t>
  </si>
  <si>
    <t>30.137.00</t>
  </si>
  <si>
    <t>FIAT: STILLO 2.4 MPI 20V (03-)</t>
  </si>
  <si>
    <t>C28105</t>
  </si>
  <si>
    <t>E493L</t>
  </si>
  <si>
    <t>LX1770</t>
  </si>
  <si>
    <t>CA9328</t>
  </si>
  <si>
    <t>FAP4208</t>
  </si>
  <si>
    <t>30.139.00</t>
  </si>
  <si>
    <t>CITROËN: C4 (2004&gt;2010) / PEUGEOT: 307 (2000&gt;2005)</t>
  </si>
  <si>
    <t>C25101</t>
  </si>
  <si>
    <t>E478L</t>
  </si>
  <si>
    <t>LX1044</t>
  </si>
  <si>
    <t>ARL8108</t>
  </si>
  <si>
    <t>HLP8108</t>
  </si>
  <si>
    <t>CA9082</t>
  </si>
  <si>
    <t>FAP4054</t>
  </si>
  <si>
    <t>30.143.00</t>
  </si>
  <si>
    <t>TOYOTA: Corolla 1.6 16V 107cv (1997-2001); Corolla 1.6 16V (1993-1999); Corolla 1.8 16V (1993-2002); Corolla LE 1.8 (1993-1998); Corolla LE 2.2 16V (1995-1997)</t>
  </si>
  <si>
    <t>TOYOTA: 1780115070; 1780102030; 1780115070</t>
  </si>
  <si>
    <t>C2731/1</t>
  </si>
  <si>
    <t>E656L</t>
  </si>
  <si>
    <t>LX811</t>
  </si>
  <si>
    <t>ARL5070</t>
  </si>
  <si>
    <t>HLP5070</t>
  </si>
  <si>
    <t>CA5466</t>
  </si>
  <si>
    <t>JFA0249</t>
  </si>
  <si>
    <t>30.147.00</t>
  </si>
  <si>
    <t>RENAULT: LAGUNA II 1.6 16V / 1.8 16V; LAGUNA II 2.0 16V; MEGANE 1.6I 16V; MEGANE SCÉNIC II 1.6 16V; MEGANE SCÉNIC II 2.0 16V; DUSTER 1.6 16V HI-FLEX (10/11-)</t>
  </si>
  <si>
    <t>C1858/4</t>
  </si>
  <si>
    <t>E461L01</t>
  </si>
  <si>
    <t>LX773</t>
  </si>
  <si>
    <t>ART5051</t>
  </si>
  <si>
    <t>HLT5051</t>
  </si>
  <si>
    <t>CA8964</t>
  </si>
  <si>
    <t>FAP9273</t>
  </si>
  <si>
    <t>30.149.00</t>
  </si>
  <si>
    <t>CITROËN: XSARA - 1.6I; XSARA - 1.6I 16V; XSARA PICASSO - 1.6 (00-&gt;) / PEUGEOT: 206 - 1.6 (08/98-12/00); 206 - 1.6 16V(00-&gt;)</t>
  </si>
  <si>
    <t>C2159/1</t>
  </si>
  <si>
    <t>E410L01</t>
  </si>
  <si>
    <t>CA8674</t>
  </si>
  <si>
    <t>FAP6008/1</t>
  </si>
  <si>
    <t>30.152.00</t>
  </si>
  <si>
    <t>CITROËN: BERLINGO 1.6I (2000&gt;2002) / PEUGEOT: PARTNER 1.6I (2000&gt;2002)</t>
  </si>
  <si>
    <t>C1995</t>
  </si>
  <si>
    <t>LX795</t>
  </si>
  <si>
    <t>CA9649</t>
  </si>
  <si>
    <t>FAP7010</t>
  </si>
  <si>
    <t>30.155.00</t>
  </si>
  <si>
    <t>FORD: TRANSIT 2.4L TDCI (08-); 2.2 TDCI (12-)</t>
  </si>
  <si>
    <t>C28100</t>
  </si>
  <si>
    <t>E470L</t>
  </si>
  <si>
    <t>LX935</t>
  </si>
  <si>
    <t>ARL9600</t>
  </si>
  <si>
    <t>HLP9600</t>
  </si>
  <si>
    <t>CA8919</t>
  </si>
  <si>
    <t>FAP4867</t>
  </si>
  <si>
    <t>AF25841</t>
  </si>
  <si>
    <t>30.162.00</t>
  </si>
  <si>
    <t>AUDI: A4 TODOS (2000&gt;2008)</t>
  </si>
  <si>
    <t>C27192/1</t>
  </si>
  <si>
    <t>E399L</t>
  </si>
  <si>
    <t>LX819</t>
  </si>
  <si>
    <t>CA9409</t>
  </si>
  <si>
    <t>FAP6007</t>
  </si>
  <si>
    <t>30.164.00</t>
  </si>
  <si>
    <t>VOLVO: S40 2.5 (2003&gt;2004), S60 (2000&gt;...), S80 (2000&gt;...), V70 (2000&gt;2004), XC70 (2002&gt;...)</t>
  </si>
  <si>
    <t>C30189</t>
  </si>
  <si>
    <t>E418L</t>
  </si>
  <si>
    <t>LX700</t>
  </si>
  <si>
    <t>CA9073</t>
  </si>
  <si>
    <t>FAP4874</t>
  </si>
  <si>
    <t>30.168.00</t>
  </si>
  <si>
    <t>MINI: COOPER 1.6 (2001&gt;2008), COOPER ONE 1.4 (2001&gt;2004)</t>
  </si>
  <si>
    <t>C2237</t>
  </si>
  <si>
    <t>E414L</t>
  </si>
  <si>
    <t>LX1046</t>
  </si>
  <si>
    <t>CA9494</t>
  </si>
  <si>
    <t>FAP2413</t>
  </si>
  <si>
    <t>30.180.00</t>
  </si>
  <si>
    <t>PEUGEOT: 307 1.6 16V (01/01-07/07), 2.0 16V (01/03-05/07) E 2.0 16V GAS. (04/05-05/08)</t>
  </si>
  <si>
    <t>C25117/2</t>
  </si>
  <si>
    <t>E436L01</t>
  </si>
  <si>
    <t>LX1048</t>
  </si>
  <si>
    <t>CA9080</t>
  </si>
  <si>
    <t>FAP6010</t>
  </si>
  <si>
    <t>30.185.00</t>
  </si>
  <si>
    <t>CITROËN: Berlingo (2002&gt;2010), C3 1.4 e 1.6 (2001-2013) / PEUGEOT: 207 1.4, PARTNER 1.4</t>
  </si>
  <si>
    <t>CITROEN: 1444EC; 1444X0</t>
  </si>
  <si>
    <t>C3468</t>
  </si>
  <si>
    <t>E495L</t>
  </si>
  <si>
    <t>LX1257</t>
  </si>
  <si>
    <t>ARL5053/1</t>
  </si>
  <si>
    <t>HLP5053/1</t>
  </si>
  <si>
    <t>CA9313</t>
  </si>
  <si>
    <t>FAP3615</t>
  </si>
  <si>
    <t>30.186.00</t>
  </si>
  <si>
    <t>CITROËN: C3 (TODOS) 1.4 16V, 1.6 16V (2003-&gt;) ( 1444-X4 )</t>
  </si>
  <si>
    <t>C3485/3</t>
  </si>
  <si>
    <t>E485L</t>
  </si>
  <si>
    <t>LX1287</t>
  </si>
  <si>
    <t>ARL5053</t>
  </si>
  <si>
    <t>HLP5053</t>
  </si>
  <si>
    <t>CA9315</t>
  </si>
  <si>
    <t>FAP4873</t>
  </si>
  <si>
    <t>30.187.00</t>
  </si>
  <si>
    <t>1K0129620D / 5C0129620</t>
  </si>
  <si>
    <t>C35154</t>
  </si>
  <si>
    <t>E488L</t>
  </si>
  <si>
    <t>LX1211</t>
  </si>
  <si>
    <t>ARL6073</t>
  </si>
  <si>
    <t>HLP6073</t>
  </si>
  <si>
    <t>CA9711</t>
  </si>
  <si>
    <t>FAP6012</t>
  </si>
  <si>
    <t>30.217.00</t>
  </si>
  <si>
    <t>RENAULT: LOGAN 1.6 8V GAS/FLEX (10/07-); SANDERO 1.6 8V FLEX (11/07-)</t>
  </si>
  <si>
    <t>C2680</t>
  </si>
  <si>
    <t>E798L</t>
  </si>
  <si>
    <t>LX2830</t>
  </si>
  <si>
    <t>AR7705</t>
  </si>
  <si>
    <t>HL7705</t>
  </si>
  <si>
    <t>CA10447</t>
  </si>
  <si>
    <t>WR245</t>
  </si>
  <si>
    <t>30.220.00</t>
  </si>
  <si>
    <t>MITSUBISHI: Pajero Full 3.2 TDI 165cv (2002- &gt;); Pajero Full 3.2 Turbo 200cv (2007- 2010); Pajero Full 3.8 (2003-2007)</t>
  </si>
  <si>
    <t>Mitsubishi: MR404847</t>
  </si>
  <si>
    <t>C3766</t>
  </si>
  <si>
    <t>E718L</t>
  </si>
  <si>
    <t>LX3819</t>
  </si>
  <si>
    <t>ARL4145</t>
  </si>
  <si>
    <t>HLP4145</t>
  </si>
  <si>
    <t>CA9542</t>
  </si>
  <si>
    <t>JFA0524</t>
  </si>
  <si>
    <t>P505999</t>
  </si>
  <si>
    <t>30.230.00</t>
  </si>
  <si>
    <t>CHRYSLER: SEBRING 2.5 V6 (1995&gt;2000), SEBRING 2.4 (2001&gt;2005) / DODGE: AVENGER 2.0F.I./2.5 V6 (1995&gt;2001) / MITSUBISHI: ECLIPSE 2.0I 16V (1995&gt;...), GALANT 1.8I/2.0I/2.5I (1998&gt;1997), PAJERO PININ 1.8/2.0 GDI (1999&gt;2007), SPACE RUNNER 1.8I (1991&gt;1999), SPACE WAGON 1.8I/2.0I/2.4I (1991&gt;1999)</t>
  </si>
  <si>
    <t>C2438</t>
  </si>
  <si>
    <t>E546L</t>
  </si>
  <si>
    <t>LX591</t>
  </si>
  <si>
    <t>CA7344</t>
  </si>
  <si>
    <t>JFA0599</t>
  </si>
  <si>
    <t>30.232.00</t>
  </si>
  <si>
    <t>HONDA: Fit 1.4 8V 80cv (2003-&gt;)</t>
  </si>
  <si>
    <t>HONDA: 40141558365301; 17220PWA003; 17220PWC000</t>
  </si>
  <si>
    <t>C3324</t>
  </si>
  <si>
    <t>E1001L</t>
  </si>
  <si>
    <t>LX1993</t>
  </si>
  <si>
    <t>ARL1033</t>
  </si>
  <si>
    <t>HLP1033</t>
  </si>
  <si>
    <t>CA9945</t>
  </si>
  <si>
    <t>JFA0428/1</t>
  </si>
  <si>
    <t>30.235.00</t>
  </si>
  <si>
    <t>HONDA: CIVIC 1.5 16V (1992&gt;1995), CIVIC CRX 1.6 VTEC (1993&gt;1996)</t>
  </si>
  <si>
    <t>C2138/3</t>
  </si>
  <si>
    <t>E762L</t>
  </si>
  <si>
    <t>LX848</t>
  </si>
  <si>
    <t>CA7174</t>
  </si>
  <si>
    <t>JFA0499</t>
  </si>
  <si>
    <t>30.236.00</t>
  </si>
  <si>
    <t>HONDA: ACCORD 2.2 16V (1992&gt;1997), ODYSSEY 2.2 16V (1995&gt;1998)</t>
  </si>
  <si>
    <t>C3027/1</t>
  </si>
  <si>
    <t>LX844</t>
  </si>
  <si>
    <t>CA7420</t>
  </si>
  <si>
    <t>JFA0495</t>
  </si>
  <si>
    <t>30.238.00</t>
  </si>
  <si>
    <t>HONDA: CIVIC 1.6 16V (1996&gt;2000), CRV 2.4 16V/2.0 16V (1990&gt;2006), CRV 1.6 (1999)</t>
  </si>
  <si>
    <t>C2055</t>
  </si>
  <si>
    <t>E1180L</t>
  </si>
  <si>
    <t>LX1049</t>
  </si>
  <si>
    <t>CA7764</t>
  </si>
  <si>
    <t>JFA0491</t>
  </si>
  <si>
    <t>30.245.00</t>
  </si>
  <si>
    <t>VOLVO: C30 2.0 (2007&gt;...)</t>
  </si>
  <si>
    <t>C28122</t>
  </si>
  <si>
    <t>E588L</t>
  </si>
  <si>
    <t>LX1572</t>
  </si>
  <si>
    <t>CA9694</t>
  </si>
  <si>
    <t>FAP9018</t>
  </si>
  <si>
    <t>30.251.00</t>
  </si>
  <si>
    <t>BMW: SÉRIE 5 (E60/E61) 3.0 V8 (2003&gt;...), Z4 M (E85/E86) 3.2 V6 (2006&gt;2008)</t>
  </si>
  <si>
    <t>13717521033 / 13717521038</t>
  </si>
  <si>
    <t>C30139</t>
  </si>
  <si>
    <t>E720L</t>
  </si>
  <si>
    <t>LX944</t>
  </si>
  <si>
    <t>CA10022</t>
  </si>
  <si>
    <t>FAP9041</t>
  </si>
  <si>
    <t>30.254.00</t>
  </si>
  <si>
    <t xml:space="preserve">PEUGEOT: 307 2.0 16V FLEX (06-) REF. ORIGINAL 1444.PX / CITROËN: C4 2.0 16V (PALLAS/VTR/EXCLUSIVE) GAS/FLEX (07-) </t>
  </si>
  <si>
    <t>C25118/1</t>
  </si>
  <si>
    <t>E697L</t>
  </si>
  <si>
    <t>LX1765</t>
  </si>
  <si>
    <t>ARL8109</t>
  </si>
  <si>
    <t>HLP8109</t>
  </si>
  <si>
    <t>CA10832</t>
  </si>
  <si>
    <t>FAP9013</t>
  </si>
  <si>
    <t>30.260.00</t>
  </si>
  <si>
    <t>CITROËN: C4 (01/09 - 07/13); PEUGEOT: HOGGAR (04/10-); 206 (01/05 - 03/07); 207 (05/08-); 307 (07/06-); 308 (02/12-)</t>
  </si>
  <si>
    <t>C4292/2</t>
  </si>
  <si>
    <t>E847L</t>
  </si>
  <si>
    <t>LX1745</t>
  </si>
  <si>
    <t>ARL5049</t>
  </si>
  <si>
    <t>HLP5049</t>
  </si>
  <si>
    <t>CA10237</t>
  </si>
  <si>
    <t>FAP4054/2</t>
  </si>
  <si>
    <t>30.266.00</t>
  </si>
  <si>
    <t>KIA: CERATO 1.6 (2005&gt;2006)</t>
  </si>
  <si>
    <t>C2676</t>
  </si>
  <si>
    <t>E1202L</t>
  </si>
  <si>
    <t>LX1030</t>
  </si>
  <si>
    <t>CA9329</t>
  </si>
  <si>
    <t>JFA0H10</t>
  </si>
  <si>
    <t>30.268.00</t>
  </si>
  <si>
    <t>LAND ROVER: DISCOVERY 4 3.0 24V V6 DIESEL (09/09-08/10), 3.0 24V V6 DIESEL (09/09-) E 3.0 24V V6 TDI (09/10-)</t>
  </si>
  <si>
    <t>C31196</t>
  </si>
  <si>
    <t>E531L</t>
  </si>
  <si>
    <t>LX1764</t>
  </si>
  <si>
    <t>CA9993</t>
  </si>
  <si>
    <t>FAP9023</t>
  </si>
  <si>
    <t>30.269.00</t>
  </si>
  <si>
    <t>SUZUKI: Jimny Wide 1.3 16V (1999-2003); Jimny Wide Nacional 1.3 16V (2009- &gt;)</t>
  </si>
  <si>
    <t>Suzuki: 1378081A00; 1378082A00</t>
  </si>
  <si>
    <t>C2074</t>
  </si>
  <si>
    <t>E1052L</t>
  </si>
  <si>
    <t>LX1082</t>
  </si>
  <si>
    <t>ARL8823</t>
  </si>
  <si>
    <t>CA9728</t>
  </si>
  <si>
    <t>JFA0815</t>
  </si>
  <si>
    <t>30.275.00</t>
  </si>
  <si>
    <t>FIAT: 500 (LOUNGE; SPORT) 1.4 16V GAS. (09-)</t>
  </si>
  <si>
    <t>C2136/1</t>
  </si>
  <si>
    <t>E693L</t>
  </si>
  <si>
    <t>LX3696</t>
  </si>
  <si>
    <t>ARL4140</t>
  </si>
  <si>
    <t>HLP4140</t>
  </si>
  <si>
    <t>CA8208</t>
  </si>
  <si>
    <t>JFA0587</t>
  </si>
  <si>
    <t>30.280.00</t>
  </si>
  <si>
    <t>HYUNDAI: TUCSON 2.0 16V  GL 2WD DOHC; 2.7 24V  GLS 4WD DOHC / KIA: SPORTAGE 2.0 16V (05-); 2.7 V6 (05-)</t>
  </si>
  <si>
    <t>C2631</t>
  </si>
  <si>
    <t>E1044L</t>
  </si>
  <si>
    <t>LX1785</t>
  </si>
  <si>
    <t>ARL2331</t>
  </si>
  <si>
    <t>HLP2331</t>
  </si>
  <si>
    <t>CA10086</t>
  </si>
  <si>
    <t>JFA0H12</t>
  </si>
  <si>
    <t>30.281.00</t>
  </si>
  <si>
    <t>JEEP: CHEROKEE 3.7 V6 (2002&gt;2009), COMMANDER HEMI 5.7 V8 (2006&gt;...), GRAND CHEROKEE 4.7 V8/5.7 V8/6.1 V8 (2005&gt;2010), LIBERTY 3.7 V6 (2001&gt;2002)</t>
  </si>
  <si>
    <t>C2975</t>
  </si>
  <si>
    <t>E1219L</t>
  </si>
  <si>
    <t>LX1662</t>
  </si>
  <si>
    <t>ARL5306</t>
  </si>
  <si>
    <t>CA8817</t>
  </si>
  <si>
    <t>FAP2844</t>
  </si>
  <si>
    <t>30.284.00</t>
  </si>
  <si>
    <t>JEEP: GRAND CHEROKKE 4.0L (01/93-) ; 4.7 V8 (04/99-06/00); 5.2 V8 (01/93-&gt;); 5.9 V8 (01/93-01/98) (988 9827 146)</t>
  </si>
  <si>
    <t>C30116</t>
  </si>
  <si>
    <t>E581L</t>
  </si>
  <si>
    <t>LX3951</t>
  </si>
  <si>
    <t>CA7440</t>
  </si>
  <si>
    <t>JFA0985</t>
  </si>
  <si>
    <t>30.288.00</t>
  </si>
  <si>
    <t>TOYOTA: RAV4 1.8 16V (2001&gt;2005)</t>
  </si>
  <si>
    <t>C3318</t>
  </si>
  <si>
    <t>E1220L</t>
  </si>
  <si>
    <t>LX1936</t>
  </si>
  <si>
    <t>CA9826</t>
  </si>
  <si>
    <t>JFA0276</t>
  </si>
  <si>
    <t>30.289.00</t>
  </si>
  <si>
    <t>TOYOTA: COROLLA/FIELDER 1.6 E 1.8 (02-&gt;)</t>
  </si>
  <si>
    <t>C2620</t>
  </si>
  <si>
    <t>E640L</t>
  </si>
  <si>
    <t>LX1286</t>
  </si>
  <si>
    <t>ARL2202</t>
  </si>
  <si>
    <t>HLP2202</t>
  </si>
  <si>
    <t>CA9482</t>
  </si>
  <si>
    <t>JFA0283</t>
  </si>
  <si>
    <t>30.293.00</t>
  </si>
  <si>
    <t>RENAULT: MASTER 2.5 2010&gt; - Nº ORIGINAL RENAULT: 8200505566</t>
  </si>
  <si>
    <t>C29168</t>
  </si>
  <si>
    <t>E746L</t>
  </si>
  <si>
    <t>LX1656</t>
  </si>
  <si>
    <t>ARL5139</t>
  </si>
  <si>
    <t>HLP5139</t>
  </si>
  <si>
    <t>CA9991</t>
  </si>
  <si>
    <t>FAP3271/3</t>
  </si>
  <si>
    <t>30.297.00</t>
  </si>
  <si>
    <t>FIAT: PUNTO 1.4 T-JET DE 2009&gt;; LINEA 1.4 16V T-JET DE 11/2008&gt;. - Nº ORIGINAL FIAT: 55184249</t>
  </si>
  <si>
    <t>51796537, 51830174, 55184249</t>
  </si>
  <si>
    <t>C21106</t>
  </si>
  <si>
    <t>E885L</t>
  </si>
  <si>
    <t>LX3701</t>
  </si>
  <si>
    <t>ARL4153</t>
  </si>
  <si>
    <t>CA9943</t>
  </si>
  <si>
    <t>FAP2833</t>
  </si>
  <si>
    <t>30.302.00</t>
  </si>
  <si>
    <t>RENAULT: CLIO 1.0 16V GAS (01/00-&gt;); 1.0 16V FLEX (01/06-); LOGAN 1.0 16V (06/07-); SANDERO 1.0 16V HI-FLEX (11/07-) / NISSAN: MARCH 1.0 16V (09/11-)</t>
  </si>
  <si>
    <t>C3366/1</t>
  </si>
  <si>
    <t>E820L</t>
  </si>
  <si>
    <t>LX1563</t>
  </si>
  <si>
    <t>ARL5138</t>
  </si>
  <si>
    <t>HLP5138</t>
  </si>
  <si>
    <t>CA10602</t>
  </si>
  <si>
    <t>FAP4872/1</t>
  </si>
  <si>
    <t>30.308.00</t>
  </si>
  <si>
    <t xml:space="preserve">KIA: Picanto 1.0 12V 64cv e 1.1 12V  65cv - 06-11; </t>
  </si>
  <si>
    <t>C2617</t>
  </si>
  <si>
    <t>E687L</t>
  </si>
  <si>
    <t>LX3733</t>
  </si>
  <si>
    <t>ARL2346</t>
  </si>
  <si>
    <t>HLP2346</t>
  </si>
  <si>
    <t>CA10683</t>
  </si>
  <si>
    <t>JFA0K11</t>
  </si>
  <si>
    <t>30.315.00</t>
  </si>
  <si>
    <t>AUDI: A3 TFSI 2.0 16V (2006&gt;2013), TT TFSI 2.0 16V (2006&gt;2010), VOLKSWAGEN: EOS TFSI 2.0 16V (2008&gt;...), PASSAT FSI 2.0 16V (2007&gt;...)</t>
  </si>
  <si>
    <t>06F133843A</t>
  </si>
  <si>
    <t>C41110</t>
  </si>
  <si>
    <t>E662L</t>
  </si>
  <si>
    <t>LX1262</t>
  </si>
  <si>
    <t>CA10256</t>
  </si>
  <si>
    <t>FAP9025</t>
  </si>
  <si>
    <t>30.316.00</t>
  </si>
  <si>
    <t>MINI: COOPER S 1.6 (2002&gt;2008)</t>
  </si>
  <si>
    <t>C2851</t>
  </si>
  <si>
    <t>E597L</t>
  </si>
  <si>
    <t>LX1269</t>
  </si>
  <si>
    <t>AP2412</t>
  </si>
  <si>
    <t>CA9806</t>
  </si>
  <si>
    <t>FAP2412</t>
  </si>
  <si>
    <t>30.317.00</t>
  </si>
  <si>
    <t>MINI: COOPER ONE 1.6 (2004&gt;2008)</t>
  </si>
  <si>
    <t>C2245</t>
  </si>
  <si>
    <t>E729L</t>
  </si>
  <si>
    <t>LX1213</t>
  </si>
  <si>
    <t>ART1792</t>
  </si>
  <si>
    <t>CA10164</t>
  </si>
  <si>
    <t>FAP9009</t>
  </si>
  <si>
    <t>30.318.00</t>
  </si>
  <si>
    <t>MERCEDES BENZ: CLASSE A200 2.0 (2006&gt;2010), CLASSE B170/B180 1.7 (2005&gt;...), CLASSE B200 2.0 TURBO (2006&gt;2011)</t>
  </si>
  <si>
    <t>C2287</t>
  </si>
  <si>
    <t>E612L</t>
  </si>
  <si>
    <t>LX1652</t>
  </si>
  <si>
    <t>CA10050</t>
  </si>
  <si>
    <t>FAP9017</t>
  </si>
  <si>
    <t>30.329.00</t>
  </si>
  <si>
    <t xml:space="preserve">AUDI: Q7 4.2,3.6, 3.0 2009&gt;; VOLKSWAGEN: TOUREG 3.6 2007&gt; N° ORIGINAL:  7L01129620 </t>
  </si>
  <si>
    <t>C39219</t>
  </si>
  <si>
    <t>E732L</t>
  </si>
  <si>
    <t>LX3729</t>
  </si>
  <si>
    <t>ARL6072</t>
  </si>
  <si>
    <t>CA10236</t>
  </si>
  <si>
    <t>FAP9032</t>
  </si>
  <si>
    <t>30.336.00</t>
  </si>
  <si>
    <t>HYUNDAI: COUPE 1.6/2.0/2.7 V6 (1996&gt;2003), ELANTRA GLS 1.6/1.8/2.0 (1995&gt;2004)</t>
  </si>
  <si>
    <t>C2679</t>
  </si>
  <si>
    <t>E814L</t>
  </si>
  <si>
    <t>LX790</t>
  </si>
  <si>
    <t>CA8162</t>
  </si>
  <si>
    <t>FAP3258</t>
  </si>
  <si>
    <t>30.339.00</t>
  </si>
  <si>
    <t>FIAT: 500 (LOUNGE; LOUNGE DUAL; SPORT; SPORT DUAL) 1.4 16V GAS. (09-)</t>
  </si>
  <si>
    <t>C3273</t>
  </si>
  <si>
    <t>E1197L</t>
  </si>
  <si>
    <t>LX3702</t>
  </si>
  <si>
    <t>CA10334</t>
  </si>
  <si>
    <t>FAP5307</t>
  </si>
  <si>
    <t>30.340.00</t>
  </si>
  <si>
    <t>MBB: SPRINTER I (901/902/903/904) 311,415,515 - OM 651 LA (11/12-)</t>
  </si>
  <si>
    <t>C4312</t>
  </si>
  <si>
    <t>E821L</t>
  </si>
  <si>
    <t>LX1845</t>
  </si>
  <si>
    <t>ARL3751</t>
  </si>
  <si>
    <t>HLP3751</t>
  </si>
  <si>
    <t>CA10330</t>
  </si>
  <si>
    <t>FAP9112</t>
  </si>
  <si>
    <t xml:space="preserve">AF26375 </t>
  </si>
  <si>
    <t xml:space="preserve">P614541 </t>
  </si>
  <si>
    <t>30.341.00</t>
  </si>
  <si>
    <t>VOLVO CARS: S60 2.0 T5 16V (11/10-); XC60 2.0 16V (05/14-)</t>
  </si>
  <si>
    <t>C35177</t>
  </si>
  <si>
    <t>E1000L</t>
  </si>
  <si>
    <t>LX1591/2</t>
  </si>
  <si>
    <t>CA10498</t>
  </si>
  <si>
    <t>FAP9276</t>
  </si>
  <si>
    <t>30.345.00</t>
  </si>
  <si>
    <t>MINI: COOPER 1.6 (2008&gt;...)</t>
  </si>
  <si>
    <t>C5082</t>
  </si>
  <si>
    <t>E851L</t>
  </si>
  <si>
    <t>LX1969</t>
  </si>
  <si>
    <t>CA10418</t>
  </si>
  <si>
    <t>FAP9012</t>
  </si>
  <si>
    <t>30.346.00</t>
  </si>
  <si>
    <t>MINI: Cooper 1.6 (2008 &gt;)</t>
  </si>
  <si>
    <t>MINI: 13717561235</t>
  </si>
  <si>
    <t>C37100</t>
  </si>
  <si>
    <t>E1172L</t>
  </si>
  <si>
    <t>ARL6708</t>
  </si>
  <si>
    <t>CA10693</t>
  </si>
  <si>
    <t>FAP9018/1</t>
  </si>
  <si>
    <t>30.352.00</t>
  </si>
  <si>
    <t>NISSAN: X-TRAIL 2.0 16V (2009&gt;...)</t>
  </si>
  <si>
    <t>C2433/1</t>
  </si>
  <si>
    <t>E1045L</t>
  </si>
  <si>
    <t>LX1983</t>
  </si>
  <si>
    <t>CA10654</t>
  </si>
  <si>
    <t>FAP9278</t>
  </si>
  <si>
    <t>30.357.00</t>
  </si>
  <si>
    <t>BMW: SÉRIE 1 (E81/E82/E87/E88) (2007&gt;2013), SÉRIE 3 (E90/E91/E92/E93) (2007&gt;2013), X1 (E84) (2009&gt;...)</t>
  </si>
  <si>
    <t>C30135</t>
  </si>
  <si>
    <t>E1004L</t>
  </si>
  <si>
    <t>LX1640</t>
  </si>
  <si>
    <t>CA10700</t>
  </si>
  <si>
    <t>30.362.00</t>
  </si>
  <si>
    <t>NISSAN: TIIDA  1.8 16V S / SL - MAN/AUT. FLEX (08/07-); GRAND LIVINA 1.8 16V / SL - MT/AT FLEX (06/09-); LIVINA 1.8 16V / SL FLEX (03/09-); LIVINA X-GEAR 1.8 16V SL AT FLEX (08/09-)</t>
  </si>
  <si>
    <t>C2420</t>
  </si>
  <si>
    <t>E521L</t>
  </si>
  <si>
    <t>LX1631</t>
  </si>
  <si>
    <t>ARL1654</t>
  </si>
  <si>
    <t>HLP1654</t>
  </si>
  <si>
    <t>CA10234</t>
  </si>
  <si>
    <t>JFA0134</t>
  </si>
  <si>
    <t>30.365.00</t>
  </si>
  <si>
    <t>AUDI: A4 1.8 16V (02/15-) E 2.0 TFSI (06/08-); A5 2.0 16V TFSI (06/08-); Q5 2.0 TFSI (09/09-)</t>
  </si>
  <si>
    <t>C32130</t>
  </si>
  <si>
    <t>E676L01</t>
  </si>
  <si>
    <t>LX2046</t>
  </si>
  <si>
    <t>ARL6081</t>
  </si>
  <si>
    <t>CA10522</t>
  </si>
  <si>
    <t>FAP9053</t>
  </si>
  <si>
    <t>30.368.00</t>
  </si>
  <si>
    <t>MINI: COOPER S TURBO 1.6 (2006&gt;...)</t>
  </si>
  <si>
    <t>C36002</t>
  </si>
  <si>
    <t>E1206L</t>
  </si>
  <si>
    <t>LX2023</t>
  </si>
  <si>
    <t>ARL6706</t>
  </si>
  <si>
    <t>CA10416</t>
  </si>
  <si>
    <t>FAP2416</t>
  </si>
  <si>
    <t>30.373.00</t>
  </si>
  <si>
    <t>MERCEDES-BENZ: ACTROS, ATEGO, AXOR 1996&gt;2003 EUROPEU</t>
  </si>
  <si>
    <t>C641500</t>
  </si>
  <si>
    <t>E315L01</t>
  </si>
  <si>
    <t>LX747</t>
  </si>
  <si>
    <t>AF25731</t>
  </si>
  <si>
    <t>P781349</t>
  </si>
  <si>
    <t>30.382.00</t>
  </si>
  <si>
    <t>KIA: Carnival 3.5 V6 (2012-2016); Carnival 3.8 V6 (2006-2012)</t>
  </si>
  <si>
    <t>KIA: 281134D000</t>
  </si>
  <si>
    <t>E1609L</t>
  </si>
  <si>
    <t>LX2640</t>
  </si>
  <si>
    <t>ARL4133</t>
  </si>
  <si>
    <t>CA102721</t>
  </si>
  <si>
    <t>JFA0K19</t>
  </si>
  <si>
    <t>30.390.00</t>
  </si>
  <si>
    <t>FORD: NEW FIESTA 1.6 16V SIGMA FLEX (10-) E 1.5 16V SIGMA FLEX (13-); NOVA ECOSPORT 1.6 16V SIGMA FLEX (13-)</t>
  </si>
  <si>
    <t>C17021/3</t>
  </si>
  <si>
    <t>E1019L</t>
  </si>
  <si>
    <t>LX3304</t>
  </si>
  <si>
    <t>ART9613</t>
  </si>
  <si>
    <t>HLT9613</t>
  </si>
  <si>
    <t>CA10997</t>
  </si>
  <si>
    <t>FAP9286</t>
  </si>
  <si>
    <t>30.395.00</t>
  </si>
  <si>
    <t>BMW: X3 (E83) (2008&gt;...)</t>
  </si>
  <si>
    <t>E1018L</t>
  </si>
  <si>
    <t>LX2067</t>
  </si>
  <si>
    <t>CA11210</t>
  </si>
  <si>
    <t>30.403.00</t>
  </si>
  <si>
    <t xml:space="preserve">HYUNDAI: SANTA FÉ 2.7 24V  GLS  DOHC </t>
  </si>
  <si>
    <t>C2735</t>
  </si>
  <si>
    <t>E1211L</t>
  </si>
  <si>
    <t>LX3509</t>
  </si>
  <si>
    <t>ARL2332</t>
  </si>
  <si>
    <t>CA10539</t>
  </si>
  <si>
    <t>JFA0H14</t>
  </si>
  <si>
    <t>30.407.00</t>
  </si>
  <si>
    <t>RENAULT: FLUENCE 2.0 16V (11-)</t>
  </si>
  <si>
    <t>C25115</t>
  </si>
  <si>
    <t>E1023L</t>
  </si>
  <si>
    <t>LX3838</t>
  </si>
  <si>
    <t>CA10651</t>
  </si>
  <si>
    <t>FAP9283</t>
  </si>
  <si>
    <t>30.417.00</t>
  </si>
  <si>
    <t>RENAULT: MEGANE SEDAN 2.0 16V GASOLINA (01/06-); MEGANE GRAND TOUR 2.0 16V GASOLINA (01/07-) F4R; DUSTER 2.0 16V HI-FLEX (10/11-); FLUENCE 2.0 16V HI-FLEX (10/11-) / NISSAN: SENTRA 2.0 GAS (07-09) E FLEX (09-)</t>
  </si>
  <si>
    <t>8200371661, 8200261781, 8200371663, 8200166615</t>
  </si>
  <si>
    <t>C2512</t>
  </si>
  <si>
    <t>E577L</t>
  </si>
  <si>
    <t>LX957/3</t>
  </si>
  <si>
    <t>ART5054</t>
  </si>
  <si>
    <t>HLT5054</t>
  </si>
  <si>
    <t>CA9754</t>
  </si>
  <si>
    <t>FAP7013</t>
  </si>
  <si>
    <t>30.451.00</t>
  </si>
  <si>
    <t>HONDA: CITY 1.5 16V SOHC I-VTEC - LX / EX / ELX FLEX (07/09-) / NEW FIT 1.4 E 1.5 FLEX (08/08-)</t>
  </si>
  <si>
    <t>C18004</t>
  </si>
  <si>
    <t>E523L</t>
  </si>
  <si>
    <t>LX3697</t>
  </si>
  <si>
    <t>ARL1035</t>
  </si>
  <si>
    <t>HLP1035</t>
  </si>
  <si>
    <t>CA10650</t>
  </si>
  <si>
    <t>JFA0428/3</t>
  </si>
  <si>
    <t>30.452.00</t>
  </si>
  <si>
    <t>TOYOTA: CAMRY 3.5 V6 (2007&gt;2011), RAV4 2.4 16V (2006&gt;2012) / LEXUS: ES350 3.5 V6 (2006&gt;...)</t>
  </si>
  <si>
    <t>C26003</t>
  </si>
  <si>
    <t>E1217L</t>
  </si>
  <si>
    <t>LX2681</t>
  </si>
  <si>
    <t>CA10169</t>
  </si>
  <si>
    <t>JFA0257</t>
  </si>
  <si>
    <t>30.454.00</t>
  </si>
  <si>
    <t>HYUNDAI: I30 2.0 16V DOHC - GLS 2WD GASOLINA (05/09-)</t>
  </si>
  <si>
    <t>C2029</t>
  </si>
  <si>
    <t>E1038L</t>
  </si>
  <si>
    <t>ARL2334</t>
  </si>
  <si>
    <t>HLP2334</t>
  </si>
  <si>
    <t>CA10470</t>
  </si>
  <si>
    <t>JFA0K21</t>
  </si>
  <si>
    <t>30.460.00</t>
  </si>
  <si>
    <t>GM: Tracker 2.0 16V- Gasolina (2001-2008); Tracker 2.0 - Diesel (2001-2004)  – SUZUKI: Grand Vitara 2.0 16V - Diesel (2003- &gt;); Grand Vitara 2.7 24V - Gasolina (2001- 2002); Grand Vitara 2.5 24V - Diesel (1998-2005); Grand Vitara 2.0 16V - Diesel (1998-2003)</t>
  </si>
  <si>
    <t>GM: 300250009
SUZUKI: 1378077E00</t>
  </si>
  <si>
    <t>C2337</t>
  </si>
  <si>
    <t>E756L</t>
  </si>
  <si>
    <t>LX862</t>
  </si>
  <si>
    <t>ARL8827</t>
  </si>
  <si>
    <t>HLP8827</t>
  </si>
  <si>
    <t>CA8069</t>
  </si>
  <si>
    <t>JFA0897</t>
  </si>
  <si>
    <t>30.466.00</t>
  </si>
  <si>
    <t>SMART: FORTWO 1.0</t>
  </si>
  <si>
    <t>C2716</t>
  </si>
  <si>
    <t>E1002L</t>
  </si>
  <si>
    <t>LX2034</t>
  </si>
  <si>
    <t>ARL8200</t>
  </si>
  <si>
    <t>CA10604</t>
  </si>
  <si>
    <t>FAP4018</t>
  </si>
  <si>
    <t>30.469.00</t>
  </si>
  <si>
    <t>KIA: SOUL 1.6 (09-)</t>
  </si>
  <si>
    <t>C26014</t>
  </si>
  <si>
    <t>E1047L</t>
  </si>
  <si>
    <t>ARL4148</t>
  </si>
  <si>
    <t>CA10699</t>
  </si>
  <si>
    <t>JFA0K22</t>
  </si>
  <si>
    <t>30.481.00</t>
  </si>
  <si>
    <t>JFA0193</t>
  </si>
  <si>
    <t>30.485.00</t>
  </si>
  <si>
    <t>MERCEDES-BENZ: C-63 AMG  4.0L V8 (2014 - 2020); GLC 63 AMG  4.0L V8 (2017 -&gt;)</t>
  </si>
  <si>
    <t>A1770940004</t>
  </si>
  <si>
    <t>C29048</t>
  </si>
  <si>
    <t>30.497.00</t>
  </si>
  <si>
    <t>HONDA: FIT 1.5 8V (03-&gt;) GASOLINA</t>
  </si>
  <si>
    <t>C1724</t>
  </si>
  <si>
    <t>E1173L</t>
  </si>
  <si>
    <t>LX3785</t>
  </si>
  <si>
    <t>ARL1036</t>
  </si>
  <si>
    <t>HLP1036</t>
  </si>
  <si>
    <t>CA10833</t>
  </si>
  <si>
    <t>JFA0428/2</t>
  </si>
  <si>
    <t>30.505.00</t>
  </si>
  <si>
    <t xml:space="preserve">TOYOTA: LAND CRUISER 3.0 2004&gt; E FJ CRUISER 4.0 2008 A 2011 N° ORIGINAL:1780130040 </t>
  </si>
  <si>
    <t>C32005</t>
  </si>
  <si>
    <t>E1242L</t>
  </si>
  <si>
    <t>ARL2205</t>
  </si>
  <si>
    <t>CA8918</t>
  </si>
  <si>
    <t>JFA0251</t>
  </si>
  <si>
    <t>30.506.00</t>
  </si>
  <si>
    <t>MITSUBISHI: L200 TRITON 3.2 16V DOHC DIESEL 12/07-&gt;; 3.5 V6 24V SOHC GASOLINA 07-&gt;, FLEX 11-&gt;, PAJERO DAKAR 3.2 16V DOHC DIESEL (07/09-)</t>
  </si>
  <si>
    <t>C24011</t>
  </si>
  <si>
    <t>E1243L</t>
  </si>
  <si>
    <t>LX3713</t>
  </si>
  <si>
    <t>ARL4141</t>
  </si>
  <si>
    <t>HLP4141</t>
  </si>
  <si>
    <t>CA10355</t>
  </si>
  <si>
    <t>JFA0500</t>
  </si>
  <si>
    <t>AF26543</t>
  </si>
  <si>
    <t>P506010</t>
  </si>
  <si>
    <t>30.509.00</t>
  </si>
  <si>
    <t>AUDI: A1 1.8 TFSI (2015&gt;2018)</t>
  </si>
  <si>
    <t>6C0129620</t>
  </si>
  <si>
    <t>C29029</t>
  </si>
  <si>
    <t>E1303L</t>
  </si>
  <si>
    <t>LX4244</t>
  </si>
  <si>
    <t>FAP4825</t>
  </si>
  <si>
    <t>30.512.00</t>
  </si>
  <si>
    <t>VOLKSWAGEN: AMAROK 2.0 16V HIGHLINE TDI BITURBO (2010-)</t>
  </si>
  <si>
    <t>C31003/1</t>
  </si>
  <si>
    <t>E1057L</t>
  </si>
  <si>
    <t>LX3234</t>
  </si>
  <si>
    <t>ARL6070</t>
  </si>
  <si>
    <t>HLP6070</t>
  </si>
  <si>
    <t>CA10697</t>
  </si>
  <si>
    <t>FAP4046/1</t>
  </si>
  <si>
    <t>30.531.00</t>
  </si>
  <si>
    <t>MERCEDES BENZ: C230 2.5 V6 (2006-2007); C240 2.4 V6 (2000-2005); C300 3.0 V6 (2009-2011); C320 3.2 V6 (2001-2005); C350 3.5 V6 (2006-210); C55 5.5 V8 (2005-2006); CL500 5.6 V8 (2000-2010); CLK500 3.5 V6 (2006-2009); CLK500 5.0 V8 (2003-2008); E240 (2002-2005); E320 (2002-2005); E350 3.5 V6(2004-2009); E500 5.0 V8 (2006-2009); GLK280 3.0 V6 (2008-2009)</t>
  </si>
  <si>
    <t>MERCEDES BENZ: A1120940004; A2730940204; A1120940604</t>
  </si>
  <si>
    <t>C36982</t>
  </si>
  <si>
    <t>E455L012</t>
  </si>
  <si>
    <t>LX804/S</t>
  </si>
  <si>
    <t>ARL1120</t>
  </si>
  <si>
    <t>HLP1120</t>
  </si>
  <si>
    <t>CA8768-2</t>
  </si>
  <si>
    <t>FAP4052</t>
  </si>
  <si>
    <t>30.532.00</t>
  </si>
  <si>
    <t>AUDI: A3 1.8 16V TFSI GAS. (01/12-) E 2.0 TFSI GAS. (11/15-)</t>
  </si>
  <si>
    <t>C30005</t>
  </si>
  <si>
    <t>E1090L</t>
  </si>
  <si>
    <t>ARL6077</t>
  </si>
  <si>
    <t>HLP6077</t>
  </si>
  <si>
    <t>CA11499</t>
  </si>
  <si>
    <t>FAP9065</t>
  </si>
  <si>
    <t>30.533.00</t>
  </si>
  <si>
    <t>MITSUBISHI: OUTLANDER 2.4 24V GAS. (09-) E 3.0 24V GAS. (07-)</t>
  </si>
  <si>
    <t>C27003</t>
  </si>
  <si>
    <t>LX3695</t>
  </si>
  <si>
    <t>ARL4144</t>
  </si>
  <si>
    <t>HLP4144</t>
  </si>
  <si>
    <t>CA10525</t>
  </si>
  <si>
    <t>JFA0509</t>
  </si>
  <si>
    <t>30.549.00</t>
  </si>
  <si>
    <t>AUDI: A3 1.4 TFSI GAS. (04/14-); GOLF 1.4 16V TSI GAS.(10/13-)</t>
  </si>
  <si>
    <t>04E129620</t>
  </si>
  <si>
    <t>C27009</t>
  </si>
  <si>
    <t>E1105L</t>
  </si>
  <si>
    <t>ARL6074</t>
  </si>
  <si>
    <t>HLP6074</t>
  </si>
  <si>
    <t>CA11503</t>
  </si>
  <si>
    <t>FAP3285</t>
  </si>
  <si>
    <t>30.554.00</t>
  </si>
  <si>
    <t>TOYOTA: NEW COROLLA  1.8 FLEX/GASOLINA (08-)</t>
  </si>
  <si>
    <t>C24005</t>
  </si>
  <si>
    <t>E895L</t>
  </si>
  <si>
    <t>LX3703</t>
  </si>
  <si>
    <t>ARL2203</t>
  </si>
  <si>
    <t>HLP2203</t>
  </si>
  <si>
    <t>CA10190</t>
  </si>
  <si>
    <t>JFA0285</t>
  </si>
  <si>
    <t>30.555.00</t>
  </si>
  <si>
    <t>LAND ROVER: FREELANDER 2.2 16V ED4 TDI (09/10-) E 2.2 16V SD4 DIESEL (09/10-)</t>
  </si>
  <si>
    <t>C28155</t>
  </si>
  <si>
    <t>E1218L</t>
  </si>
  <si>
    <t>ARL5816</t>
  </si>
  <si>
    <t>HLP5816</t>
  </si>
  <si>
    <t>CA10432</t>
  </si>
  <si>
    <t>FAP4845</t>
  </si>
  <si>
    <t>30.556.00</t>
  </si>
  <si>
    <t>RENAULT: MASTER 2.3 16V (03/12-)</t>
  </si>
  <si>
    <t>C30011</t>
  </si>
  <si>
    <t>E1053L</t>
  </si>
  <si>
    <t>ARL5140</t>
  </si>
  <si>
    <t>HLP5140</t>
  </si>
  <si>
    <t>CA11073</t>
  </si>
  <si>
    <t>FAP3271/4</t>
  </si>
  <si>
    <t>30.557.00</t>
  </si>
  <si>
    <t>BMW: SÉRIE 5 (F10/F11) 2.0 (2012&gt;...), X1 20I (E84) (2012&gt;2015), Z4 20I (E89) (2009&gt;...)</t>
  </si>
  <si>
    <t>C27125</t>
  </si>
  <si>
    <t>E1058L</t>
  </si>
  <si>
    <t>LX2108</t>
  </si>
  <si>
    <t>ART6704</t>
  </si>
  <si>
    <t>CA11441</t>
  </si>
  <si>
    <t>FAP9285</t>
  </si>
  <si>
    <t>30.558.00</t>
  </si>
  <si>
    <t>BMW: SÉRIE 1 118I 1.6 16V GAS. (09/11-); 125I (03/15-); SÉRIE 3 316I 1.6 16V GAS. (12/13-); 320I 2.0 16V FLEX (03/12-); 328I XDRIVE 2.0 16V GAS. (07/12-); 328I 2.0 16V GAS. (07/12-); 320I GT SPORT GAS. (07/12-)</t>
  </si>
  <si>
    <t>13717630911, 13718507320</t>
  </si>
  <si>
    <t>C24025</t>
  </si>
  <si>
    <t>E1079L</t>
  </si>
  <si>
    <t>ARL7320</t>
  </si>
  <si>
    <t>FAP9066</t>
  </si>
  <si>
    <t>30.559.00</t>
  </si>
  <si>
    <t>LAND ROVER: FREELANDER 2.0 16V GAS. (08/12-); RANGE ROVER EVOQUE 2.0 16V GAS. (09/11-)</t>
  </si>
  <si>
    <t>C29006</t>
  </si>
  <si>
    <t>E1140L</t>
  </si>
  <si>
    <t>LX3246</t>
  </si>
  <si>
    <t>ARL2900</t>
  </si>
  <si>
    <t>HLP2900</t>
  </si>
  <si>
    <t>FAP9287</t>
  </si>
  <si>
    <t>30.569.00</t>
  </si>
  <si>
    <t>GM: COBALT 1.4 8V FLEX (11-); 1.8 8V FLEX (08/12-); SONIC 1.6 16V FLEX (05/12-) E SPIN 1.8 8V ECONOFLEX (06/12-)</t>
  </si>
  <si>
    <t>C24028/1</t>
  </si>
  <si>
    <t>E1087L</t>
  </si>
  <si>
    <t>LX3488</t>
  </si>
  <si>
    <t>ARL8829</t>
  </si>
  <si>
    <t>HLP8829</t>
  </si>
  <si>
    <t>CA11222</t>
  </si>
  <si>
    <t>FAP3269</t>
  </si>
  <si>
    <t>30.574.00</t>
  </si>
  <si>
    <t>KIA/HYUNDAI: SPORTAGE 2.0 16V (10-) / IX35 2.0 16V (10-)</t>
  </si>
  <si>
    <t>C26013</t>
  </si>
  <si>
    <t>E1088L</t>
  </si>
  <si>
    <t>ARL2337</t>
  </si>
  <si>
    <t>HLP2337</t>
  </si>
  <si>
    <t>CA10889</t>
  </si>
  <si>
    <t>JFA0H21</t>
  </si>
  <si>
    <t>30.575.00</t>
  </si>
  <si>
    <t>MERCEDES BENZ: Classe SLK 200 e SLK 230;</t>
  </si>
  <si>
    <t>6040940904; 6040941004;</t>
  </si>
  <si>
    <t>C24106</t>
  </si>
  <si>
    <t>E318L</t>
  </si>
  <si>
    <t>LX539</t>
  </si>
  <si>
    <t>CA8889</t>
  </si>
  <si>
    <t>FAP3612</t>
  </si>
  <si>
    <t>30.594.00</t>
  </si>
  <si>
    <t xml:space="preserve">KIA: SOUL 1.6 2013&gt; E HYUNDAI: VELOSTER 1.6 2011 A 2014 N° ORIGINAL:  281131R100 </t>
  </si>
  <si>
    <t>281131R100</t>
  </si>
  <si>
    <t>C25016</t>
  </si>
  <si>
    <t>E1137L</t>
  </si>
  <si>
    <t>ARL2342</t>
  </si>
  <si>
    <t>HLP2342</t>
  </si>
  <si>
    <t>JFA0H27</t>
  </si>
  <si>
    <t>30.597.00</t>
  </si>
  <si>
    <t>BMW: X3 18I N20 B16A (04/14-); 2.0 16V X3 XDRIVE N20 B20A (10/14-); 28I 2.0 16V GAS. N20 B20A (04/12-); X4 2.0 16V GAS. N20 B20A  (02/15-)</t>
  </si>
  <si>
    <t>C30013</t>
  </si>
  <si>
    <t>E1081L</t>
  </si>
  <si>
    <t>LX1991</t>
  </si>
  <si>
    <t>CA11422</t>
  </si>
  <si>
    <t>FAP9067</t>
  </si>
  <si>
    <t>30.601.00</t>
  </si>
  <si>
    <t xml:space="preserve">CITROËN: C4 AIRCROSS 1.8 (2012&gt;...) / MITSUBISHI: ASX 1.8/2.2 (2010&gt;...) ECLIPSE CROSS 2.2 (2018&gt;...), LANCER VIII 1.8 DI-D (2010&gt;...) OUTLANDER II 2.2 DI-D (2012&gt;...) / PEUGEOT: 4008 1.8 HDI (2012&gt;...) </t>
  </si>
  <si>
    <t>C26015</t>
  </si>
  <si>
    <t>E1134L</t>
  </si>
  <si>
    <t>LX812</t>
  </si>
  <si>
    <t>CA6690</t>
  </si>
  <si>
    <t>JFA0299</t>
  </si>
  <si>
    <t>30.603.00</t>
  </si>
  <si>
    <t>Toyota: Corolla cross 1.8 4cil. (2022 &gt;); Corolla cross 2.0 16V (2022 &gt;); Corolla 1.8 16V (2019  &gt;); Prius 16V (2016 &gt;)</t>
  </si>
  <si>
    <t>Toyota: 1780121060, 178010M030, 178010M040, 1780124060</t>
  </si>
  <si>
    <t>C17008</t>
  </si>
  <si>
    <t>E1222L</t>
  </si>
  <si>
    <t>LX3536</t>
  </si>
  <si>
    <t>ARL2211</t>
  </si>
  <si>
    <t>HLP2211</t>
  </si>
  <si>
    <t>CA11742</t>
  </si>
  <si>
    <t>FAP4042</t>
  </si>
  <si>
    <t>30.609.00</t>
  </si>
  <si>
    <t>GM: TRACKER 1.8 16 V FLEX (14-)</t>
  </si>
  <si>
    <t>C24012</t>
  </si>
  <si>
    <t>E1133L</t>
  </si>
  <si>
    <t>ARL8877</t>
  </si>
  <si>
    <t>HLP8877</t>
  </si>
  <si>
    <t>CA11501</t>
  </si>
  <si>
    <t>FAP3270</t>
  </si>
  <si>
    <t>30.615.00</t>
  </si>
  <si>
    <t>SUBARU: FORESTER XT 2.0 (2014&gt;...), IMPREZA 1.5/2.0 (2007&gt;...), IMPREZA TURBO 2.5 (2007&gt;...), LEGACY 2.5 (2010&gt;...), OUTBACK 2.5/3.6 V6 (2003&gt;...), TRIBECA 3.6 V6 (2008&gt;2011), XV 2.0 (2012&gt;...)</t>
  </si>
  <si>
    <t>C2201</t>
  </si>
  <si>
    <t>E522L</t>
  </si>
  <si>
    <t>LX2672</t>
  </si>
  <si>
    <t>CA9997</t>
  </si>
  <si>
    <t>JFA0714</t>
  </si>
  <si>
    <t>30.618.00</t>
  </si>
  <si>
    <t>HONDA: CR-V 2.0 16V GASOLINA VTEC (01/07-12/11)</t>
  </si>
  <si>
    <t>17220RZPG00</t>
  </si>
  <si>
    <t>C26021</t>
  </si>
  <si>
    <t>E1209L</t>
  </si>
  <si>
    <t>ARL1039</t>
  </si>
  <si>
    <t>HLP1039</t>
  </si>
  <si>
    <t>CA10911</t>
  </si>
  <si>
    <t>JFA0433</t>
  </si>
  <si>
    <t>30.621.00</t>
  </si>
  <si>
    <t>BMW: SERIE 2 2014&gt;... ; X1 2015&gt;...</t>
  </si>
  <si>
    <t>C22017; C22018</t>
  </si>
  <si>
    <t>E526L</t>
  </si>
  <si>
    <t>LX4059</t>
  </si>
  <si>
    <t>ART6701</t>
  </si>
  <si>
    <t>CA11860</t>
  </si>
  <si>
    <t>FAP9298</t>
  </si>
  <si>
    <t>30.622.00</t>
  </si>
  <si>
    <t>BMW: X1; X1 20i; X1 25i; X2;</t>
  </si>
  <si>
    <t>13717619267; 13718513944;</t>
  </si>
  <si>
    <t>C22018</t>
  </si>
  <si>
    <t>HLT6701</t>
  </si>
  <si>
    <t>30.630.00</t>
  </si>
  <si>
    <t>IVECO: Daily 30130 2.3 FPT 130cv (2020 - &gt;); Daily 35150 3.0 FPT 146cv (2020 - &gt;); Daily 45170 3.0 FPT 170cv (2020 - &gt;); Daily 55170 3.0 FPT 170cv (2020 - &gt;); Daily 65170 3.0 FPT 170cv (2020 - &gt;).</t>
  </si>
  <si>
    <t>IVECO: 5801317097</t>
  </si>
  <si>
    <t>C40002</t>
  </si>
  <si>
    <t>E1516L</t>
  </si>
  <si>
    <t>CA11874</t>
  </si>
  <si>
    <t>FAP7002</t>
  </si>
  <si>
    <t>30.632.00</t>
  </si>
  <si>
    <t>HYUNDAI: HB 20 1.0</t>
  </si>
  <si>
    <t>281131Y100, 2811304000</t>
  </si>
  <si>
    <t>C22015</t>
  </si>
  <si>
    <t>E1214L</t>
  </si>
  <si>
    <t>ARL2338</t>
  </si>
  <si>
    <t>HLP2338</t>
  </si>
  <si>
    <t>CA11432</t>
  </si>
  <si>
    <t>JFA0K16</t>
  </si>
  <si>
    <t>30.635.00</t>
  </si>
  <si>
    <t>HYUNDAI: ELANTRA 2.0 16V FLEX (06/13-); I30 1.6 16V FLEX (02/13-) / KIA: CERATO 1.6 16V FLEX (01/13-)</t>
  </si>
  <si>
    <t>281133X000</t>
  </si>
  <si>
    <t>C26022</t>
  </si>
  <si>
    <t>ARL2341</t>
  </si>
  <si>
    <t>HLP2341</t>
  </si>
  <si>
    <t>JFA0H26</t>
  </si>
  <si>
    <t>30.648.00</t>
  </si>
  <si>
    <t>C24017</t>
  </si>
  <si>
    <t>E1289L</t>
  </si>
  <si>
    <t>LX3987</t>
  </si>
  <si>
    <t>CA12034</t>
  </si>
  <si>
    <t>FAP4058</t>
  </si>
  <si>
    <t>30.655.00</t>
  </si>
  <si>
    <t>BMW: X5 30D 3.0 2015&gt; BMW: X5 50D 3.0 2015&gt;</t>
  </si>
  <si>
    <t>C37009</t>
  </si>
  <si>
    <t>E1071L</t>
  </si>
  <si>
    <t>LX2796/1</t>
  </si>
  <si>
    <t>CA11708</t>
  </si>
  <si>
    <t>FAP2417</t>
  </si>
  <si>
    <t>30.657.00</t>
  </si>
  <si>
    <t>AUDI: S3 TFSI 2.0 (2007&gt;2012)</t>
  </si>
  <si>
    <t>C41002</t>
  </si>
  <si>
    <t>E1141L</t>
  </si>
  <si>
    <t>LX1751</t>
  </si>
  <si>
    <t>FAP9071</t>
  </si>
  <si>
    <t>30.677.00</t>
  </si>
  <si>
    <t>JEEP: RENEGADE 1.8 16V FLEX (04/15-)</t>
  </si>
  <si>
    <t>C21002</t>
  </si>
  <si>
    <t>E1347L</t>
  </si>
  <si>
    <t>ARL4157</t>
  </si>
  <si>
    <t>HLP4157</t>
  </si>
  <si>
    <t>JFA0998</t>
  </si>
  <si>
    <t>30.686.00</t>
  </si>
  <si>
    <t>VOLVO: XC60 Turbo (T6 / T6R Disigne) 3.0 - 285cv - 2008-&gt;;</t>
  </si>
  <si>
    <t>E1353L</t>
  </si>
  <si>
    <t>LX1593/2</t>
  </si>
  <si>
    <t>ART6705</t>
  </si>
  <si>
    <t>CA10500</t>
  </si>
  <si>
    <t>FAP9275</t>
  </si>
  <si>
    <t>30.687.00</t>
  </si>
  <si>
    <t>C2030</t>
  </si>
  <si>
    <t>E1275L</t>
  </si>
  <si>
    <t>ARL5143</t>
  </si>
  <si>
    <t>HLP5143</t>
  </si>
  <si>
    <t>CA10760</t>
  </si>
  <si>
    <t>FAP9284</t>
  </si>
  <si>
    <t>30.709.00</t>
  </si>
  <si>
    <t>MITSUBISHI: ASX 2.0 16V 2010&gt;...; LANCER 2.0 16V 2011&gt;...; 2.0 16V TURBO 2011&gt;...; OUTLANDER 2.0 16V GAS. 2011&gt;...;  3.0 24V 2013&gt;...</t>
  </si>
  <si>
    <t>1500A513; CD150293; MR968274;</t>
  </si>
  <si>
    <t>C25654</t>
  </si>
  <si>
    <t>E1314L</t>
  </si>
  <si>
    <t>ARL9682</t>
  </si>
  <si>
    <t>JFA0584</t>
  </si>
  <si>
    <t>30.711.00</t>
  </si>
  <si>
    <t>BMW: X3 35 I 3.0 24V (01/12-); X5 35I 3.0 24V (06/14-); X6 35IX 3.0 24V GAS. (04/10-)</t>
  </si>
  <si>
    <t>C28125</t>
  </si>
  <si>
    <t>E1051L</t>
  </si>
  <si>
    <t>LX2525</t>
  </si>
  <si>
    <t>ARL7322</t>
  </si>
  <si>
    <t>CA11118</t>
  </si>
  <si>
    <t>FAP4819</t>
  </si>
  <si>
    <t>30.713.00</t>
  </si>
  <si>
    <t>VW: Novo Fox / Savaeiro 1.6 16V Flex (14-)</t>
  </si>
  <si>
    <t>C21014</t>
  </si>
  <si>
    <t>E1163L</t>
  </si>
  <si>
    <t>LX2876/1</t>
  </si>
  <si>
    <t>ARL6080</t>
  </si>
  <si>
    <t>HLP6080</t>
  </si>
  <si>
    <t>CA12104</t>
  </si>
  <si>
    <t>FAP2219</t>
  </si>
  <si>
    <t>30.723.00</t>
  </si>
  <si>
    <t>HYUNDAI: Santa fé 3.5 24V (2010-2013); Santa fé 2.4 V6 (2012- &gt;); Azera 3.0 24V (2012- &gt;) / KIAMOTORS: Cadenza 3.5 24V (2011-2016); Optima 2.4 16V (2012-2015); Soreto 3.5 24V (2011- &gt;); Soreto 2.4 V6 (2010-2015)</t>
  </si>
  <si>
    <t>HYUNDAI: 281132P100
KIA MOTORS: 281133S100</t>
  </si>
  <si>
    <t>C28010</t>
  </si>
  <si>
    <t>E1285L</t>
  </si>
  <si>
    <t>LX3716</t>
  </si>
  <si>
    <t>ARL2336</t>
  </si>
  <si>
    <t>HLP2336</t>
  </si>
  <si>
    <t>CA10881</t>
  </si>
  <si>
    <t>JFA0H24</t>
  </si>
  <si>
    <t>30.777.00</t>
  </si>
  <si>
    <t>BMW: Série 4 435i 3.0 (2014 &gt;); Série M M1 135i 3.0 (2013 &gt;); Série M M2 235i 3.0 (2014 &gt;); Série M M3 335i 3.0 (2014 &gt;)</t>
  </si>
  <si>
    <t>BMW: 13717602643</t>
  </si>
  <si>
    <t>C27026</t>
  </si>
  <si>
    <t>ARL7323</t>
  </si>
  <si>
    <t>CA11541</t>
  </si>
  <si>
    <t>FAP9068</t>
  </si>
  <si>
    <t>30.781.00</t>
  </si>
  <si>
    <t>TOYOTA: Etios 1.3 16V Flex X (05/16-); 1.5 16V Flex (05/16-) Yaris 1.3; 1.5</t>
  </si>
  <si>
    <t>C26135</t>
  </si>
  <si>
    <t>ARL2207</t>
  </si>
  <si>
    <t>HLP2207</t>
  </si>
  <si>
    <t>FAP4041</t>
  </si>
  <si>
    <t>30.788.00</t>
  </si>
  <si>
    <t>LEXUS: ES330 3.3 V6 24V 228cv - 05-06;</t>
  </si>
  <si>
    <t>C32003</t>
  </si>
  <si>
    <t>E1271L</t>
  </si>
  <si>
    <t>LX1612</t>
  </si>
  <si>
    <t>CA9360</t>
  </si>
  <si>
    <t>JFA0252</t>
  </si>
  <si>
    <t>30.864.00</t>
  </si>
  <si>
    <t>VOLKSWAGEN: Saveiro 1.6 8V (1984-1997)</t>
  </si>
  <si>
    <t>VOLKSWAGEN: 35133843; 69129620</t>
  </si>
  <si>
    <t>C34109</t>
  </si>
  <si>
    <t>E29L</t>
  </si>
  <si>
    <t>LX54</t>
  </si>
  <si>
    <t>PA4419</t>
  </si>
  <si>
    <t>FAP4803</t>
  </si>
  <si>
    <t>30.867.00</t>
  </si>
  <si>
    <t>FERRARI: 208 GTB Intercooler; 208 GTS Intercooler; 308 GTBi; 308 GTSi; 328 GTB; 328 GTS;</t>
  </si>
  <si>
    <t>30.914.02</t>
  </si>
  <si>
    <t>BMW: ( 13 72 1 707 050, 13 72 1 715 880, 13 72 1 715 881 )</t>
  </si>
  <si>
    <t>C26110</t>
  </si>
  <si>
    <t>E41L</t>
  </si>
  <si>
    <t>LX105</t>
  </si>
  <si>
    <t>CA4576</t>
  </si>
  <si>
    <t>FAP4817</t>
  </si>
  <si>
    <t>30.933.00</t>
  </si>
  <si>
    <t>CITRÖEN: BX 1.5, 1.6, 1.9, BX GTI 16V, EVASION 2.0L (1444-A4, 95618786, 96010991, 96019991.80) PEUGEOT: 405 1.6L, 1.9L, 405 1.9L 16V, 906 2.0L ( 1444-08, 1444-88, 1445-08 )</t>
  </si>
  <si>
    <t>C33156</t>
  </si>
  <si>
    <t>E338L</t>
  </si>
  <si>
    <t>LX572</t>
  </si>
  <si>
    <t>ARL8103</t>
  </si>
  <si>
    <t>HLP8103</t>
  </si>
  <si>
    <t>CA5111</t>
  </si>
  <si>
    <t>FAP4812</t>
  </si>
  <si>
    <t>30.935.00</t>
  </si>
  <si>
    <t>FIAT: Uno 1.6 8V (1995-1996); Tipo 1.6 (1996-1997); Tipo 2.0(1994-1995); Tempra 2.0 (1994-1997) / ALFA ROMEO: 146 2.0 (1995 -&gt;)</t>
  </si>
  <si>
    <t>C2571/1</t>
  </si>
  <si>
    <t>LX453</t>
  </si>
  <si>
    <t>ARL2506</t>
  </si>
  <si>
    <t>HLP2506</t>
  </si>
  <si>
    <t>CA5150</t>
  </si>
  <si>
    <t>FAP5301</t>
  </si>
  <si>
    <t>30.941.02</t>
  </si>
  <si>
    <t>FERRARI: 348 (1989&gt;1994), MONDIAL T 3.4 (1989&gt;1992)</t>
  </si>
  <si>
    <t>155871, 133180</t>
  </si>
  <si>
    <t>30.946.00</t>
  </si>
  <si>
    <t>AUDI: A6 1.9L, 2.0E, 2.6E, 2.8E, CABRIOLET 2.0E, 2.6E, 2.8E, COUPE 2.6E, 2.8E, AUDI 80 1.6E, 2.0E 85 KW, SPORT 16V, AUDI 100 2.0E, 2.3E, 2.6E V6, AUDI 200 QUATTRO 20V ( 191 129 620 ) / VOLKSWAGEN: GOLF GTI 1.8L RALLYE, PASSAT 1.6L, 1.8E, GT VR6 2.9E (191 129 620)</t>
  </si>
  <si>
    <t>C31152/1</t>
  </si>
  <si>
    <t>E152L</t>
  </si>
  <si>
    <t>LX296</t>
  </si>
  <si>
    <t>CA5301</t>
  </si>
  <si>
    <t>FAP4816</t>
  </si>
  <si>
    <t>30.973.00</t>
  </si>
  <si>
    <t>NISSAN: 200 SX, MÁXIMA, NX 100 GTI, PICK UP 2.4L, PRIMERA 2.0L, SERENA, SUNNY GTI (16546 V0100) SUBARU: IMPREZA, LEGACY, SVX 3.3L 24V ( 16546 AA020 )</t>
  </si>
  <si>
    <t>C2964</t>
  </si>
  <si>
    <t>E235L</t>
  </si>
  <si>
    <t>ARL1656</t>
  </si>
  <si>
    <t>HLP1656</t>
  </si>
  <si>
    <t>CA4309</t>
  </si>
  <si>
    <t>JFA0108</t>
  </si>
  <si>
    <t>AF4615</t>
  </si>
  <si>
    <t>P500063</t>
  </si>
  <si>
    <t>30.979.02</t>
  </si>
  <si>
    <t>FERRARI: 512 (1991&gt;1994)</t>
  </si>
  <si>
    <t>148718, 151564</t>
  </si>
  <si>
    <t>30.991.00</t>
  </si>
  <si>
    <t>BMW: 325I (E36); 328I T/ CABRIOLET 2.8; 520I (E39)</t>
  </si>
  <si>
    <t>C25114</t>
  </si>
  <si>
    <t>E173L</t>
  </si>
  <si>
    <t>LX343</t>
  </si>
  <si>
    <t>ARL7321</t>
  </si>
  <si>
    <t>CA5350</t>
  </si>
  <si>
    <t>FAP4830</t>
  </si>
  <si>
    <t>30.A38.00</t>
  </si>
  <si>
    <t>MB: A 200 STYLE (04/13-); CLA 200 1.6 16V GAS. (01/14-); GLA 200 1.6 16V GAS. (09/14-)</t>
  </si>
  <si>
    <t>C27004</t>
  </si>
  <si>
    <t>E1075L</t>
  </si>
  <si>
    <t>LX3477</t>
  </si>
  <si>
    <t>CA11411</t>
  </si>
  <si>
    <t>FAP9292</t>
  </si>
  <si>
    <t>30.A44.00</t>
  </si>
  <si>
    <t>BMW: 1 Série 3.0 24V Turbo (04/11-); 335i 3.0 24V (-02/10)</t>
  </si>
  <si>
    <t>BMW: 13717556961</t>
  </si>
  <si>
    <t>C36004</t>
  </si>
  <si>
    <t>E1186L</t>
  </si>
  <si>
    <t>ARL7324</t>
  </si>
  <si>
    <t>CA10676</t>
  </si>
  <si>
    <t>FAP2415</t>
  </si>
  <si>
    <t>30.A54.C0</t>
  </si>
  <si>
    <t>HONDA: Civic 2.0 16V - 155 cv (2013-2016); Civic 1.8 16V - 140 cv (2013- &gt;)</t>
  </si>
  <si>
    <t>HONDA: 17220R1AA01</t>
  </si>
  <si>
    <t>C2402</t>
  </si>
  <si>
    <t>E1235L</t>
  </si>
  <si>
    <t>LX4241</t>
  </si>
  <si>
    <t>ARL1037</t>
  </si>
  <si>
    <t>CA11113</t>
  </si>
  <si>
    <t>JFA0438</t>
  </si>
  <si>
    <t>30.A59.00</t>
  </si>
  <si>
    <t>NISSAN: Frontier 2.3 - 190 cv (2017- &gt;)</t>
  </si>
  <si>
    <t xml:space="preserve">165464JM1A </t>
  </si>
  <si>
    <t>C21001</t>
  </si>
  <si>
    <t>E1455L</t>
  </si>
  <si>
    <t>ARL1653</t>
  </si>
  <si>
    <t>HLP1653</t>
  </si>
  <si>
    <t>FAP8001</t>
  </si>
  <si>
    <t>30.A60.00</t>
  </si>
  <si>
    <t>MB: C 180 CGI 1.8 16V GAS. (01/09-04/12); C 200 CGI 1.8 16V GAS. (04/09-); C 250 CGI 1.8 16V GAS. (04/09-); SLK 200 CGI 1.8 16V GAS. (01/11-)</t>
  </si>
  <si>
    <t>C3210</t>
  </si>
  <si>
    <t>E1015L</t>
  </si>
  <si>
    <t>LX2813</t>
  </si>
  <si>
    <t>CA10878</t>
  </si>
  <si>
    <t>JFA0W07</t>
  </si>
  <si>
    <t>30.A61.00</t>
  </si>
  <si>
    <t>MB: C 180 1.6 16V GAS. (03/14-); C 200 (03/14-); C 250 (05/14-)</t>
  </si>
  <si>
    <t>C28004</t>
  </si>
  <si>
    <t>E1144L</t>
  </si>
  <si>
    <t>LX3811</t>
  </si>
  <si>
    <t>ARL1121</t>
  </si>
  <si>
    <t>CA11759</t>
  </si>
  <si>
    <t>FAP6016</t>
  </si>
  <si>
    <t>30.A63.00</t>
  </si>
  <si>
    <t>Land Rover: Discovery Sport 2.0 16V (2015 &gt;); Discovery 2.0 16V (2015 &gt;); Evougue 2.0 16V (2015 &gt;) / Jaguar: E-Pace 2.0 AWD (2018 &gt;)</t>
  </si>
  <si>
    <t>Land Rover: LR071942</t>
  </si>
  <si>
    <t>C28022</t>
  </si>
  <si>
    <t>E1446L</t>
  </si>
  <si>
    <t>ART6720</t>
  </si>
  <si>
    <t>CA12122</t>
  </si>
  <si>
    <t>FAP9294</t>
  </si>
  <si>
    <t>30.A67.00</t>
  </si>
  <si>
    <t>Mercedes Benz: Vito 1.6  (2016- &gt;); Vito 2.0 - 184 cv (2016- &gt;)</t>
  </si>
  <si>
    <t>MB: A6510900051</t>
  </si>
  <si>
    <t>C42002</t>
  </si>
  <si>
    <t>E1332L</t>
  </si>
  <si>
    <t>LX3031</t>
  </si>
  <si>
    <t>CA12035</t>
  </si>
  <si>
    <t>FAP69110</t>
  </si>
  <si>
    <t>30.A72.00</t>
  </si>
  <si>
    <t>MERCEDES BENZ: Classe C; Classe CLS; Classe GLK 300; Classe ML 350; Classe S 400; Classe SL 350; / LAND ROVER: Freelander II;</t>
  </si>
  <si>
    <t>2760940004; A2760940004;</t>
  </si>
  <si>
    <t>C43139</t>
  </si>
  <si>
    <t>E1040L</t>
  </si>
  <si>
    <t>LX3140</t>
  </si>
  <si>
    <t xml:space="preserve">CA11439 </t>
  </si>
  <si>
    <t>FAP4847</t>
  </si>
  <si>
    <t>30.B01.B0</t>
  </si>
  <si>
    <t>Azera (Sedan/ GLS) 3.3 V6 - 240cv - 2011--&gt;; Azera (Sedan/ GLS) 3.0 V6 - 240cv - 07-10;  Azera (Sedan/ GLS) 3.3 V6 - 240cv - 07-10; Sonata (GLS) 3.3 V6 24V - 235cv - 05-06;</t>
  </si>
  <si>
    <t>281133K200</t>
  </si>
  <si>
    <t>C23006</t>
  </si>
  <si>
    <t>LX3506</t>
  </si>
  <si>
    <t>ARL2333</t>
  </si>
  <si>
    <t>HLP2333</t>
  </si>
  <si>
    <t>CA10084</t>
  </si>
  <si>
    <t>JFA0H16</t>
  </si>
  <si>
    <t>30.B15.00</t>
  </si>
  <si>
    <t>AUDI: Q7 3.0 V6, 24V (2018- &gt;); Q8 3.0 V6 (2019- &gt;)</t>
  </si>
  <si>
    <t>AUDI: 4M0133843; 4M0133843C</t>
  </si>
  <si>
    <t>C38011</t>
  </si>
  <si>
    <t>E1338L</t>
  </si>
  <si>
    <t>LX3233/6</t>
  </si>
  <si>
    <t>JFA0A15</t>
  </si>
  <si>
    <t>30.B37.B0</t>
  </si>
  <si>
    <t>HYUNDAI: HB20 Turbo Flex (Confort Plus/ Style) 1.0 16V - 2016&gt;; HB20 Flex (Confort / Premium / S / SX) 1.6 16V - 2012&gt;;</t>
  </si>
  <si>
    <t>281131S100</t>
  </si>
  <si>
    <t xml:space="preserve">C23110 </t>
  </si>
  <si>
    <t>LX3452</t>
  </si>
  <si>
    <t>ARL2340</t>
  </si>
  <si>
    <t>HLP2340</t>
  </si>
  <si>
    <t>CA11721</t>
  </si>
  <si>
    <t xml:space="preserve">JFA0H29 </t>
  </si>
  <si>
    <t>30.B39.B0</t>
  </si>
  <si>
    <t xml:space="preserve">Vera Cruz (GLS) 3.8 V6 - 270cv - 2010--&gt;; Vera Cruz (GLS) 3.8 V6 - 270cv - 07-10; </t>
  </si>
  <si>
    <t>281133J100</t>
  </si>
  <si>
    <t>LX3691</t>
  </si>
  <si>
    <t>ARL2335</t>
  </si>
  <si>
    <t>HLP2335</t>
  </si>
  <si>
    <t>CA10540</t>
  </si>
  <si>
    <t>JFA0H17</t>
  </si>
  <si>
    <t>30.B40.B0</t>
  </si>
  <si>
    <t>FORD: RANGER 2.3 16V 2001&gt;...; EXPLORER 4.0 V6 12V 1997&gt;...</t>
  </si>
  <si>
    <t>2L2U9601AB; BFA1676;</t>
  </si>
  <si>
    <t>C23121/2</t>
  </si>
  <si>
    <t>LX1095</t>
  </si>
  <si>
    <t>ARL9606</t>
  </si>
  <si>
    <t>HLP9606</t>
  </si>
  <si>
    <t>CA8243</t>
  </si>
  <si>
    <t>FAP9002</t>
  </si>
  <si>
    <t>30.B48.B0</t>
  </si>
  <si>
    <t>FORD: Ranger (Sport / XL / XLT / XLS / CD / CS) 4.0 V6 12V - 162cv - 95-97; Ranger (XL / XLS / CD / CS) 3.0 V6 - 95-97; Ranger (XL / XLS / CD / CS) 2.3 V6 16V - 132cv - 95-97;</t>
  </si>
  <si>
    <t>F57X9601AA; F57Z9601A;</t>
  </si>
  <si>
    <t>C1761</t>
  </si>
  <si>
    <t>LX1937</t>
  </si>
  <si>
    <t>AR1068</t>
  </si>
  <si>
    <t>HL1068</t>
  </si>
  <si>
    <t>CA7774</t>
  </si>
  <si>
    <t>FAP9001</t>
  </si>
  <si>
    <t>30.B56.00</t>
  </si>
  <si>
    <t>MERCEDES BENZ: GLC 220D 2.0 (2019- &gt;)</t>
  </si>
  <si>
    <t>MERCEDES BENZ: 6540940004; A6540940004</t>
  </si>
  <si>
    <t>C45004</t>
  </si>
  <si>
    <t>E1359L</t>
  </si>
  <si>
    <t>LX3188/11</t>
  </si>
  <si>
    <t>CA12466</t>
  </si>
  <si>
    <t>FAP9307</t>
  </si>
  <si>
    <t>30.B58.B0</t>
  </si>
  <si>
    <t>DODGE: Journey 2.7 24V V6 Gasolina - EER 136kW 185cv - 08 - --&gt;; FIAT: Freemont (JC) 2.4 16V Gasolina - DUAL VVT / B 127kW 172cv - 11 - --&gt;;</t>
  </si>
  <si>
    <t>FIAT: 04891916AA; K04891916AA</t>
  </si>
  <si>
    <t>C24032</t>
  </si>
  <si>
    <t>LX3021; LX4366;</t>
  </si>
  <si>
    <t>ARL4156</t>
  </si>
  <si>
    <t>HLP4156</t>
  </si>
  <si>
    <t>CA10516</t>
  </si>
  <si>
    <t>JFA0987</t>
  </si>
  <si>
    <t>30.B59.B0</t>
  </si>
  <si>
    <t xml:space="preserve">HYUNDAI: HR 2.5 8V TCI - 05 - 12; </t>
  </si>
  <si>
    <t>281134F000</t>
  </si>
  <si>
    <t>C25010</t>
  </si>
  <si>
    <t>LX3236</t>
  </si>
  <si>
    <t>AR8113</t>
  </si>
  <si>
    <t>HL8113</t>
  </si>
  <si>
    <t>CA10564</t>
  </si>
  <si>
    <t>JFA0H13</t>
  </si>
  <si>
    <t>30.B60.B0</t>
  </si>
  <si>
    <t>FORD: Fusion auto. Gasolina - Duratec 2.3 - 06-08; Duratec 2.5 - 09-12; Hybrid gasolina auto. Atkison 2.5 - 2010-&gt;;</t>
  </si>
  <si>
    <t>6E5Z9601EA</t>
  </si>
  <si>
    <t>C2278</t>
  </si>
  <si>
    <t>LX2642</t>
  </si>
  <si>
    <t>ARL9602</t>
  </si>
  <si>
    <t>HLP9602</t>
  </si>
  <si>
    <t>CA10094</t>
  </si>
  <si>
    <t>FAP9004</t>
  </si>
  <si>
    <t>30.B63.00</t>
  </si>
  <si>
    <t>MERCEDES BENZ: Classe GLK 220 2.1 (2013-2015)</t>
  </si>
  <si>
    <t>Mercedes Benz: A6510940104</t>
  </si>
  <si>
    <t>C35005</t>
  </si>
  <si>
    <t>E1170L</t>
  </si>
  <si>
    <t>LX1833</t>
  </si>
  <si>
    <t>JFA0W06</t>
  </si>
  <si>
    <t>30.B86.00</t>
  </si>
  <si>
    <t>Toyota: Hilux SW4 2.8 16V (2022 &gt;);  Hilux 2.7 16V (2016 &gt;); Hilux 2.8 16V (2016 &gt;); Hilux 2.8 16V (2016 &gt;).</t>
  </si>
  <si>
    <t>Toyota: 178010L040</t>
  </si>
  <si>
    <t>C33017</t>
  </si>
  <si>
    <t>LX4368</t>
  </si>
  <si>
    <t>ARL2206</t>
  </si>
  <si>
    <t>HLP2206</t>
  </si>
  <si>
    <t>CA12055</t>
  </si>
  <si>
    <t>JFA0282</t>
  </si>
  <si>
    <t>AF4276</t>
  </si>
  <si>
    <t>30.C03.00</t>
  </si>
  <si>
    <t>LAND ROVER: Rand Rover Sport 4.4 V8 (2014- &gt;); Rand Rover Sport 5.0 V8 - 510 cv (2010- &gt;); Land Rover Vogue 4.4 - 313 cv (2011- &gt;); Land Rover Vogue 3.0 V6 - 258cv (2014- &gt;); Land Rover Vogue 5.0 V8 - 510 cv (2010- &gt;)</t>
  </si>
  <si>
    <t>LAND ROVER: LR011593</t>
  </si>
  <si>
    <t>C35126</t>
  </si>
  <si>
    <t>E1258L</t>
  </si>
  <si>
    <t>LX4397</t>
  </si>
  <si>
    <t>ARL5817</t>
  </si>
  <si>
    <t>30.C05.00</t>
  </si>
  <si>
    <t>TOYOTA: Corolla 2.0 16V - 177cv (2019- &gt;); Rav4 2.5L  16V - 222cv (2019- &gt;)</t>
  </si>
  <si>
    <t>TOYOTA: 178010T060; 1780177050</t>
  </si>
  <si>
    <t>C27063</t>
  </si>
  <si>
    <t>E1685L</t>
  </si>
  <si>
    <t>LX4529</t>
  </si>
  <si>
    <t>ARL2220</t>
  </si>
  <si>
    <t>HLP2220</t>
  </si>
  <si>
    <t>FAP4059</t>
  </si>
  <si>
    <t>30.C38.00</t>
  </si>
  <si>
    <t>LAND ROVER: Defender 110  2.0 300cv (2020 -&gt;)</t>
  </si>
  <si>
    <t>LAND ROVER: L8B29610AA; LR129322</t>
  </si>
  <si>
    <t>C35017</t>
  </si>
  <si>
    <t>FAP4878</t>
  </si>
  <si>
    <t>30.C61.00</t>
  </si>
  <si>
    <t>BMW (1 (F40)) 2019; 2 Gran Coupe (F44)) 2019; X2 (F39) 2017</t>
  </si>
  <si>
    <t>MB: 13718480400</t>
  </si>
  <si>
    <t>C29031</t>
  </si>
  <si>
    <t>E2207L</t>
  </si>
  <si>
    <t>30.C68.00</t>
  </si>
  <si>
    <t>MERCEDES BENZ: AMG C43 3.0 COUPÉ (2016 -&gt;); Classe GLE400 3.0 V6 - 333 cv(2016 -&gt;);Classe GLE 43 AMG 3.0 V6(2016 -&gt;);  GLC  3.0L (2017 -&gt;)</t>
  </si>
  <si>
    <t>MERCEDES BENZ: A2760940504</t>
  </si>
  <si>
    <t>C21020</t>
  </si>
  <si>
    <t>E1143L</t>
  </si>
  <si>
    <t>LX2841/7</t>
  </si>
  <si>
    <t>FAP4090-2</t>
  </si>
  <si>
    <t>30.C71.00</t>
  </si>
  <si>
    <t>SUZUKI: Jimny (GJ) 1.5 AllGrip (2018- &gt;)</t>
  </si>
  <si>
    <t>SUZUKI: 1378078R00</t>
  </si>
  <si>
    <t>30.C76.00</t>
  </si>
  <si>
    <t>LEXUS: ES IV 250 (2018- &gt;); ES IV 200 (2018- &gt;); ES IV 350 (2018- &gt;) / TOYOTA: Camry VIII 2.0 (2017- &gt;); Camry VIII 2.5 (2017- &gt;); Camry VIII 3.5 (2017- &gt;); Yaris IV 1.6 (2020- &gt;)</t>
  </si>
  <si>
    <t>TOYOTA: 17801F0050; 1780125020</t>
  </si>
  <si>
    <t>CA12377</t>
  </si>
  <si>
    <t>30.C97.00</t>
  </si>
  <si>
    <t>JOHN DEERE: 4045T; 4039D</t>
  </si>
  <si>
    <t>JOHN DEERE: AL177184; AL225552</t>
  </si>
  <si>
    <t>CU59161</t>
  </si>
  <si>
    <t>E5918LI</t>
  </si>
  <si>
    <t>ACP184</t>
  </si>
  <si>
    <t>AF26672</t>
  </si>
  <si>
    <t>P789129</t>
  </si>
  <si>
    <t>30.D14.00</t>
  </si>
  <si>
    <t>MERCEDES BENZ: AMG GT (X290) (2018- &gt;); E-Klasse (2017- &gt;); E-Klasse Cabrio  (2017- &gt;);  G-Klasse (W463) (2018- &gt;); GLE / GLS / GLE Coupe (2019- &gt;);  S-Klasse / S-Klasse Coupé / Cabrio (2017- &gt;).</t>
  </si>
  <si>
    <t>MERCEDES BENZ: 1770940000; A1770940000</t>
  </si>
  <si>
    <t>C30025</t>
  </si>
  <si>
    <t>LX4942</t>
  </si>
  <si>
    <t>30.D32.00</t>
  </si>
  <si>
    <t>FIAT: Fastback 1.0 - 130 cv (2022- &gt;); Pulse 1.0 Turbo - 130 cv (2021- &gt;)</t>
  </si>
  <si>
    <t>FIAT:  52079874; 68377762AA</t>
  </si>
  <si>
    <t>C27046</t>
  </si>
  <si>
    <t>CA12640</t>
  </si>
  <si>
    <t>FAP2835</t>
  </si>
  <si>
    <t>30.D33.00</t>
  </si>
  <si>
    <t>BMW: 330E M 2.0 - 184cv (2020- &gt;); 530E M 2.0 - 184cv (2020- &gt;); Série 3  2.0 - 184cv (2021- &gt;)</t>
  </si>
  <si>
    <t>BMW: 13718580428; 17801WAA02</t>
  </si>
  <si>
    <t>C28054</t>
  </si>
  <si>
    <t>E1778L</t>
  </si>
  <si>
    <t>LX3985/3</t>
  </si>
  <si>
    <t>FAP2421</t>
  </si>
  <si>
    <t>30.D43.00</t>
  </si>
  <si>
    <t>BMW 5 (F10/F11/F18) 518 d (F10/F11) (B47 D20A) 110kw 150cv 2014-2017
BMW 5 (F10/F11/F18) 520 d (F10/F11) (B47 D20) 140kw 190cv 2014-2017
BMW X3 (F25) 18 d (F25) (B47 D20A) 110kw 150cv 2014-2017
BMW X3 (F25) 20 dX (F25) (B47 D20) 140kw 190cv 2014-2017
BMW X4 (F26) 20 dX (F26) (B47 D20) 140kw 190cv 2014-2018
BMW X5 (F15, F85) 25d (F15) (B47D20A) 170kw 231cv 2015-2018</t>
  </si>
  <si>
    <t>BMW: 13718570043</t>
  </si>
  <si>
    <t>C34120</t>
  </si>
  <si>
    <t>E1171L</t>
  </si>
  <si>
    <t>LX4084</t>
  </si>
  <si>
    <t>CA11914</t>
  </si>
  <si>
    <t>30.D89.00</t>
  </si>
  <si>
    <t>Jeep Gladiator Rubicon - gasolina 3.6 V6 - 284 cv 2022+
Jeep Wrangler (Sport / Unlimited / Sahara) - gasolina - automático 3.8 V6 12V - 205 cv 11-13
Jeep Wrangler (Sport / Unlimited / Sahara) - gasolina - automático 3.8 V6 12V - 205 cv 07-11
Jeep Wrangler (Sport / Unlimited) - gasolina - automático 3.6 V6 12V - 284 cv 2012+
Jeep Wrangler (Sport / Unlimited) - gasolina - automático 3.6 V6 12V - 284 cv 12-13</t>
  </si>
  <si>
    <t>JEEP: 53034018AE</t>
  </si>
  <si>
    <t>ART1791</t>
  </si>
  <si>
    <t>CA10348</t>
  </si>
  <si>
    <t>30.D97.00</t>
  </si>
  <si>
    <t>JAGUAR: F-type 3.0 V6 - 380 cv (2015-&gt;); F-pace 2.0 - 180 cv (2017-&gt;); XE/XF 2.0 - 240 cv (2016-&gt;) /  LAND ROVER: Velar 2.0 - 300 cv (2018-&gt;)</t>
  </si>
  <si>
    <t>JAGUAR: GX739601; LR092258
LAND ROVER: GX739601BA</t>
  </si>
  <si>
    <t>C26042</t>
  </si>
  <si>
    <t>E1629L</t>
  </si>
  <si>
    <t>LX4335</t>
  </si>
  <si>
    <t>FAP9311</t>
  </si>
  <si>
    <t>30.D98.00</t>
  </si>
  <si>
    <t>JAGUAR: F-Pace 3.0 (09.15-&gt;); 3.0 D (09.15-&gt;); 5.0 SVR (08.18-&gt;); XE 3.0 S (03.15-&gt;); 5.0 (03.18-&gt;); XF, XF Sportbrake (X260) 3.0 (05.15-&gt;) / LAND ROVER: Range Rover Velar V6 3.0L FI Supercharged</t>
  </si>
  <si>
    <t>JAGUAR
0613872A
GX73-9601-AA
T4A6123</t>
  </si>
  <si>
    <t>C26041</t>
  </si>
  <si>
    <t>E1667L</t>
  </si>
  <si>
    <t>LX43351</t>
  </si>
  <si>
    <t>FAP9310</t>
  </si>
  <si>
    <t>31.027.00</t>
  </si>
  <si>
    <t>CATERIPLLAR:  304 / 305 / 307 = CAT: 1G7206</t>
  </si>
  <si>
    <t>CAT: 9Y4400; 3I1083</t>
  </si>
  <si>
    <t>WK31/4(10)</t>
  </si>
  <si>
    <t>P4174</t>
  </si>
  <si>
    <t>FF5705</t>
  </si>
  <si>
    <t>P550012</t>
  </si>
  <si>
    <t>31.500.00</t>
  </si>
  <si>
    <t>Elemento In-Line Do Combustível</t>
  </si>
  <si>
    <t>BOSCH: ( 0 450 905 139 ) /  FIAT: TEMPRA 16V ( 7 711 059 )  / FORD: ESCORT XR3, ROYALE, VERSAILLES / GM: MONZA MPFI, KADETT GSI, OMEGA, SUPREMA /  VOLKSWAGEN:  GOL GTI, SANTANA, QUANTUM ( 305 133 511-1 ) IMPORTADOS: BMW, CITRÖEN, RENAULT, PEUGEOT: 205 1.4; 405 1.</t>
  </si>
  <si>
    <t>WK830</t>
  </si>
  <si>
    <t>H80WK01</t>
  </si>
  <si>
    <t>KL2</t>
  </si>
  <si>
    <t>GI01/1</t>
  </si>
  <si>
    <t>FS01/1</t>
  </si>
  <si>
    <t>G3829</t>
  </si>
  <si>
    <t>FCI1105A</t>
  </si>
  <si>
    <t>FF5186</t>
  </si>
  <si>
    <t>31.502.00</t>
  </si>
  <si>
    <t>AUDI: A6, S6, COUPÊ 2.0L, AUDI 80, 90, 100, 200  /  VOLKSWAGEN: GOLF CABRIOLET 1.8E, GOLF GTI 16V  ( 4AO 133 511, 443 133 511, 447 133 511, 811 133 511-B, 857 133 511, 893 133 511 )</t>
  </si>
  <si>
    <t>WK834/1</t>
  </si>
  <si>
    <t>H84WK01</t>
  </si>
  <si>
    <t>KL28/KL30</t>
  </si>
  <si>
    <t>G3744</t>
  </si>
  <si>
    <t>FCI1104A</t>
  </si>
  <si>
    <t>31.504.00</t>
  </si>
  <si>
    <t>ALFA ROMEO: 155 / BUGATTI: EB110 / LAMBORGUINI: GALLARDO 5.0 V10 2003&gt;...</t>
  </si>
  <si>
    <t>31.505.00</t>
  </si>
  <si>
    <t>MB: 190E (88-93); 230E (88-93) Class C (93-94); Classe E 60 (94-95)</t>
  </si>
  <si>
    <t>MB: 24771901; 24771901; 24771901</t>
  </si>
  <si>
    <t>WK830/3</t>
  </si>
  <si>
    <t>H80WK04</t>
  </si>
  <si>
    <t>KL19</t>
  </si>
  <si>
    <t>G3736</t>
  </si>
  <si>
    <t>FCI1106A</t>
  </si>
  <si>
    <t>31.507.00</t>
  </si>
  <si>
    <t>WK834</t>
  </si>
  <si>
    <t>H84WK03</t>
  </si>
  <si>
    <t>KL88</t>
  </si>
  <si>
    <t>G6398</t>
  </si>
  <si>
    <t>FCI1104C</t>
  </si>
  <si>
    <t>31.508.00</t>
  </si>
  <si>
    <t>BMW: SÉRIE 3 (E30/E36) (1989&gt;1994), SÉRIE 5 (E34) (1992/1995), SÉRIE 7 (E32) (1987&gt;1994), SÉRIE 8 (E31) (1989&gt;1995)</t>
  </si>
  <si>
    <t>WK516</t>
  </si>
  <si>
    <t>H109WK</t>
  </si>
  <si>
    <t>KL35</t>
  </si>
  <si>
    <t>G6574</t>
  </si>
  <si>
    <t>FCI1731</t>
  </si>
  <si>
    <t>31.512.00</t>
  </si>
  <si>
    <t>GM: BLAZER 2.2 EFI 95-97, IPANEMA 1.8 EFI 91 -&gt;, IPANEMA 2.0 EFI 91-&gt;, KADETT 1.8 EFI 91-&gt;, KADETT 2.0 EFI 91-&gt;, MONZA 1.8 EFI 91-&gt;, MONZA 2.0 EFI 91-&gt;, S10 2.2 EFI 95-97. Nº ORIGINAL GM: 25121307. MESMA APLICAÇÃO DO GI02/1, PORÉM A CANECA É DE NYLON.</t>
  </si>
  <si>
    <t>WK613/1</t>
  </si>
  <si>
    <t>H153WK</t>
  </si>
  <si>
    <t>KL225/1</t>
  </si>
  <si>
    <t>GI02/2</t>
  </si>
  <si>
    <t>FS02/2</t>
  </si>
  <si>
    <t>G6400</t>
  </si>
  <si>
    <t>FCI1101A</t>
  </si>
  <si>
    <t>GI04/7</t>
  </si>
  <si>
    <t>FS04/7</t>
  </si>
  <si>
    <t>31.560.00</t>
  </si>
  <si>
    <t>Toyota: Camry 3.5 24V (2007 &gt;); Corolla Fielder 1.8 16V (2002-2007);  Corolla 1.6 16V (1997-2001); Corolla 1.6 16V (2002-2007)</t>
  </si>
  <si>
    <t>Toyota: 2330021010</t>
  </si>
  <si>
    <t>FBT2351</t>
  </si>
  <si>
    <t>FSB2351</t>
  </si>
  <si>
    <t>G7612</t>
  </si>
  <si>
    <t>JFC235/1</t>
  </si>
  <si>
    <t>31.564.00</t>
  </si>
  <si>
    <t>DAEWOO: ESPERO 1.5/1.8/2.0 (1994&gt;1997) / GM: BLAZER 4.3 V6 (1996&gt;1997), CAMARO 5.0 V8/5.7 V8 (1991&gt;1997), LUMINA 3.1 V6 (1990&gt;1992), S10 4.3 V6 (1996&gt;1997), SUBURBAN 5.0 V8/5.7 V8/6.2 V8/7.4 V8 (1987&gt;...) / JAGUAR: XJ-6 3.2 V6 (1994&gt;1997), XJ-8 4.2 V8 (2003&gt;...), XJR 4.2 V8 (2003&gt;...), XJS 4.0 (1994&gt;1995), XK-8 (1996&gt;2002) / LAND ROVER: DISCOVERY 4.0 V8 (1996&gt;2004), RANGE ROVER 3.6 (1994&gt;2002), RANGE ROVER (4.6 V8 (1998&gt;2005)</t>
  </si>
  <si>
    <t>WK612/2</t>
  </si>
  <si>
    <t>H229WK</t>
  </si>
  <si>
    <t>KL158</t>
  </si>
  <si>
    <t>GI13</t>
  </si>
  <si>
    <t>FS13</t>
  </si>
  <si>
    <t>G3727</t>
  </si>
  <si>
    <t>FCI1117</t>
  </si>
  <si>
    <t>FF5026</t>
  </si>
  <si>
    <t>P550209</t>
  </si>
  <si>
    <t>31.621.00</t>
  </si>
  <si>
    <t>HONDA: CIVIC 1.6 16V (1996&gt;2000), CRV 2.4 16V/2.0 16V (1990&gt;2006), CRV 1.6 (1999), ODYSSEY 2.2 (1995&gt;1998)</t>
  </si>
  <si>
    <t>WK68/1</t>
  </si>
  <si>
    <t>KL185</t>
  </si>
  <si>
    <t>GI09</t>
  </si>
  <si>
    <t>FS09</t>
  </si>
  <si>
    <t>G7599</t>
  </si>
  <si>
    <t>JFC498</t>
  </si>
  <si>
    <t>31.712.00</t>
  </si>
  <si>
    <t>WK614/10</t>
  </si>
  <si>
    <t>H475WK</t>
  </si>
  <si>
    <t>KL508</t>
  </si>
  <si>
    <t>G8160</t>
  </si>
  <si>
    <t>JFC594</t>
  </si>
  <si>
    <t>31.718.00</t>
  </si>
  <si>
    <t>AUDI: A3 1.6 8V (1999-2006); A3 1.8 20V TURBO (1997-2006); A3 1.8 16V (2001-2004); A4 2.4 V6 20V (2002-2003);A4 3.0 V6 30V (2001-2006); A4 4.2 V8 40V (2002-2008); A8 4.2 V8 40V 372 cv (2010- &gt;); TT 1.8 20V (2001-2006)/ JAC MOTORS: J6 2.0 16V 136cv (2011- &gt;); T6 2.0 16V 160cv (2015- &gt;)/ VOLKSWAGEN BORA 2.0 MI (2000-2011); GOLF 1.6 8V (1998-2005); GOLF 1.8 20V (1994-2007); GOLF 2.0 8V (2007-2014) , NEW BEETLE 2.0 8V (1999-2007)</t>
  </si>
  <si>
    <t>VW: 1J0201511A, 3D0201511</t>
  </si>
  <si>
    <t>WK730/1</t>
  </si>
  <si>
    <t>H111WK</t>
  </si>
  <si>
    <t>KL79</t>
  </si>
  <si>
    <t>GI10</t>
  </si>
  <si>
    <t>FS10</t>
  </si>
  <si>
    <t>G5870</t>
  </si>
  <si>
    <t>FCI1288</t>
  </si>
  <si>
    <t>31.723.B0</t>
  </si>
  <si>
    <t>GM: MONZA 1.6; 1.8; 2.0 92&gt;96;  KADETT1.8 8V 89&gt;94</t>
  </si>
  <si>
    <t>WK47/1</t>
  </si>
  <si>
    <t>G5471</t>
  </si>
  <si>
    <t xml:space="preserve"> FCI0363</t>
  </si>
  <si>
    <t>31.740.B0</t>
  </si>
  <si>
    <t>FIAT: PALIO; SIENA 1.0/1.5 96&gt;00; CINQUECENTO; GRAND SIENA 1.4 07&gt;14</t>
  </si>
  <si>
    <t>46416684; 7083750;</t>
  </si>
  <si>
    <t>WK510</t>
  </si>
  <si>
    <t>KL238D</t>
  </si>
  <si>
    <t>GI41</t>
  </si>
  <si>
    <t>FS41</t>
  </si>
  <si>
    <t>G7729</t>
  </si>
  <si>
    <t>FCI1600</t>
  </si>
  <si>
    <t>31.748.00</t>
  </si>
  <si>
    <t>FERRARI: 512 (1991&gt;1994), 550 MARANELLO, F355 COUPE, F355 SPIDER</t>
  </si>
  <si>
    <t>WK725</t>
  </si>
  <si>
    <t>H148WK</t>
  </si>
  <si>
    <t>G3747</t>
  </si>
  <si>
    <t>FCI1107A</t>
  </si>
  <si>
    <t>31.749.00</t>
  </si>
  <si>
    <t>HYUNDAI: ATOS PRIME (2000&gt;2003)</t>
  </si>
  <si>
    <t>WK614/44</t>
  </si>
  <si>
    <t>KL516</t>
  </si>
  <si>
    <t>G8864</t>
  </si>
  <si>
    <t>JFC585</t>
  </si>
  <si>
    <t>31.769.00</t>
  </si>
  <si>
    <t>FORD: FUSION 2.0 16V GAS.TITANIUM ECOBOOST (09/13-); 2.5 16V FLEX DURATEC (09/13-)</t>
  </si>
  <si>
    <t>WK512/1</t>
  </si>
  <si>
    <t>H189WK</t>
  </si>
  <si>
    <t>KL1064</t>
  </si>
  <si>
    <t>G8018</t>
  </si>
  <si>
    <t>FCI1881</t>
  </si>
  <si>
    <t>FF5455</t>
  </si>
  <si>
    <t>31.801.00</t>
  </si>
  <si>
    <t>SUZUKI: GRAND VITARA 2.0/2.5 V6/2.7 V6 (1998&gt;2005)</t>
  </si>
  <si>
    <t>WK614/47</t>
  </si>
  <si>
    <t>H443WK</t>
  </si>
  <si>
    <t>GI16</t>
  </si>
  <si>
    <t>FS16</t>
  </si>
  <si>
    <t>G5982</t>
  </si>
  <si>
    <t>JFC823</t>
  </si>
  <si>
    <t>31.830.00</t>
  </si>
  <si>
    <t>AUDI: A4 TURBO 1.8 20V, A6 AVANT QUATTRO V8, A6 V6, S6 V8 (2001&gt;2011)</t>
  </si>
  <si>
    <t>4F0201511B, 4F0201511D</t>
  </si>
  <si>
    <t>WK720/3</t>
  </si>
  <si>
    <t>H225WK</t>
  </si>
  <si>
    <t>KL570</t>
  </si>
  <si>
    <t>G10214</t>
  </si>
  <si>
    <t>FCI1289</t>
  </si>
  <si>
    <t>31.831.00</t>
  </si>
  <si>
    <t>AUDI: A4 2.0, A4 3.2 V6 (2005&gt;2008), A6 V6 3.2, A6 4.2 V8 (2004&gt;2011), R8 4.2FSI 5.2FSI (2007&gt;2012), RS4, RS6 / LAMBORGUINI: GALLARDO 5.2</t>
  </si>
  <si>
    <t>4F0201511C,  4F0201511E</t>
  </si>
  <si>
    <t>WK720/4</t>
  </si>
  <si>
    <t>H224WK</t>
  </si>
  <si>
    <t>KL571</t>
  </si>
  <si>
    <t>G10215</t>
  </si>
  <si>
    <t>FCI1290</t>
  </si>
  <si>
    <t>31.832.00</t>
  </si>
  <si>
    <t>AUDI: A3 1.6 GAS.(03-&gt;) / SEAT: CORDOBA 1.6/2.0 GAS.(03-&gt;) / VOLKSWAGEN: GOLF 1.6 GAS.(02-&gt;), POLO 1.6 GAS.(02-&gt;), NEW BEETLE 2.0 GAS.(99-&gt;)</t>
  </si>
  <si>
    <t>6Q0201051B</t>
  </si>
  <si>
    <t>WK59X</t>
  </si>
  <si>
    <t>H155WK01</t>
  </si>
  <si>
    <t>KL176/6D</t>
  </si>
  <si>
    <t>GI14</t>
  </si>
  <si>
    <t>FS14</t>
  </si>
  <si>
    <t>G9791</t>
  </si>
  <si>
    <t>FCI1300</t>
  </si>
  <si>
    <t>31.833.00</t>
  </si>
  <si>
    <t>VOLKSWAGEN: JETTA 2.5 GASOLINA (09/06-); POLO 1.8 GTI TURBO (01/06-)</t>
  </si>
  <si>
    <t>6Q0201051C</t>
  </si>
  <si>
    <t>WK69/2</t>
  </si>
  <si>
    <t>H155WK02</t>
  </si>
  <si>
    <t>G10147</t>
  </si>
  <si>
    <t>FCI1303</t>
  </si>
  <si>
    <t>31.834.00</t>
  </si>
  <si>
    <t>MBB: CLASSE A 1.6 8V (99-05); 1.9 8V (00-05)</t>
  </si>
  <si>
    <t>WK711/1</t>
  </si>
  <si>
    <t>H114WK</t>
  </si>
  <si>
    <t>KL87</t>
  </si>
  <si>
    <t>G9527</t>
  </si>
  <si>
    <t>FCI1947</t>
  </si>
  <si>
    <t>31.840.00</t>
  </si>
  <si>
    <t>AUDI: A1 1.4 16V TFSI GAS.(05/10-) CAXA, CNVA; 1.4 16V TFSI GAS. (11/10-) CAVG, CTHG, CTJA; 2.0 16V TFSI QUATTRO GAS. (04/12-) CDLH; A3 2.0 TFSI (09/04-) AXX,BPY,BWA,CAWB,CBFA,CCTA/ZA / VOLKSWAGEN: JETTA 2.0 16V HIGHLINE (10/10-) CCZA, 2.0 TSI (01/11-) CBFA, CCTA, CCZA</t>
  </si>
  <si>
    <t>1K0201051B, 1K0201051C, 1K0201051K</t>
  </si>
  <si>
    <t>WK69</t>
  </si>
  <si>
    <t>H280WK</t>
  </si>
  <si>
    <t>KL572</t>
  </si>
  <si>
    <t>GI15</t>
  </si>
  <si>
    <t>G10243</t>
  </si>
  <si>
    <t>FCI1304</t>
  </si>
  <si>
    <t>31.841.00</t>
  </si>
  <si>
    <t>MERCEDES BENZ: CLASSE C, CL, CLK, CLS, E, G, GL, GLK, ML, R, S, SL, SLK COM MOTORES V6/V8 (1997&gt;2010)</t>
  </si>
  <si>
    <t>WK720</t>
  </si>
  <si>
    <t>H113WK</t>
  </si>
  <si>
    <t>KL82</t>
  </si>
  <si>
    <t>G9526</t>
  </si>
  <si>
    <t>FCI1948</t>
  </si>
  <si>
    <t>31.846.00</t>
  </si>
  <si>
    <t>VOLVO: S60 2.0/2.3/2.4 (2003&gt;2007), S80 2.0/2.4 20V/2.5/2.8/2.9 24V (2003),XC70 TURBO 3.2 (2007&gt;2008), XC90 3.2 (2008&gt;...)</t>
  </si>
  <si>
    <t>WK832/2</t>
  </si>
  <si>
    <t>H325WK</t>
  </si>
  <si>
    <t>KL257</t>
  </si>
  <si>
    <t>FCI1866/3</t>
  </si>
  <si>
    <t>31.847.00</t>
  </si>
  <si>
    <t>BMW: SÉRIE 3 (E46) (2001&gt;2007), SÉRIE 5 (E39) (2000&gt;2003), X5 XDRIVE 35I (2014&gt;...), X5 (E70) SI (2006&gt;2008), X5 (E70) XDRIVE 35I (2010&gt;...)</t>
  </si>
  <si>
    <t>WK532/1</t>
  </si>
  <si>
    <t>H157WK</t>
  </si>
  <si>
    <t>KL149</t>
  </si>
  <si>
    <t>GI54</t>
  </si>
  <si>
    <t>G9879</t>
  </si>
  <si>
    <t>FCI1734</t>
  </si>
  <si>
    <t>31.851.00</t>
  </si>
  <si>
    <t>BMW: X5 30d 3.0 - 258cv (2015- &gt;); X5 50d 3.0 - 381cv (2015- &gt;)</t>
  </si>
  <si>
    <t>BMW: 13327811227; 13327811401</t>
  </si>
  <si>
    <t>WK5002X</t>
  </si>
  <si>
    <t>H247WK01</t>
  </si>
  <si>
    <t>KL169/4D</t>
  </si>
  <si>
    <t>P11039</t>
  </si>
  <si>
    <t>FCI1742</t>
  </si>
  <si>
    <t>31.861.00</t>
  </si>
  <si>
    <t>BENTLEY: CONTINENTAL GT 4.0V8, FLYING SPUR 4.0V8 6.0W12</t>
  </si>
  <si>
    <t>3W8201511B, 3W8201511A, 3W8201511C</t>
  </si>
  <si>
    <t>31.918.03</t>
  </si>
  <si>
    <t>VOLVO: S60 T4 2.0 190cv (2017 - &gt;); S60 T5 2.0 254cv (2020 - &gt;); V40 T4 2.0 190cv (2017 - 2019);  V40 T4 2.0 245cv (2014- &gt;);  XC60 T6 2.0 306cv (2015 - 2016)</t>
  </si>
  <si>
    <t>VOLVO: 31430629; 31405750; 31355412</t>
  </si>
  <si>
    <t>WK6038</t>
  </si>
  <si>
    <t>H490WK</t>
  </si>
  <si>
    <t>31.919.00</t>
  </si>
  <si>
    <t>AUDI: R8 4.2FSI (2012&gt;...)</t>
  </si>
  <si>
    <t>FCI1305</t>
  </si>
  <si>
    <t>31.944.00</t>
  </si>
  <si>
    <t>VOLVO: XC90 (2014&gt;...)</t>
  </si>
  <si>
    <t>H493WK</t>
  </si>
  <si>
    <t>FCI1891</t>
  </si>
  <si>
    <t>31.951.00</t>
  </si>
  <si>
    <t>VOLVO CARS: S60 2.0 T5 16V (11/10-); XC60 2.0 16V T5 (08/10-); XC60 3.0 T6 (10/08-04/10); XC60 3.0 T6 24V (08/10-)</t>
  </si>
  <si>
    <t>WK6004</t>
  </si>
  <si>
    <t>KL705</t>
  </si>
  <si>
    <t>GI64</t>
  </si>
  <si>
    <t>FCI1888</t>
  </si>
  <si>
    <t>31.962.00</t>
  </si>
  <si>
    <t>BMW: SÉRIE 3 320I 2.0 16V 2014&gt;...;SÉRIE 3 328I TURBO 2.8 16V 2014&gt;...;X1 28I 3.0 24V 2010&gt;...</t>
  </si>
  <si>
    <t>16127233840; 16127221846.9; 16127451424; 7451424;</t>
  </si>
  <si>
    <t>WK6030</t>
  </si>
  <si>
    <t>H420WK01</t>
  </si>
  <si>
    <t>31.A23.B0</t>
  </si>
  <si>
    <t>VW: GOL 1.8/2.0 94&gt;97; SANTANA; QUANTUM 2.0 8V 93&gt;96 / FORD: RANGER MECÂNICO2.0 8V - 112CV 1995&gt;...</t>
  </si>
  <si>
    <t>3251335111; BFG2; F4FF9155AB</t>
  </si>
  <si>
    <t>WK613/4</t>
  </si>
  <si>
    <t>KL223/1</t>
  </si>
  <si>
    <t>GI07/1</t>
  </si>
  <si>
    <t>FS07/1</t>
  </si>
  <si>
    <t>G7649</t>
  </si>
  <si>
    <t>FCI1887</t>
  </si>
  <si>
    <t>31.A24.B0</t>
  </si>
  <si>
    <t>GM: ONIX; PRISMA; CELTA; CORSA; COBALT; MERIVA; MONTANA; ASTRA; VECTRA / FIAT: ARGO; CRONOS; UNO; PALIO; SIENA</t>
  </si>
  <si>
    <t>51720700; 233000D100; 93316245</t>
  </si>
  <si>
    <t>WK58</t>
  </si>
  <si>
    <t>KL582</t>
  </si>
  <si>
    <t>G10225F</t>
  </si>
  <si>
    <t>FCI1660</t>
  </si>
  <si>
    <t>31.A25.B0</t>
  </si>
  <si>
    <t>VW: GOL G2/G3/G4/G5 1.0/ 1.6 8V 05&gt;06; SAVEIRO; PARATI G4/G5/G6 1.8 8V AP 2003&gt;...; FOX TOTAL FLEX</t>
  </si>
  <si>
    <t>5Z0201511A</t>
  </si>
  <si>
    <t>WK730/4</t>
  </si>
  <si>
    <t>KL635</t>
  </si>
  <si>
    <t>GI12/7</t>
  </si>
  <si>
    <t>FS12/7</t>
  </si>
  <si>
    <t>G9892F</t>
  </si>
  <si>
    <t>FCI1696</t>
  </si>
  <si>
    <t>31.A26.B0</t>
  </si>
  <si>
    <t>HYUNDAI: HB20; CRETA / VW: GOL G5; UP; VOYAGE FLEX;  POLO 17&gt;...; VIRTUS; T-CROSS; NIVUS; SAVEIRO</t>
  </si>
  <si>
    <t>1567E1; 1SB201511; 6QE201511C; 7700845961; B319112E000; 16400ZT50A</t>
  </si>
  <si>
    <t>WK58/3</t>
  </si>
  <si>
    <t>KL583</t>
  </si>
  <si>
    <t>GI50/7</t>
  </si>
  <si>
    <t>FS50/7</t>
  </si>
  <si>
    <t>G10583F</t>
  </si>
  <si>
    <t>FCI1630</t>
  </si>
  <si>
    <t>31.A27.B0</t>
  </si>
  <si>
    <t>VW: GOL; SAVEIRO; PARATI G2/G3/G4  1.0/ 1.6 4 CIL 8V- 65CV 2002&gt;...; FOX; CROSS 1.6 2010&gt;...</t>
  </si>
  <si>
    <t>377133511A; 5Z0201511B</t>
  </si>
  <si>
    <t>WK613/3</t>
  </si>
  <si>
    <t>KL237</t>
  </si>
  <si>
    <t>GI08/1</t>
  </si>
  <si>
    <t>FS08/1</t>
  </si>
  <si>
    <t>G5738</t>
  </si>
  <si>
    <t>FCI1620</t>
  </si>
  <si>
    <t>31.A28.B0</t>
  </si>
  <si>
    <t>FORD: FIESTA; COURIER; KA ZETEC ROCAM 1.0/1.4/1.6 8V 97&gt;98 / GM: ASTRA FLEX POWER 2.0 8V 20</t>
  </si>
  <si>
    <t>WK712/4</t>
  </si>
  <si>
    <t>KL224/1</t>
  </si>
  <si>
    <t>GI06/7</t>
  </si>
  <si>
    <t>FS06/7</t>
  </si>
  <si>
    <t>G9889F</t>
  </si>
  <si>
    <t>FCI1650</t>
  </si>
  <si>
    <t>31.A29.B0</t>
  </si>
  <si>
    <t>FORD: FIESTA; ECOSPORT ZETEC ROCAM 1.0/1.6/2.0 16V 2003&gt;...; FUSION 2.3/2.5/3.0 2009&gt;...</t>
  </si>
  <si>
    <t>5S659155AA</t>
  </si>
  <si>
    <t>WK612/7</t>
  </si>
  <si>
    <t>KL420</t>
  </si>
  <si>
    <t>GI60/7</t>
  </si>
  <si>
    <t>FS60/7</t>
  </si>
  <si>
    <t>G10226F</t>
  </si>
  <si>
    <t>FCI1695</t>
  </si>
  <si>
    <t>31.A30.B0</t>
  </si>
  <si>
    <t>FIAT: UNO MILLE/ FIORINO 1.0/ 1.5 8V 00 -- 04 ELBA 1.5I / 1.6I 93 -- 97 / TIPO 1.6 8V 94 -- 95 / TEMPRA 2.</t>
  </si>
  <si>
    <t>WK513</t>
  </si>
  <si>
    <t>KL239/1</t>
  </si>
  <si>
    <t>GI40/7</t>
  </si>
  <si>
    <t>FS40/7</t>
  </si>
  <si>
    <t>FCI1610</t>
  </si>
  <si>
    <t>34.124.00</t>
  </si>
  <si>
    <t>Elemento Filtrante Do Ar Condicionado - Argentiun</t>
  </si>
  <si>
    <t>Cabin filter - Argentium</t>
  </si>
  <si>
    <t>AUDI
A3 TFSI - (Sport / Sportback) -   - 2.0 16V - 200cv - 06 -- 13
A4 - (Avant / Cabriolet / Limousine / Sedã / Quattro)   - 3.0 V6 30V - 220 cv - 01 -- 08
A4 FSI - (Avant) - gasolina - tiptronic / multitronic  - 3.2 24V - 256 cv - 05 -- 08
A6 - (Avant / All Road / Limousine) -  3.0 V6 30V - 220 cv - 01 -- 07
A6 - (Avant / Quattro / All Road a partir de Chassis 4BX045000) -  2.7 V6 30V - 230 cv - 98 - 01
Allroad Turbo - (Quattro) - gasolina - tiptronic  - 2.7 V6 - 250 cv - 01 -- 05
Q3 TFSI (S-Tronic / Quattro) - Gasolina  - 2.0 - 180 cv - 13 -- 18
Q3 TSFI S-Tronic - (Ambiente / Ambition / Atraction / Quattro) -  2.0 16V - 211 cv - 2012 --&gt;
Q3 TSFI S-Tronic - (Ambiente / Atraction ) - gasolina - automático  - 1.4 16V - 150 cv - 2015 --&gt;
RS Q3 TFSI S - Tronic - (Quattro) - gasolina - automático  - 2.5 - 310 cv - 2014 --&gt;
RS6 Bi Turbo - (Avant / Limousine / Quattro) - gasolina - tiptronic  - 4.2 V8 40V - 450 cv - 03 -- 04
S3 TFSI S - Tronic - (Sportback / Quattro) -   - 2.0 - 256 cv - 07 -- 12
S4 - (Avant / Quattro) - gasolina - tiptronic  - 4.2 V8 40V - 344 cv - 04 -- 05
TT TFSI S - Tronic - (Cabriolet / Coupé / Roadster) - 2.0 - 200 cv - 06 -- 10
TT TFSI S - Tronic - (Coupé / Roadster) -  2.0 - 211 cv - 10 -- 14
TTRS TFSI - (Quattro) - gasolina - automático  - 2.5 - 340 cv - 2012 --&gt;
TTS TFSI S - Tronic - (Cabriolet / Coupé / Roadster) -  2.0 - 211 cv - 10 -- 11
TTS TFSI S - Tronic - (Coupé / Roadster) - 2.0 - 272 cv - 2011 --&gt;
VOLKSWAGEN
Eos TFSI Turbo - 2.0 16V - 200 cv - 2008 --&gt;
Eos TFSI Turbo - tiptronic  - 2.0 16V - 210 cv - 2011 --&gt;
Jetta - (Comfortline) -  1.4 16V TSI - 16 -- 18
Jetta - gasolina -  tiptronic  - 2.5 20V - 150 cv - 05 -- 07
Jetta - gasolina - tiptronic  - 2.5 20V - 170 cv - 07 -- 13
Jetta Total Flex (Comfortline) -  tiptronic  - 2.0 8V - 120 cv - 2010 --&gt;
Jetta TSI (Highline) - gasolina - tiptronic  - 2.0 16V - 211 cv - 2011 --&gt;
Passat FSI - (CC / CC R - Line) - tiptronic  - 3.6 V6 24V - 300 cv - 07 -- 10
Passat FSI - (CC / CC R - Line) - tiptronic  - 3.6 V6 24V - 2011 --&gt;
Passat FSI - (VR6) - 3.2 V6 24V - 250 cv - 06 -- 09
Passat FSI Turbo - (Comfortline / DSG / Highline) - 2.0 16V - 150 cv - 05 -- 07
Passat FSI Turbo - (Comfortline / DSG / Highline) -  2.0 16V - 200 cv - 2007 --&gt;
Passat TSI Turbo - (Sport CC) - Tiptronic  - 2.0 16V - 210 cv - 10 -- 14
Passat TSI Turbo - gasolina - automático / tiptronic  - 2.0 16V - 211 cv - 2015 --&gt;
Tiguan FSI - (S / SE) -  tiptronic  - 2.0 16V - 200 cv - 2007 --&gt;
Tiguan TSI - (DSG / Allspace) -tiptronic  - 1.4 16V - 150 cv - 2017 --&gt;
Tiguan TSI - (R-Line / Allspace) - tiptronic  - 2.0 16V - 180 cv - 2010 --&gt;</t>
  </si>
  <si>
    <t>1K1819653A
JZW819653B
1K1819653
1K1819653B</t>
  </si>
  <si>
    <t>FP2939</t>
  </si>
  <si>
    <t>E998LB</t>
  </si>
  <si>
    <t>LAO181</t>
  </si>
  <si>
    <t>34.127.00</t>
  </si>
  <si>
    <t>BMW
Série 5 530i V8 24V - (E60 / E61 - Sedã / Touring / Top) -  3.0 V8 24V - 231 cv - 03 -- 05
Série 5 530i V8 24V - (E60 / E61 - Sedã / Touring / Top) -  3.0 V8 24V - 258 cv - 2005 --&gt;
Série 5 545i - (E60 / E61 - Sport / Sedã) -  4.4 V8 32V - 333 cv - 03 -- 05
Série 5 550i - (E60 / E61 - Sedã) - gasolina -  4.8 32V - 367 cv - 06 -- 09
Série 6 645Ci - (E63 / E64 - Cabrio / Coupé) -  4.4 V8 32V - 333 cv - 03 -- 05
Série 6 650Ci - (E63 / E64 - Cabrio) -  4.8 V8 32V - 367 cv - 06 --11
Série M M5 - (E60 / E61 - Sedã) -  5.0 V8 32V - 507 cv - 05 --10
Série M M6 - (E63 / E64 - Cabrio / Coupé) - 5.0 V10 40V - 507 cv - 06 -- 10</t>
  </si>
  <si>
    <t>64316935823 64319174371
64319171858</t>
  </si>
  <si>
    <t>FP3139</t>
  </si>
  <si>
    <t>E2963LB</t>
  </si>
  <si>
    <t>LAO197</t>
  </si>
  <si>
    <t>34.148.00</t>
  </si>
  <si>
    <t>VOLKSWAGEN
Amarok CD HI - ( Highline ) - automático  - 3.0 V6 - 225 cv - 2018 --&gt;
Amarok TDI Bi-Turbo - (Highline / Trendline / CD / SE / CS) - 2.0 16V - 180 cv - 2015 --&gt;
Amarok TDI Turbo diesel - (Highline / Trendline / CD / SE / CS) -  2.0 16V - 163 cv - 10 -- 14
Amarok TDI Turbo diesel - (Highline / Trendline / CD / SE / CS) -  2.0 16V - 180 cv - 2015 --&gt;
Q7 FSI - (Quattro) - 3.6 V6 24V - 280 cv - 09 --10
Q7 FSI - (Quattro) - 4.2 V8 32V - 350 cv - 06 --10
Q7 TFSI - (Ambiente / Quattro) - 3.0 V6 24V - 333 cv - 2010 --&gt;
Touareg - gasolina - tiptronic  - 4.2 V8 32V - 310 cv - 03 -- 06
Touareg FSI - gasolina - tiptronic  - 3.6 V6 24V - 280 cv - 07 -- 11
Touareg FSI - gasolina - tiptronic  - 4.2 V8 32V - 350 cv - 06 -- 10
Cayenne - (955 - GTS / S) -  4.8 - 401 cv - 2008 --&gt;
Cayenne - (955) - 4.5 - 340 cv - 02 -- 07
Cayenne - 3.2 24V - 250 cv - 03 -- 07
Cayenne -  3.6 V6 - 290 cv - 07 -- 10</t>
  </si>
  <si>
    <t>955.572.219.10
7H0819631A 
JZW819653E</t>
  </si>
  <si>
    <t>FP2842</t>
  </si>
  <si>
    <t>E1910LB</t>
  </si>
  <si>
    <t>LAO182</t>
  </si>
  <si>
    <t>Elemento Filtrante do Ar Condicionado</t>
  </si>
  <si>
    <t>34.155.00</t>
  </si>
  <si>
    <t>LAND ROVER
Discovery III - (HSE / S / SE) -4.4 V8 - 299 cv - 05 -- 09
Discovery III Turbo diesel - (HSE / S / SE) - 2.7 V6 - 190 cv - 05 -- 09
Discovery III Turbo diesel - (HSE / S / SE) -  4.0 V6 - 218 cv - 05 -- 09
Discovery IV - (HSE) - 5.0 V8 - 375 cv - 2010 --&gt;
Discovery IV Turbo diesel - (HSE / S / SE) - 2.7 V6 - 190 cv - 10 -- 12
Discovery IV Turbo diesel - (HSE / S / SE) -  3.0 V6 - 256 cv - 2010 --&gt;
Range Rover Sport - (SE / HSE / Supercharged) -  5.0 V8 - 510 cv - 2010 --&gt;
Range Rover Sport Turbo diesel - (HSE) -  2.7 V6 - 243 cv - 2006 --&gt;
Range Rover Sport Turbo diesel - (SE / HSE) -  3.0 V6 - 243 cv - 10 -- 13
Range Rover Sport Turbo diesel - (SE / HSE) -3.6 V8 - 272 cv - 2007 --&gt;
Range Rover Vogue Turbo diesel - 3.0 V6 - 258cv - 2014 --&gt;
VOLKSWAGEN
Touareg - tiptronic  - 4.2 V8 32V - 310 cv - 03 -- 06
Touareg FSI -  tiptronic  - 3.2 V6 24V - 241 cv - 04 -- 07
Touareg FSI - tiptronic  - 3.6 V6 24V - 280 cv - 07 -- 11
Touareg FSI -tiptronic  - 4.2 V8 32V - 350 cv - 06 -- 10</t>
  </si>
  <si>
    <t>JKR500020</t>
  </si>
  <si>
    <t>FP2747</t>
  </si>
  <si>
    <t>LAO280</t>
  </si>
  <si>
    <t>34.159.00</t>
  </si>
  <si>
    <t>VOLVO CARS: S60 2.0 T5 16V (11/10-); XC60 2.0 16V (08/10-); XC60 3.0 T6 (10/08-04/10) e 3.0 T6 24V (08/10-)</t>
  </si>
  <si>
    <t>VOLVO
30733893
30767024</t>
  </si>
  <si>
    <t>FP2733</t>
  </si>
  <si>
    <t>34.161.00</t>
  </si>
  <si>
    <t>MB: Sprinter 311 CDI (11/12-); Sprinter 415 CDI (11/12-); Sprinter 515 CDI (11/12-)</t>
  </si>
  <si>
    <t>MERCEDES BENZ
9068300318
A9068300318</t>
  </si>
  <si>
    <t>FP3569</t>
  </si>
  <si>
    <t>E2916LB</t>
  </si>
  <si>
    <t>CFP10436</t>
  </si>
  <si>
    <t>34.163.00</t>
  </si>
  <si>
    <t>MERCEDES-BENZ
Classe C 180 CGI Turbo - (W204 - Coupé / Touring / Sport) -  1.8 16V - 156 cv - 2009 --&gt;
Classe C 180 CGI Turbo - (W204 - Coupé / Touring / Sport) - 1.6 16V - 156 cv - 13 -- 15
Classe C 180 Kompressor - (W204 - Classic) - 1.6 16V - 156 cv - 07 -- 11
Classe C 200 CGI Turbo - (W204 - Advantgarde / Sport / Touring) -  1.8 16V - 184 cv - 2009 --&gt;
Classe C 200 Kompressor - (W204 - Classic) - 1.8 16V - 184 cv - 07 -- 10
Classe C 250 CGI Turbo - (W204 - Coupé / Touring / Sport) -  1.8 16V Turbo - 204 cv - 2009 --&gt;
Classe C 280 - (W204 - Advantgarde / Touring) -  3.0 V6 - 231 cv - 08 -- 10
Classe C 300 - (W204 - Advantgarde / Touring) -3.0 V6 24V - 231 cv - 09 -- 11
Classe C 350 - (W204 - Advantgarde / Touring) - 3.5 V6 - 272 cv - 07 -- 10
Classe C 350 CGI - (W204 - Sport) - gasolina - automático  - 3.5 V6 - 306 cv - 2012 --&gt;
Classe C 63 AMG - (W203 - Sedã / Coupé / Black séries) - 6.3 V8 - 517 cv - 12 -- 13
Classe C 63 AMG - (W203 - Sedã / Touring / Sport) - 6.2 V8 - 457 cv - 07 -- 10
Classe CLS 350 CGI - (C218 - BlueEFFICIENCY) - 3.5 V6 - 306 cv - 2011 --&gt;
Classe CLS 400 Bi Turbo - gasolina - automático  - 3.0 V6 - 333 cv - 2015 --&gt;
Classe CLS 63 AMG - (C218) - gasolina - automático  - 5.5 V8 - 557 cv - 2012 --&gt;
Classe E 250 CGI - (W207 - Avantgarder / Coupé) -  1.8 V6 - 204 cv - 11 -- 13
Classe E 250 Turbo - (Avantgarder / Coupé) - 2.0 - 211 cv - 14 -- 16
Classe E 350 CGI - (W211 - Avantgarder / Sport) -  3.5 V6 - 306 cv - 2010 --&gt;
Classe E 500 - (W211 - Avantgarder / Sport / Coupé) -  5.5 V8 - 388 cv - 2010 --&gt;
Classe E 500 CGI - (W212 - Avantgarder / Sport / Coupé) -  4.7 V8 - 408 cv - 12 -- 13
Classe E 63 AMG - (W212 - Touring) - gasolina - automático  - 6.2 V8 - 521 cv - 09 -- 12
Classe E 63 AMG - (W212 - Touring) - gasolina - automático  - 5.5 V8 - 521 cv - 2012 --&gt;
Classe GLK 220 CDI Turbo diesel - (Sport) - automático  - 2.1 - 170 cv - 13 -- 15
Classe GLK 280 - (X204) - gasolina - automático  - 3.0 V6 - 231 cv - 08 -- 09
Classe GLK 300 - (X204) - gasolina - automático  - 3.0 V6 - 231 cv - 10 -- 13
Classe SL 63 AMG - gasolina - automático  - 6.2 V8 - 525 cv - 2013 --&gt;</t>
  </si>
  <si>
    <t>A2048300518
2128300018
A2128300318
2128300218
A2048300018
2048300518
A2128300218
2128300118
2128300318
2048300018</t>
  </si>
  <si>
    <t>FP29005</t>
  </si>
  <si>
    <t>E2954LB03</t>
  </si>
  <si>
    <t>LAO413</t>
  </si>
  <si>
    <t>34.168.00</t>
  </si>
  <si>
    <t>AUDI: A4 1.8 16V (02/15-) e 2.0 TFSI (06/08-); A5 2.0 16V TFSI (06/08-); Q5 2.0 TFSI (09/09-) / PORCHE : Macan</t>
  </si>
  <si>
    <t>AUDI: 8K0 819 439
8K0 819 439 A
8K0 819 439 B
8K0 819 439 C</t>
  </si>
  <si>
    <t>FP2450</t>
  </si>
  <si>
    <t>E2948LB</t>
  </si>
  <si>
    <t>CFP10458</t>
  </si>
  <si>
    <t>34.178.00</t>
  </si>
  <si>
    <t>GENERAL MOTORS
Cobalt - Econo Flex - (Advantage / LT / LTZ) - automático / mecânico  - 1.8 8V - 108 cv - 13 -- 17
Cobalt Econo Flex - (ELITE / LTZ) - automático / mecânico  - 1.8 8V - 111 cv - 2017 --&gt;
Cobalt Flex Power - (LS / LT / LTZ) - Álcool / gasolina - mecânico  - 1.4 8V - 102 cv - 2011 --&gt;
Cruze Flex Power - (HB Sport / LT / LTZ) -1.8 16V - 144 cv - 2011 --&gt;
Malibu - (LTZ) - gasolina - automático  - 2.4 16V - 171 cv - 2014 --&gt;
Malibu - (LTZ) - gasolina - automático  - 2.4 16V - 171 cv - 10 -- 13
Onix  - 1.4 Flex - 106 cv - 2012 --&gt;
Onix Flex Power - (Hatch LS / LT) - mecânico  - 1.0 8V - 80 cv - 2012 --&gt;
Prisma Flex Power - (Sedã / LT / LTZ) - mecânico  - 1.4 8V - 106 cv - 2013 --&gt;
Prisma Flex Power - (Sedã / LT) - mecânico  - 1.0 8V - 80 cv - 2013 --&gt;
Sonic Flex Power - (LT / LTZ) - mecânico  - 1.6 16V - 116 cv - 2012 --&gt;
Spin Econo Flex - (LS / LT / LTZ / Advantage / Activ) - 1.8L - 111 cv - 2017 --&gt;
Spin Econo Flex - (LS / LT / LTZ) - mecânico  - 1.8 8V - 108 cv - 12 -- 16
Tracker  - 1.8 16V - 144cv - 2014 --&gt;
Tracker turbo Flex - (LT) - automático / mecânico  - 1.4 - 150cv - 2017 --&gt;</t>
  </si>
  <si>
    <t>52420930
95527473
13503677
95152912
EC13271191
13271191
1808246</t>
  </si>
  <si>
    <t>FP2442</t>
  </si>
  <si>
    <t>E2962LB</t>
  </si>
  <si>
    <t>LAO472</t>
  </si>
  <si>
    <t>34.219.00</t>
  </si>
  <si>
    <t>AUDI
A3 TFSI - (Sedã Attraction / Sportback) - 1.4 16V - 122 cv - 2014 --&gt;
A3 TFSI Flex - (Attraction / Ambition) -  1.4 16V - 150 cv - 2016 --&gt;
A3 TFSI S - Tronic - (Ambition) - 2.0 16V - 220 cv - 2016 --&gt;
A3 TFSI S - Tronic - (Cabriolet / Sport / Sportback) -  1.8 16V - 179 cv - 2013 --&gt;
S3 TFSI S - Tronic - (Seda / Quattro) -  2.0 - 206 cv - 2015 --&gt;
S3 TFSI S - Tronic - (Sportback / Quattro) - 2.0 - 286 cv - 13 -- 14
TT TFSI S - Tronic - (Coupé / Attraction / Ambition ) - 2.0 - 230 cv - 2015 --&gt;
VOLKSWAGEN
Golf (G6 - GTI / DSG) -  2.0 - 220 cv - 2014 --&gt;
Golf Flex TSI (Comfortline) - automático  - 1.0 3 Cil 12V - 128 cv - 2017 --&gt;
Golf TSI (G6 - Highline / DSG ) - 1.4 - 140 cv - 2014 --&gt;
Jetta 250 Flex- (Comfortline) - automático  - 1.4 16V TSI - 2018 --&gt;</t>
  </si>
  <si>
    <t>65.61910-0001
65.61910-0002
5Q0819653
5Q0819669</t>
  </si>
  <si>
    <t>FP26009</t>
  </si>
  <si>
    <t>E2998LB</t>
  </si>
  <si>
    <t>LAO888</t>
  </si>
  <si>
    <t>34.226.00</t>
  </si>
  <si>
    <t>BMW: 118i 1.6 16V (09/11-); 125i 2.0 16V Flex (03/15-); 316i 1.6 16V (12/13-); 320i 2.0 16V Flex (03/12-); 328i 2.0 16V (07/12-); 320i GT Sport (07/12-)</t>
  </si>
  <si>
    <t>BMW
64116821995
64119237555</t>
  </si>
  <si>
    <t>FP25001</t>
  </si>
  <si>
    <t>E2991LB</t>
  </si>
  <si>
    <t>CFP11472</t>
  </si>
  <si>
    <t>34.236.00</t>
  </si>
  <si>
    <t>MERCEDES-BENZ
Classe A 200 CGI Turbo - (W176 - Style / Urban) -  1.6 Turbo - 156 cv - 2013 --&gt;
Classe A 250 Turbo - (Sport) - gasolina - automático  - 2.0 Turbo - 211cv - 2014 --&gt;
Classe A 45 AMG - (W176) - gasolina - automático  - 2.0 Turbo - 360 cv - 2014 --&gt;
Classe B 200 CGI Turbo - (W246 - Sport) - gasolina - automático  - 1.6 Turbo - 156 cv - 2012 --&gt;
Classe CLA 200 - (Urban / Vision) - gasolina - automático  - 1.6 16V - 156 cv - 2014 --&gt;
Classe CLA 250 - (Sport 4Matic) - gasolina - automático  - 2.0 16V - 211cv - 2014 --&gt;
Classe CLA 45 AMG - gasolina - automático  - 2.0 16V - 360cv - 2014 --&gt;
Classe GLA 200 Flex Turbo - (Advance / Style / Vision) - automático  - 1.6 16V - 156cv - 2015 --&gt;
Classe GLA 250 Turbo - (Sport / Vision) - gasolina - automático  - 2.0 - 211 cv - 2015 --&gt;
Classe GLA 45 AMG Turbo - gasolina - automático  - 2.0 - 355cv - 2015 --&gt;</t>
  </si>
  <si>
    <t>2468300018
A2468300018</t>
  </si>
  <si>
    <t>FP26007 / FP26007/1</t>
  </si>
  <si>
    <t>E2993LB</t>
  </si>
  <si>
    <t>LAO879</t>
  </si>
  <si>
    <t>34.241.00</t>
  </si>
  <si>
    <t>BMW
X3 20i Bi Turbo - (F25 - Xdrive 4x4) - gasolina - automático  - 2.0 - 184 cv - 12 -- 13
X3 28i - (F25 - Xdrive 4x4) - gasolina - automático  - 3.0 24V - 258 cv - 11 -- 12
X3 35i Bi Turbo - (F25 - Xdrive 4x4) - gasolina - automático  - 3.0 V6 - 306 cv - 2010 --&gt;
X4 28i Turbo - (F26 - Xdrive / Xline ) - gasolina - automático  - 2.0 - 245 cv - 2015 --&gt;
X4 35i Bi Turbo - (Sport / Xdrive 4x4) - gasolina - automático  - 3.0 V6 - 306 cv - 2015 --&gt;</t>
  </si>
  <si>
    <t>64319312317
64319237157
64319312318
64312284828</t>
  </si>
  <si>
    <t>FP19004</t>
  </si>
  <si>
    <t>E2992LB-2</t>
  </si>
  <si>
    <t>34.245.00</t>
  </si>
  <si>
    <t>JEEP
Compass diesel - (Longitude/Trailhawk) - automático  - 2.0 16V - 170 cv - 2016 --&gt;
Compass Flex - (Longitude) - automático  - 2.0 16V - 166 cv - 2017 --&gt;
Renegade Flex - (Sport / Longitude) - automático / mecânico  - 1.8 - 139 cv - 2015 --&gt;
Renegade Turbo diesel - (Sport / Longitude / Trailhalk) - automático / mecânico  - 2.0 - 170 cv - 2015 --&gt;
FIAT
Toro diesel - (Freedom / Opening Edition) - automático / mecânico  - 2.0 16V - 170 cv - 2016 --&gt;
Toro Flex - (Freedom / Blackjack) - automático / mecânico  - 2.4 16V - 186 cv - 2016 --&gt;
Toro Flex - (Freedom / Opening Edition) - automático / mecânico  - 1.8 16V - E-Torq - 2016 --&gt;</t>
  </si>
  <si>
    <t>68267921AA
68246999AA
71775824
51979427</t>
  </si>
  <si>
    <t>34.257.00</t>
  </si>
  <si>
    <t>RENAULT
Zoe (Ultimate/Life/Intense) - Automático  - Elétrico - 92cv - 2019 --&gt;</t>
  </si>
  <si>
    <t>272775081R
272772519R</t>
  </si>
  <si>
    <t>FP25012</t>
  </si>
  <si>
    <t>LAO891</t>
  </si>
  <si>
    <t>34.266.00</t>
  </si>
  <si>
    <t>LAND ROVER
Range Rover Sport Diesel  - 4.4 V8 - 2014 --&gt;
Range Rover Vogue  - 4.4 V8 - 2014 --&gt;
LEXUS
CT200h Hibrído - (Luxury) - gasolina - mecânico  - 1.8 16V - 136cv - 2013 --&gt;
ES 350 - gasolina - automático  - 3.5 V6 24V - 284 cv - 2006 --&gt;
LS 460 - gasolina - automático  - 4.6 32V - 347 cv - 2007 --&gt;
NX 200t - (F-Sport / Luxury) - gasolina - automático  - 2.0 16V - 238 cv - 2015 --&gt;
SUBARU
Legacy - (série IV - GT) - gasolina - automático  - 2.5 16V - 280 cv - 2010 --&gt;
Legacy - (série IV ) - gasolina - automático  - 2.0 16V - 150 cv - 2010 --&gt;
Outback - (série IV - H6 SW) - gasolina - automático  - 3.6 V6 24V - 280 cv - 2010 --&gt;
TOYOTA
Camry  - 3.5 V6 24V - 284 cv - 07 -- 11
Camry  - 3.5 V6 24V - 284 cv - 2012 --&gt;
Corolla - (Hybrid / Altis / Premium) - Automático  - 1.8 16V - 177 cv - 2019 --&gt;
Corolla - (XLI) - gasolina - automático / mecânico  - 1.6 16V - 110 cv - 2008 --&gt;
Corolla Fielder SW Flex - (GLI / SE - G / XEI / XLI) - 1.8 16V - 136 cv - 2008 --&gt;
Corolla Flex - (Altis / XEI / XRS) - automático  - 2.0 16V - 153 cv - 10 -- 19
Corolla Flex - (GLI / SE - G / XEI / XLI) - automático  - 1.8 16V - 136 cv - 2008 --&gt;
HiLux - (CD SR) - gasolina - automático / mecânico  - 2.7 16V - 158 cv - 2009 --&gt;
HiLux - (SW4 / SRV) - gasolina - automático / mecânico  - 4.0 V6 24V - 238 cv - 09 -- 15
HiLux - (SW4) - gasolina - automático / mecânico  - 2.7 16V - 158 cv - 09 -- 15
HiLux diesel / Turbo diesel - (CD / CS) - automático / mecânico  - 2.5 16V - 102 cv - 12 -- 15
HiLux Flex (CD SR) -automático / mecânico  - 2.7 16V - 163 cv - 2010 --&gt;
HiLux diesel / Turbo diesel - (CD / CS) - automático / mecânico  - 2.5 16V - 102 cv - 2005 --&gt;
HiLux TDI Turbo diesel - (SW4 / SRV / CD /CS) - automático / mecânico  - 3.0 16V - 163 cv - 12 -- 15
HiLux TDI Turbo diesel - (SW4 / SRV / CD) - automático / mecânico  - 3.0 16V - 163 cv - 05 -- 11
Prius - (Hybrid) - gasolina - automático  - 1.8 16V - 98 cv - 2016 --&gt;
Prius - (Hybrid) - gasolina - automático  - 1.8 16V - 99 cv - 12 -- 15
Rav4 - gasolina - automático  - 2.4 16V - 170 cv - 06 -- 08
Rav4 - gasolina - automático  - 2.4 16V - 170 cv - 08 -- 12
Rav4 - gasolina - automático  - 2.5 16V - 180 cv - 2013 --&gt;
Rav4 - gasolina - automático / mecânico  - 2.0 16V - 145 cv - 2013 -- &gt;
Yaris Flex (XL) - automático / mecânico  - 1.3 16V - 101 cv - 2018 --&gt;
Yaris Flex (XS / XLS) - automático / mecânico  - 1.5 16V - 110 cv - 2018 --&gt;</t>
  </si>
  <si>
    <t>17800-87820-000
CPLA-18D483-AA
C2S52338
LR036369
87139-YZZ10
87139-50100
87139-YZZ30</t>
  </si>
  <si>
    <t>FP1919</t>
  </si>
  <si>
    <t>LAO490</t>
  </si>
  <si>
    <t>34.270.00</t>
  </si>
  <si>
    <t>MBB: C-KLASSE W202 (93-&gt;); SLK R170 (96-&gt;); E-KLASSE W210 (95-02); CLK C208 (97-02) / CRYSLER: CROSSFIRE</t>
  </si>
  <si>
    <t>MB: 2108300818; 2108300918</t>
  </si>
  <si>
    <t>CUK2897</t>
  </si>
  <si>
    <t>E914LC</t>
  </si>
  <si>
    <t>LAK37</t>
  </si>
  <si>
    <t>CFA8877</t>
  </si>
  <si>
    <t>AKX35608/C</t>
  </si>
  <si>
    <t>34.279.00</t>
  </si>
  <si>
    <t>BMW
Série i i3 Rex E Drive  - Motor de Moto Acoplado - 170 cv - 2016 --&gt;
X1 20i Active Flex Turbo - (F48 - S Drive /GP / Top) - automático  - 2.0 16V - 192 cv - 2016 --&gt;
X1 25i Active Flex Turbo - (F48 - S Drive /GP / Top) - automático  - 2.0 16V - 231 cv - 2016 --&gt;
X1 sDrive 20i GP  - 2.0L 4 Cil - 192cv - 2018 --&gt;
X2 sDrive 20i GP  - 2.0L 4 cil - 192cv - 2018 --&gt;
MINI
Cooper S Turbo - (F55 / F56 - Exclusive / Top) - gasolina - automático  - 2.0- 192 cv - 2014 --&gt;
Cooper Turbo - (F55 / F56) - gasolina - automático  - 1.5 - 136 cv - 2014 --&gt;</t>
  </si>
  <si>
    <t>64316835405
64119321875
64316835406</t>
  </si>
  <si>
    <t xml:space="preserve">FP23015-2 </t>
  </si>
  <si>
    <t>E3950LB-2</t>
  </si>
  <si>
    <t>34.292.00</t>
  </si>
  <si>
    <t>AUDI: A4 (8W); A5 + A5 Cabriolet + Sportback (F5); PORCHE: Cayenne lll (9YA, 9YB)</t>
  </si>
  <si>
    <t>AUDI: 4M0 819 439 A
8W0 819 439 A
4M0 819 439 B</t>
  </si>
  <si>
    <t>FP31003</t>
  </si>
  <si>
    <t>34.312.00</t>
  </si>
  <si>
    <t xml:space="preserve">VW: Touareg 4.2 32V (2003-2010); Touareg 3.6 24V  (2004-2011) / PORCHE: Cayenne  </t>
  </si>
  <si>
    <t>VW: 7P0 819 631; 7P5 819 631
PORCHE: 958.572.219.00</t>
  </si>
  <si>
    <t>FP2847/1</t>
  </si>
  <si>
    <t>E2980LB</t>
  </si>
  <si>
    <t>34.314.00</t>
  </si>
  <si>
    <t xml:space="preserve">VOLKSWAGEN:Virtus 1.0 12V - 128 cv (2017-&gt;); Virtus 1.4 TSI 16V - 150 cv (2019-&gt;); Virtus 1.6 16V - 117 cv (2017-&gt;);  Nivus 1.0 12V TSI Flex 06.2020 -&gt;; T-Cross (2019-&gt;); AUDI: A1 (GB); </t>
  </si>
  <si>
    <t>VOLKSWAGEN: 2Q0819644</t>
  </si>
  <si>
    <t>FP26021</t>
  </si>
  <si>
    <t>E4981LB</t>
  </si>
  <si>
    <t>AKX1129/CF</t>
  </si>
  <si>
    <t>34.331.00</t>
  </si>
  <si>
    <t xml:space="preserve"> TOYOTA: Corolla (E210); Corolla Cross 1.8 16V Hybrid Flex 03.2021-&gt;; 2.0 16V Flex 03.2021-&gt;; HiLux 2.8 16V Diesel (D-4D) 07.2015-&gt;; Series GUN12; Hilux Revo; Innova (TGN4, KUN4) 2.8 Diesel (GUN12) 06.2015-&gt;; Prius / Prius+ 1.8 Hybrid (ZVW50/52) 11.2015-&gt;; LEXUS: RX 09.2015 -&gt;;</t>
  </si>
  <si>
    <t>TOYOTA: 8713958010</t>
  </si>
  <si>
    <t>FP22032</t>
  </si>
  <si>
    <t>E4959LC</t>
  </si>
  <si>
    <t>LAK1404</t>
  </si>
  <si>
    <t>ACA889</t>
  </si>
  <si>
    <t>AKX1967/C</t>
  </si>
  <si>
    <t>34.390.00</t>
  </si>
  <si>
    <t>MERCEDS BENZ: AMG C43 "C205"- 3.0 Coupé (2016- &gt;); AMG C63S "C205"- 4.0 Coupé (2016- &gt;); AMG C63S "W205"- 4.0 (2014- &gt;); AMG E43 "W213"- 2.0 (2016- &gt;); C180 "C205"- 1.6 Coupé (2015- &gt;); C180 "S205"- 1.6 Avantarge Turbo (2014- &gt;); C180 "W205"- 1.6 Avantarge Turbo (2014- &gt;); C200 "W205"- 2.0 (2013- &gt;);C250 "W205"- 2.0 (2014- &gt;); C300 "A205"- 2.0 Cabriolet (2016- &gt;); E250 "W213"-  2.0 Avantarge Turbo (2016- &gt;); GLC "250" 2.0 16V - 211 cv (2015- &gt;); GLC "43AMG" 3.0 - (2017- &gt;); GLC "220D" 2.0 - 194 cv (2019- &gt;).</t>
  </si>
  <si>
    <t>MERCEDES BEZ: 2058350147; A2058350147</t>
  </si>
  <si>
    <t>FP26023/1</t>
  </si>
  <si>
    <t>E5967LB</t>
  </si>
  <si>
    <t>LAO1161</t>
  </si>
  <si>
    <t>AKX35161C</t>
  </si>
  <si>
    <t>34.393.00</t>
  </si>
  <si>
    <t>BMW: 330E M 2.0 - 184 cv (2020 -&gt;);  530E M 2.0 - 184 cv (2020 -&gt;); Série 3  2.0 - 184 cv (2020 -&gt;); X3 30i 2.0 - 252 cv (2018 -&gt;); Z4 3.0 - 340 cv (2019- &gt;); Z4 3.0 V6 - Turbo 388 cv (2021- &gt;) / TOYOTA:  Supra GR 2.0i Turbo (2019- &gt;); Supra GR 3.0i Turbo (2019- &gt;)</t>
  </si>
  <si>
    <t xml:space="preserve">BMW: 64119382885; 64119382886
</t>
  </si>
  <si>
    <t>FP30007/1</t>
  </si>
  <si>
    <t>E4980LB</t>
  </si>
  <si>
    <t>LAO1398</t>
  </si>
  <si>
    <t>34.403.00</t>
  </si>
  <si>
    <t>HONDA: City 1.5 16V (2015-&gt;) ; Fit 1.5 16V (2009-&gt;) ; HRV 1.8 16V - 140 cv (2015-&gt;); HRV 1.5 - 176 cv (2020-&gt;); WRV 1.5 - 116 cv (2017-&gt;); CRV 1.5 - 190 cv (2018-&gt;)</t>
  </si>
  <si>
    <t>HONDA
80291-TF0-E01
80291-TF3-E01
80291T5RP01</t>
  </si>
  <si>
    <t>FP21003</t>
  </si>
  <si>
    <t>34.429.00</t>
  </si>
  <si>
    <t>LAND ROVER: Defender 2.0 300cv (2020- &gt;) / JAGUAR: I-Pace Elétrico (2019- &gt;)</t>
  </si>
  <si>
    <t>LAND ROVER: LR133345</t>
  </si>
  <si>
    <t>CUK21016</t>
  </si>
  <si>
    <t>E6958LC</t>
  </si>
  <si>
    <t>AKX2202/C</t>
  </si>
  <si>
    <t>44.005.B0</t>
  </si>
  <si>
    <t>Filtro De Ureia</t>
  </si>
  <si>
    <t>Ureia filter</t>
  </si>
  <si>
    <t>IVECO: Stralis (2013- &gt;) / VOLKSWAGEN: Delivery - Euro 5 (2012- &gt;); Constellation 33.460 (2021- &gt;); Meteor 28.460 (2021- &gt;) / VOLVO: Serie FH (2013- &gt;) ; Serie FM/FMX (2013- &gt;)</t>
  </si>
  <si>
    <t xml:space="preserve">VOLVO: 21516229
IVECO: 5801667204 </t>
  </si>
  <si>
    <t>U5001KIT</t>
  </si>
  <si>
    <t>E103UD295</t>
  </si>
  <si>
    <t>PEA161</t>
  </si>
  <si>
    <t>LEA161</t>
  </si>
  <si>
    <t>WEA008</t>
  </si>
  <si>
    <t>UF101</t>
  </si>
  <si>
    <t>44.006.00</t>
  </si>
  <si>
    <t>CASE IH: Magnum CVX-Serie; Magnum-Serie; Magnum-Serie; Maxxum-Serie; PUMA-Serie / NEW HOLLAND: T7 (2010/08- X); T8 (2010/08- X); T9 (2010/08- X) / IVECO: Crossway (2013 -&gt;); EUROCARGO I-III (1991/01 - 2015/09); EUROCARGO IV (2013/05 - X); EUROFIRE (1991/01 - X); MAGELYS (2011/07 - X); STRALIS I (2002/02 - X); STRALIS II (2012/09 - X); TRAKKER I (2004/09 - 2012/12); TRAKKER II (2012/09 - X) / VOLVO: FE II; FH 12 (92-08); FH 16, FH 16 Classic (93-); FH, FH Classic (05-); FH, FH Classic (05-); FM, FMX, FMX Classic (05-)</t>
  </si>
  <si>
    <t>IVECO: 42561177
 VOLVO:20877958</t>
  </si>
  <si>
    <t>U1005</t>
  </si>
  <si>
    <t>44.011.B0</t>
  </si>
  <si>
    <t>DAF: Serie CF (2001- &gt;); Serie XF (2006- &gt;) / SCANIA: G360, G400, G440, G480, P250, P400, R380 (2012 - &gt;)</t>
  </si>
  <si>
    <t xml:space="preserve">SCANIA: 1907422; 2544995
VOLKSWAGEN: 2V5131759A
</t>
  </si>
  <si>
    <t>U620/4YKIT</t>
  </si>
  <si>
    <t>E101UD178</t>
  </si>
  <si>
    <t>UX1/1D</t>
  </si>
  <si>
    <t>PEA178</t>
  </si>
  <si>
    <t>WEA004</t>
  </si>
  <si>
    <t>X770733</t>
  </si>
  <si>
    <t>53.004.00</t>
  </si>
  <si>
    <t xml:space="preserve">VOLKSWAGEN: VOLKSWAGEN: AMAROK TDI 2.0 DE 2010&gt; ; TOUAREG 3.6 V6 2007-&gt; ; AUDI: Q7 3.0 2010 -&gt; N° 3A0819638 </t>
  </si>
  <si>
    <t>CU2672</t>
  </si>
  <si>
    <t>E921LI</t>
  </si>
  <si>
    <t>LA907</t>
  </si>
  <si>
    <t>ACP307</t>
  </si>
  <si>
    <t>FAC307</t>
  </si>
  <si>
    <t>CF9414</t>
  </si>
  <si>
    <t>AKX35103</t>
  </si>
  <si>
    <t>53.007.00</t>
  </si>
  <si>
    <t>Cabin Filter</t>
  </si>
  <si>
    <t>MERCEDES BENZ: Classe E 200; Classe E 230; Classe E 240; Classe E 280; Classe E 300; Classe E 320; Classe E 420; Classe E 430; Classe E 55 AMG;</t>
  </si>
  <si>
    <t>CU2897</t>
  </si>
  <si>
    <t>ACP830</t>
  </si>
  <si>
    <t>CF5792</t>
  </si>
  <si>
    <t>AKX3540</t>
  </si>
  <si>
    <t>53.011.00</t>
  </si>
  <si>
    <t>AUDI: A6 TODOS, S6 TODOS, ALLROAD I (4BH) 2.7 30V QUATTRO TURBO TIP. (01-05); 100 (4A, C4) 2.8 12V V6 (93-95) ( 4A0 819 439A )</t>
  </si>
  <si>
    <t>CU3192</t>
  </si>
  <si>
    <t>E936LI</t>
  </si>
  <si>
    <t>LA46</t>
  </si>
  <si>
    <t>CF5942</t>
  </si>
  <si>
    <t>AKX35636</t>
  </si>
  <si>
    <t>53.031.B0</t>
  </si>
  <si>
    <t>VOLKSWAGEN: Fox 1.0 (2004-2013); Fox 1.6 8V (2005-&gt;), Fox 1.6 16V (2014-&gt;); Spacefox 1.6 (2008- &gt;); Polo 1.0 16V (2002-2003), Polo 1.6 (2002-2015); Polo 1.8 Turbo (2006-2008); Polo 2.0 EFI (2002-2006); Gol G5,G6 1.0 8V (2008-2015); Gol G5,G6 1.6 8V (2008- &gt;); Gol G4 1.6 8V (2013-2014); Gol G6 1.6 16V (2014- &gt;); Gol G7 1.0 12V (2016- &gt;); Gol MSI 1.6 8V (2019- &gt;);Voyage 1.0 (2011- &gt;); Voyage 1.6 8V (2008 - 2017); Voyage 1.6 16V (2018- &gt;); Saveiro 1.6 (2015- &gt;) / AUDI: A1 1.4 16 V (2010- &gt;) / SEAT: Cordoba 1.6 e 1.8 (2004- &gt;)</t>
  </si>
  <si>
    <t>VOLKSWAGEN: 6Q0820367A; 6Q0820367;  6Q0820367B</t>
  </si>
  <si>
    <t>CU2545</t>
  </si>
  <si>
    <t>E961LI</t>
  </si>
  <si>
    <t>LA120</t>
  </si>
  <si>
    <t>ACP303</t>
  </si>
  <si>
    <t>FAC303</t>
  </si>
  <si>
    <t>CF9323</t>
  </si>
  <si>
    <t>AKX35163</t>
  </si>
  <si>
    <t>53.042.00</t>
  </si>
  <si>
    <t>CITROEN: Jumper 2.5 8V (1995-1998); Jumper 2.8 (2000- &gt;) / FIAT: Ducato 2.3 (2009-2017); Ducato 2.8 8V (1997- &gt;)/ PEUGEOT: Boxer 1.9 D (1996- &gt;); Boxer 1.9 TD (1996- &gt;); Boxer 2.5 D 94cv; Boxer 2.5 TD (1996- &gt;); Boxer 2.8 8V (1998-2002); Boxer 2.8 HDI 127 (2000-2002); Boxer 2.8.</t>
  </si>
  <si>
    <t>FIAT: 1312764080
PEUGEOT: 6447JO
CITROEN: 6447TY</t>
  </si>
  <si>
    <t>CU4442</t>
  </si>
  <si>
    <t>E953LI</t>
  </si>
  <si>
    <t>LA123</t>
  </si>
  <si>
    <t>ACP105</t>
  </si>
  <si>
    <t>FAC105</t>
  </si>
  <si>
    <t>CF8890</t>
  </si>
  <si>
    <t>AKX3548</t>
  </si>
  <si>
    <t>53.050.00</t>
  </si>
  <si>
    <t>TOYOTA: COROLLA 1.8 16V GAS. (06/07-); COROLLA 1.8 16V VVT-I FLEX (06/07-)</t>
  </si>
  <si>
    <t>CU1828</t>
  </si>
  <si>
    <t>E2930LI</t>
  </si>
  <si>
    <t>LA109</t>
  </si>
  <si>
    <t>ACP885</t>
  </si>
  <si>
    <t>FAC885</t>
  </si>
  <si>
    <t>CF10139</t>
  </si>
  <si>
    <t>AKX1962</t>
  </si>
  <si>
    <t>53.062.00</t>
  </si>
  <si>
    <t>DAF: XF105 (2012&gt;...)</t>
  </si>
  <si>
    <t>CU3132</t>
  </si>
  <si>
    <t>E944LI</t>
  </si>
  <si>
    <t>LA50/1</t>
  </si>
  <si>
    <t>ACP427</t>
  </si>
  <si>
    <t>AKX4530</t>
  </si>
  <si>
    <t>AF25840</t>
  </si>
  <si>
    <t>53.069.00</t>
  </si>
  <si>
    <t>CITROËN: C8 (2002&gt;2005) / PEUGEOT: 807 (2004)</t>
  </si>
  <si>
    <t>CU4179</t>
  </si>
  <si>
    <t>E1963LI</t>
  </si>
  <si>
    <t>LA1057</t>
  </si>
  <si>
    <t>CF9586</t>
  </si>
  <si>
    <t>AKX1410</t>
  </si>
  <si>
    <t>53.074.00</t>
  </si>
  <si>
    <t>FIAT: PALIO 1.0, 1.5, 1.6 (-&gt;00); PALIO WEEKEND 1.5 (97-04); 1.6 (97-03); SIENA 1.0, 1.5, 1.6 (-&gt;00)</t>
  </si>
  <si>
    <t>CU2344</t>
  </si>
  <si>
    <t>E950LI</t>
  </si>
  <si>
    <t>LA499</t>
  </si>
  <si>
    <t>ACP100</t>
  </si>
  <si>
    <t>FAC100</t>
  </si>
  <si>
    <t>CF8989</t>
  </si>
  <si>
    <t>AKX1372</t>
  </si>
  <si>
    <t>53.083.00</t>
  </si>
  <si>
    <t>RENAULT KANGOO 1.0 16V 00 -- 05 / KANGOO 1.6 16V FLEX 06 --&gt; / MÉGANE 2.0 16V 99 -- 05 / MÉGANE 1.6 8V(K7M746) 00 -- 07 N°ORIGINAL: 7700424093</t>
  </si>
  <si>
    <t>CU2424</t>
  </si>
  <si>
    <t>E979LI</t>
  </si>
  <si>
    <t>LA609</t>
  </si>
  <si>
    <t>ACP553</t>
  </si>
  <si>
    <t>CF5893</t>
  </si>
  <si>
    <t>AKX35370</t>
  </si>
  <si>
    <t>53.086.00</t>
  </si>
  <si>
    <t>RENAULT: GRAND SCENIC (2008&gt;...) / LAGUNA (1999&gt;2003)</t>
  </si>
  <si>
    <t>CU2149</t>
  </si>
  <si>
    <t>E997LI</t>
  </si>
  <si>
    <t>LA136</t>
  </si>
  <si>
    <t>CF9364</t>
  </si>
  <si>
    <t>AKX1200</t>
  </si>
  <si>
    <t>53.087.00</t>
  </si>
  <si>
    <t>RENAULT: Scenic 1.6 16V 110cv - 2001-&gt;;  Scenic 2.0 16V 138cv - 2001-&gt;</t>
  </si>
  <si>
    <t>CU2240</t>
  </si>
  <si>
    <t>E1961LI</t>
  </si>
  <si>
    <t>LA134</t>
  </si>
  <si>
    <t>CF9293</t>
  </si>
  <si>
    <t>AKX1210</t>
  </si>
  <si>
    <t>53.088.00</t>
  </si>
  <si>
    <t>FIAT: 500 1.4 16V EVO (07/07-07/11); 500 1.4 16V (08/11-); 500 1.4 8V EVO FLEX (08/11-); 500 1.4 8V FLEX (01/13-)</t>
  </si>
  <si>
    <t>CU2026</t>
  </si>
  <si>
    <t>E1929LI</t>
  </si>
  <si>
    <t>LA1031</t>
  </si>
  <si>
    <t>ACP819</t>
  </si>
  <si>
    <t>FAC819</t>
  </si>
  <si>
    <t>CF10025</t>
  </si>
  <si>
    <t>AKX1378</t>
  </si>
  <si>
    <t>53.089.00</t>
  </si>
  <si>
    <t>VOLVO: Caminhões modelos FH/FM</t>
  </si>
  <si>
    <t>VOLVO: 20409908; 8143691</t>
  </si>
  <si>
    <t>CU2184</t>
  </si>
  <si>
    <t>E947LI</t>
  </si>
  <si>
    <t>LA653</t>
  </si>
  <si>
    <t>ACP007</t>
  </si>
  <si>
    <t>FAC007</t>
  </si>
  <si>
    <t>CF5892</t>
  </si>
  <si>
    <t>AKX4007</t>
  </si>
  <si>
    <t>AF25305</t>
  </si>
  <si>
    <t>P782811</t>
  </si>
  <si>
    <t>53.094.00</t>
  </si>
  <si>
    <t>MBB: SÉRIE C W203 (00-&gt;)</t>
  </si>
  <si>
    <t>CU3461</t>
  </si>
  <si>
    <t>E970LI</t>
  </si>
  <si>
    <t>LA129</t>
  </si>
  <si>
    <t>CF9905</t>
  </si>
  <si>
    <t>AKX35160</t>
  </si>
  <si>
    <t>53.101.00</t>
  </si>
  <si>
    <t>MINI: COOPER ONE/S (2001&gt;...)</t>
  </si>
  <si>
    <t>CU4624</t>
  </si>
  <si>
    <t>E994LI01</t>
  </si>
  <si>
    <t>LA171</t>
  </si>
  <si>
    <t>CF9594</t>
  </si>
  <si>
    <t>AKX1630</t>
  </si>
  <si>
    <t>53.103.00</t>
  </si>
  <si>
    <t>TOYOTA: Land Cruiser Prado 3.0 16V (2004- &gt;); Land Cruiser Prado 3.0  TB (2010- &gt;); Previa 2.4 L 16V DOHC L4 (1990-2000)</t>
  </si>
  <si>
    <t>Toyota: 8713932010</t>
  </si>
  <si>
    <t>CU2131</t>
  </si>
  <si>
    <t>E2915LI</t>
  </si>
  <si>
    <t>LA647</t>
  </si>
  <si>
    <t>ACP884</t>
  </si>
  <si>
    <t>FCA884</t>
  </si>
  <si>
    <t>CF9846</t>
  </si>
  <si>
    <t>AKX1964</t>
  </si>
  <si>
    <t>53.107.00</t>
  </si>
  <si>
    <t>RENAULT: MEGANE 2.0 F4R 2.0 16V DE 2006&gt; - N. ORIGINAL RENAULT: 8200848492</t>
  </si>
  <si>
    <t>CU2316</t>
  </si>
  <si>
    <t>E1939LI</t>
  </si>
  <si>
    <t>LA606</t>
  </si>
  <si>
    <t>ACP551</t>
  </si>
  <si>
    <t>FAC551</t>
  </si>
  <si>
    <t>CF9442</t>
  </si>
  <si>
    <t>AKX1394</t>
  </si>
  <si>
    <t>53.109.00</t>
  </si>
  <si>
    <t>HONDA: FIT FLEX (06-08)</t>
  </si>
  <si>
    <t>CU1835</t>
  </si>
  <si>
    <t>E2959LI</t>
  </si>
  <si>
    <t>LA668</t>
  </si>
  <si>
    <t>ACP707</t>
  </si>
  <si>
    <t>FAC707</t>
  </si>
  <si>
    <t>CF10847</t>
  </si>
  <si>
    <t>AKX1937</t>
  </si>
  <si>
    <t>53.123.00</t>
  </si>
  <si>
    <t>HONDA: Civic 1.7 16V (2006); Civic 1.8 16V (2007- &gt;); Civic 2.4 16V (2015- &gt;); Accord 3.5 V6 280 cv(2013-&gt;); CRV 2.0 16V (2007-&gt;)</t>
  </si>
  <si>
    <t>HONDA: 80292SDGWO1; 80292SWA405</t>
  </si>
  <si>
    <t>CU2358</t>
  </si>
  <si>
    <t>E2990LI</t>
  </si>
  <si>
    <t>LA344</t>
  </si>
  <si>
    <t>ACP708</t>
  </si>
  <si>
    <t>FAC708</t>
  </si>
  <si>
    <t>CF10838</t>
  </si>
  <si>
    <t>AKX1456</t>
  </si>
  <si>
    <t>53.130.00</t>
  </si>
  <si>
    <t>CITROEN: Jumper 2.0 (2019-2021); Jumper 2.2 (2022- &gt;)/  PEUGEOT: Boxer 2.0 (2019- &gt;); Boxer 2.2 (2022- &gt;)</t>
  </si>
  <si>
    <t>E2940LI</t>
  </si>
  <si>
    <t>ACP333</t>
  </si>
  <si>
    <t>FAC333</t>
  </si>
  <si>
    <t>CF10420</t>
  </si>
  <si>
    <t>AKX3549F</t>
  </si>
  <si>
    <t>53.137.00</t>
  </si>
  <si>
    <t>MB: SPRINTER 311 CDI (11/12-); SPRINTER 415 CDI (11/12-); SPRINTER 515 CDI (11/12-)</t>
  </si>
  <si>
    <t>CU3569</t>
  </si>
  <si>
    <t>E2916LI</t>
  </si>
  <si>
    <t>LAK1002</t>
  </si>
  <si>
    <t>ACP601</t>
  </si>
  <si>
    <t>FAC601</t>
  </si>
  <si>
    <t>CF10436</t>
  </si>
  <si>
    <t>AKX3565</t>
  </si>
  <si>
    <t>53.139.00</t>
  </si>
  <si>
    <t>DAF: CF85;</t>
  </si>
  <si>
    <t>1362124; 1791192;</t>
  </si>
  <si>
    <t>CU2534</t>
  </si>
  <si>
    <t>E969LI</t>
  </si>
  <si>
    <t>AKX4535</t>
  </si>
  <si>
    <t>AF26145</t>
  </si>
  <si>
    <t>P785365</t>
  </si>
  <si>
    <t>53.146.00</t>
  </si>
  <si>
    <t>NISSAN: SENTRA 2.0 16V (03/07-) GAS. / 2.0 FLEX (08/09-)</t>
  </si>
  <si>
    <t>CU1936</t>
  </si>
  <si>
    <t>E2976LI</t>
  </si>
  <si>
    <t>LA396</t>
  </si>
  <si>
    <t>ACP727</t>
  </si>
  <si>
    <t>FAC727</t>
  </si>
  <si>
    <t>CF10917</t>
  </si>
  <si>
    <t>AKX1953</t>
  </si>
  <si>
    <t>53.148.00</t>
  </si>
  <si>
    <t>AUDI: A3 1.6 (2006-2011);  A3 2.0 (2006- &gt;); A4 1.8 (2002- &gt;); A4 2.4 V6  (2002- 2003); A4 3.0 V6  (2001-2006); A4 4.2 V8 (2002-2008); A6 1.9 (2000-2005); A6 2.4 V6 (1998- 2002); A6 2.7T V6 (1998-2001); A6 4.2 V8 (1999-2006); A6 3.0 V6 (2001-2005) / VOLKSWAGEN: Eos 2.0 16V (2008- &gt;); Jetta 1.4 16V (2016- &gt;); Jetta 2.0 16V TFSI S-Tronic (2010- &gt;); Jetta 2.0 8V (2011-2015);  Jetta 2.0 16V 206cv (2007-2013); Passat 2.0 16V TSI (2010-2014); Passat 2.0(2005-2007); Tiguan 1.4 16V (2017- &gt;); Tiguan 2.0 16V (2007- &gt;)</t>
  </si>
  <si>
    <t>VOLKSWAGEN: 1K0819644A; 1K0819644B; 1K0819644</t>
  </si>
  <si>
    <t>CU2939</t>
  </si>
  <si>
    <t>E998LI</t>
  </si>
  <si>
    <t>LAK181</t>
  </si>
  <si>
    <t>ACP309</t>
  </si>
  <si>
    <t>FAC309</t>
  </si>
  <si>
    <t>CF10844</t>
  </si>
  <si>
    <t>AKX1100</t>
  </si>
  <si>
    <t>53.152.00</t>
  </si>
  <si>
    <t>HYUNDAI: I30 2.0 16V 145CV - GLS  (2008- &gt;)</t>
  </si>
  <si>
    <t>HYUNDAI: 971331H000; 971332L000</t>
  </si>
  <si>
    <t>CU2532</t>
  </si>
  <si>
    <t>E2989LI</t>
  </si>
  <si>
    <t>LA648</t>
  </si>
  <si>
    <t>ACP979</t>
  </si>
  <si>
    <t>FAC979</t>
  </si>
  <si>
    <t>CF10471</t>
  </si>
  <si>
    <t>AKX2004</t>
  </si>
  <si>
    <t>53.153.00</t>
  </si>
  <si>
    <t>CU2450</t>
  </si>
  <si>
    <t>E2948LI</t>
  </si>
  <si>
    <t>ACP310</t>
  </si>
  <si>
    <t>FAC310</t>
  </si>
  <si>
    <t>CF10458</t>
  </si>
  <si>
    <t>AKX1113</t>
  </si>
  <si>
    <t>53.154.00</t>
  </si>
  <si>
    <t>CITROEN: C4 2.0 16V (2009- &gt;); DS5 1.6 (2012- &gt;); Jumpy Blue HDi 1.6 8V (2012- &gt;) / PEUGEOT: 3008 1.6 16V (2011- &gt;); 5008 1.6 16V (2018- &gt;); Expert Blue HDi 1.6 8V (2017- &gt;); Partner 1.6 16V (2010- &gt;);  RCZ 1.6 16V Turbo (2011- 2015)</t>
  </si>
  <si>
    <t>CU29003-2</t>
  </si>
  <si>
    <t>E2977LI-2</t>
  </si>
  <si>
    <t>ACP798/9</t>
  </si>
  <si>
    <t>FAC798/9</t>
  </si>
  <si>
    <t>CF10536-2</t>
  </si>
  <si>
    <t>AKX1445</t>
  </si>
  <si>
    <t>53.157.00</t>
  </si>
  <si>
    <t>FIAT: Linea  1.4 16V T-JET (11/08-&gt;); Linea 1.9 16V (11/08-&gt;); Punto 1.4 16V T-JET (03/09-&gt;); Punto 1.4 8V FIRE FLEX (07/07-&gt;); Punto 1.8 8V FLEX (07/07-&gt;)</t>
  </si>
  <si>
    <t>FIAT: 7086604</t>
  </si>
  <si>
    <t>CU20001</t>
  </si>
  <si>
    <t>E2987LI</t>
  </si>
  <si>
    <t>LA612</t>
  </si>
  <si>
    <t>ACP904</t>
  </si>
  <si>
    <t>FAC904</t>
  </si>
  <si>
    <t>CF10829</t>
  </si>
  <si>
    <t>AKX1375</t>
  </si>
  <si>
    <t>53.158.00</t>
  </si>
  <si>
    <t>BMW: X3 2.5 24V - (E83 - FAMILY / SPORT 4X4) - GASOLINA - AUTOMÁTICO 2007&gt; - N. ORIGINAL BMW: 64311000004; BMW: 64319071934</t>
  </si>
  <si>
    <t>CU6724</t>
  </si>
  <si>
    <t>E977LI</t>
  </si>
  <si>
    <t>ACP521</t>
  </si>
  <si>
    <t>CF8913</t>
  </si>
  <si>
    <t>AKX1500</t>
  </si>
  <si>
    <t>53.160.B0</t>
  </si>
  <si>
    <t>HONDA: City 1.5 16V - 115cv (2009-2021); City  1.5 16V - 126cv (2022- &gt;); Civic 2.0 16V - 155 cv (2016- &gt;); Civic 1.5 16V - 173 cv (2016- &gt;); CRV 1.5 190 cv (2018- &gt;); Fit 1.5 16V - 115cv (2009- &gt;); HRV 1.8 16V - 140 cv (2015- &gt;); HRV 1.5 - 176 cv (2020- &gt;); WRV 1.5 - 176 cv (2017- &gt;)</t>
  </si>
  <si>
    <t>HONDA: 80291TF0U01; 80291T5RP01; 80292TG0Q01; 80292TG0Q02</t>
  </si>
  <si>
    <t>CU21003</t>
  </si>
  <si>
    <t>E3929LI</t>
  </si>
  <si>
    <t>LA607</t>
  </si>
  <si>
    <t>ACP709</t>
  </si>
  <si>
    <t>FAC709</t>
  </si>
  <si>
    <t>CF10843</t>
  </si>
  <si>
    <t>AKX1939</t>
  </si>
  <si>
    <t>53.161.00</t>
  </si>
  <si>
    <t>IVECO: DAILY 50.13 2.8 8V DIESEL 8140.43S (01/03-); 70.12  8140.43S (01/04-); 38.13, 40.13 E 59.12 2.8 8V DIESEL 8140.43S (01/05-); 70.13  8140.43S (01/05-); 60.13  8140.43S (01/06-); 55 S 14 3.0 16V TB-IC ELETRÔNICO DIESEL F1C IVECO (01/08-); 35 S 14 3.0 16V TB-IC ELETRÔNICO DIESEL FPT F1C IVECO (01/08 - 03/12); 45 S 14, 50 C 16 E 70 C 16 3.0 16V TB-IC ELETRÔNICO DIESEL FPT F1C IVECO (01/08-)</t>
  </si>
  <si>
    <t>CU2952</t>
  </si>
  <si>
    <t>E2953LI</t>
  </si>
  <si>
    <t>LA439</t>
  </si>
  <si>
    <t>ACP821</t>
  </si>
  <si>
    <t>FAC821</t>
  </si>
  <si>
    <t>CF10597</t>
  </si>
  <si>
    <t>AKX1376</t>
  </si>
  <si>
    <t>AF55713</t>
  </si>
  <si>
    <t>53.164.00</t>
  </si>
  <si>
    <t>RENAULT: MASTER 2.5 16V (03/12-)</t>
  </si>
  <si>
    <t>CU2418-2</t>
  </si>
  <si>
    <t>E2982LI-2</t>
  </si>
  <si>
    <t>ACP837KIT</t>
  </si>
  <si>
    <t>FAC837KIT</t>
  </si>
  <si>
    <t>CF10534-2</t>
  </si>
  <si>
    <t>AKX1201</t>
  </si>
  <si>
    <t>53.207.B0</t>
  </si>
  <si>
    <t>FORD: Ecosport 1.6 16V (2012- &gt;); Ecosport 2.0 16V (2012- &gt;); Ecosport 1.5 (2017- &gt;);Fiesta 1.5 16V (2014- &gt;); Fiesta 1.0 12V (2017- &gt;) ;New Fiesta 1.6 16V (2010- &gt;); KA 1.0 12V (2014- &gt;); KA 1.5 16V (2014- &gt;)</t>
  </si>
  <si>
    <t>FORD: BE8Z19N619A; CN1118D543AA</t>
  </si>
  <si>
    <t>CU2436</t>
  </si>
  <si>
    <t>E2964LI</t>
  </si>
  <si>
    <t>LA785</t>
  </si>
  <si>
    <t>ACP205</t>
  </si>
  <si>
    <t>FAC205</t>
  </si>
  <si>
    <t>CF11670</t>
  </si>
  <si>
    <t>AKX35347F</t>
  </si>
  <si>
    <t>53.210.B0</t>
  </si>
  <si>
    <t>FIAT:Argo 1.0, 1.3 e 1.8 (2017- &gt;); Cronos 1.0 Firefly Aspirado (2022- &gt;); Cronos 1.3 Firefly (2017- &gt;); Cronos 1.8 E-Torq (2017- &gt;); Fastback 1.0 (2022- &gt;); Fastback 1.3 (2022- &gt;); Fiorino 1.4 8V EVO (2006- &gt;); Grand Siena 1.4 8V ( 2012- &gt;); Mobi 1.0 (2016- &gt;); Palio 1.0 e 1.4 (2011- &gt;); Pulse 1.0 Turbo (2021- &gt;); Pulse 1.3 (2021- &gt;); Strada 1.3 8V (2020- &gt;); Strada 1.3 Firefly (2022- &gt;); Starda 1.4 8V (2020- &gt;); Uno 1.0 ( 2010- &gt;); Uno 1.4 ( 2010- 2016);  Uno 1.3 ( 2016- &gt;)</t>
  </si>
  <si>
    <t>FIAT: 51836363; 51842923</t>
  </si>
  <si>
    <t>CU20006</t>
  </si>
  <si>
    <t>LA633</t>
  </si>
  <si>
    <t>ACP906</t>
  </si>
  <si>
    <t>FAC906/1</t>
  </si>
  <si>
    <t>AKX35323</t>
  </si>
  <si>
    <t>53.211.B0</t>
  </si>
  <si>
    <t>FIAT: TORO 1.8 FLEX (01/16-); 2.0 DIESEL (01/16-); 
JEEP: RENEGADE 1.8 E-TORQ EVO FLEX (03/15-); 2.0 M-JET (03/15-)</t>
  </si>
  <si>
    <t>FIAT: 51979427</t>
  </si>
  <si>
    <t>CU16005</t>
  </si>
  <si>
    <t>E3953LI</t>
  </si>
  <si>
    <t>ACP907</t>
  </si>
  <si>
    <t>FAC907</t>
  </si>
  <si>
    <t>CF11662</t>
  </si>
  <si>
    <t>AKX2108</t>
  </si>
  <si>
    <t>53.215.00</t>
  </si>
  <si>
    <t>NISSAN: MARCH 1.0 16V FLEX (09/11-04/14); 1.6 16V FLEX (09/11-); VERSA 1.6 16V FLEX (10/11-)</t>
  </si>
  <si>
    <t>CU23011</t>
  </si>
  <si>
    <t>E2997LI</t>
  </si>
  <si>
    <t>LA903</t>
  </si>
  <si>
    <t>ACP730</t>
  </si>
  <si>
    <t>FAC730</t>
  </si>
  <si>
    <t>CF11243</t>
  </si>
  <si>
    <t>AKX1959</t>
  </si>
  <si>
    <t>53.218.B0</t>
  </si>
  <si>
    <t>GM: S10 2.4 8V - 147 cv (2012- &gt;); S10 2.4 8V - 147 cv ( 2015- &gt;); S10 2.8 16V - 200 cv (2012- &gt;)/  MITSUBISH: Pajero sport 2.4 - 190 cv (2018- &gt;); ASX 2.0 16V - 160 cv (2016- &gt;); lancer 2.0 16V - 160 cv (2011- &gt;); Outlander 2.4 16V - 170 cv (2008- &gt;); Outlander 2.0 16V - 160 cv (2011- &gt;); Outlander 2.2 16V (2016- &gt;); Outlander 3.0 V6 - 240 cv (2014- &gt;)</t>
  </si>
  <si>
    <t>GM: 84384A500A</t>
  </si>
  <si>
    <t>CU2141</t>
  </si>
  <si>
    <t>E3917LI</t>
  </si>
  <si>
    <t>LA909</t>
  </si>
  <si>
    <t>ACP816</t>
  </si>
  <si>
    <t>FAC816</t>
  </si>
  <si>
    <t>CF10431</t>
  </si>
  <si>
    <t>AKX1993</t>
  </si>
  <si>
    <t>53.223.00</t>
  </si>
  <si>
    <t>FORD: Transit 2.2TDCI (2012- &gt;)/ Transit 2.4 TDCI (2008 - &gt;)</t>
  </si>
  <si>
    <t>FORD:6C1119G244AAK</t>
  </si>
  <si>
    <t>E2994LI</t>
  </si>
  <si>
    <t>LA904</t>
  </si>
  <si>
    <t>ACP208</t>
  </si>
  <si>
    <t>FAC208</t>
  </si>
  <si>
    <t>CF11484</t>
  </si>
  <si>
    <t>AKX35178</t>
  </si>
  <si>
    <t>53.224.00</t>
  </si>
  <si>
    <t>BMW: 118I 1.6 16V (09/11-); 125I 2.0 16V FLEX (03/15-); 316I 1.6 16V (12/13-); 320I 2.0 16V FLEX (03/12-); 328I 2.0 16V (07/12-); 320I GT SPORT (07/12-)</t>
  </si>
  <si>
    <t>CU25001</t>
  </si>
  <si>
    <t>E2991LI</t>
  </si>
  <si>
    <t>LA742</t>
  </si>
  <si>
    <t>ACP525</t>
  </si>
  <si>
    <t>CF11472</t>
  </si>
  <si>
    <t>AKX1541F</t>
  </si>
  <si>
    <t>53.226.00</t>
  </si>
  <si>
    <t>AUDI: A6 (2004&gt;2011), R8 (2010&gt;...), RS3 (2012&gt;2016), RS6 (2008&gt;2011), S3 (1999&gt;2003), S6 (2007&gt;...) / LAMBORGUINI: GALLARDO (2003&gt;...)</t>
  </si>
  <si>
    <t>CU3023-2</t>
  </si>
  <si>
    <t>LA239</t>
  </si>
  <si>
    <t>CFA10209-2</t>
  </si>
  <si>
    <t>AKX1111</t>
  </si>
  <si>
    <t>53.229.00</t>
  </si>
  <si>
    <t>BMW: 528i; 535iA; 550i; 750Ci; 760Ci; M5; M6; Série 6;</t>
  </si>
  <si>
    <t>CU2533/2</t>
  </si>
  <si>
    <t>E2978LI/2</t>
  </si>
  <si>
    <t>ACP529/9</t>
  </si>
  <si>
    <t>CF11220/2</t>
  </si>
  <si>
    <t>AKX1570-2</t>
  </si>
  <si>
    <t>53.231.00</t>
  </si>
  <si>
    <t>LAND ROVER: DISCOVERY 4 3.0 24V V6 DIESEL (09/09-08/10), 3.0 24V V6 DIESEL (09/09-)</t>
  </si>
  <si>
    <t>CU2747</t>
  </si>
  <si>
    <t>E3982LI</t>
  </si>
  <si>
    <t>LA1037</t>
  </si>
  <si>
    <t>ACP813</t>
  </si>
  <si>
    <t>AKX1935</t>
  </si>
  <si>
    <t>53.238.B0</t>
  </si>
  <si>
    <t>GM: Tracker 1.0 12V 3cil Turbo (2020- &gt;); Tracker 1.2 12V (2020- &gt;); Onix 1.0 3cil 116cv Turbo (2019- &gt;); Equinox 1.5 16V (2020- &gt;); Equinox 2.0 (2017- &gt;); Cruze 1.4 16V 152cv (2016- &gt;); Camaro 6.2 V8 16V 461cv (2017- &gt;)</t>
  </si>
  <si>
    <t>GM: 13356914; 23135671</t>
  </si>
  <si>
    <t>CUK24003</t>
  </si>
  <si>
    <t>ACP008</t>
  </si>
  <si>
    <t>FAC008</t>
  </si>
  <si>
    <t>CF11966</t>
  </si>
  <si>
    <t>AKX35725</t>
  </si>
  <si>
    <t>53.249.00</t>
  </si>
  <si>
    <t>SUBARU: FORESTER (2006&gt;2008), IMPREZA (2005&gt;2007) / SUZUKI: S-CROSS, VITARA, VITARA TURBO (2017&gt;...) / TOYOTA: HILUX SW4 (2016&gt;...)</t>
  </si>
  <si>
    <t>CU2145</t>
  </si>
  <si>
    <t>E3973LI</t>
  </si>
  <si>
    <t>LA1045</t>
  </si>
  <si>
    <t>AKX1986</t>
  </si>
  <si>
    <t>53.253.00</t>
  </si>
  <si>
    <t>BMW: X3 F25 (10-17); X4 F26 (14-18)</t>
  </si>
  <si>
    <t>BMW: 64119237159</t>
  </si>
  <si>
    <t>CU1721/2</t>
  </si>
  <si>
    <t>LA873/S</t>
  </si>
  <si>
    <t>CF11532-2</t>
  </si>
  <si>
    <t>53.254.B0</t>
  </si>
  <si>
    <t>GM: Cobalt 1.4 8V (2011- &gt;); Cobalt 1.8 8V (2013- &gt;);Cruze 1.8 16V (2011- &gt;); Sonic 1.6 (2012- 2015); Spin 1.8 (2012- &gt;); Onix 1.0 8V (2012- &gt;); Onix 1.4 (2012- &gt;); Prisma 1.0 (2013- &gt;); Prisma 1.4 (2013- &gt;); Joy plus 1.0 8V (2020- &gt;); Tracker 1.4 ( 2017- &gt;); Tracker 1.8 16V ( 2014- &gt;)</t>
  </si>
  <si>
    <t>GM: 13271191; 52102242</t>
  </si>
  <si>
    <t>CU2442</t>
  </si>
  <si>
    <t>E2962LI</t>
  </si>
  <si>
    <t>LA472</t>
  </si>
  <si>
    <t>ACP126</t>
  </si>
  <si>
    <t>FAC126</t>
  </si>
  <si>
    <t>CF10774</t>
  </si>
  <si>
    <t>AKX35723</t>
  </si>
  <si>
    <t>53.256.00</t>
  </si>
  <si>
    <t>RENAULT: LOGAN 1.6 8V FLEX (02/15-); SANDERO 1.0 16V FLEX (06/14-); 1.6 8V FLEX (03/14-)</t>
  </si>
  <si>
    <t>CU20030</t>
  </si>
  <si>
    <t>E3914LI</t>
  </si>
  <si>
    <t>ACP559</t>
  </si>
  <si>
    <t>FAC559</t>
  </si>
  <si>
    <t>AKX1399</t>
  </si>
  <si>
    <t>53.257.00</t>
  </si>
  <si>
    <t xml:space="preserve">JEEP: CHEROKEE 3.7 2009&gt;  E  CHEROKEE 6.1 2006 A 2010 N° ORIGINAL  05013595AA </t>
  </si>
  <si>
    <t>CU4727</t>
  </si>
  <si>
    <t>E1996LI</t>
  </si>
  <si>
    <t>ACP822</t>
  </si>
  <si>
    <t>FAC822</t>
  </si>
  <si>
    <t>AKX2101</t>
  </si>
  <si>
    <t>53.275.00</t>
  </si>
  <si>
    <t>MBB: VITO 111 CDI 447 - OM 622.951 (09/14-); 119 2.0L TOURER M 274 (09/16-)</t>
  </si>
  <si>
    <t>CU22016</t>
  </si>
  <si>
    <t>E4930LI</t>
  </si>
  <si>
    <t>AKX3592</t>
  </si>
  <si>
    <t>53.289.00</t>
  </si>
  <si>
    <t>SCANIA: SÉRIE P (230, 270, 310, 340, 420),G (380, 420, 440), R (380, 420, 440, 470, 480, 500) (10/07-&gt;)</t>
  </si>
  <si>
    <t>CU37001</t>
  </si>
  <si>
    <t>E2960LI</t>
  </si>
  <si>
    <t>LA702</t>
  </si>
  <si>
    <t>ACP177</t>
  </si>
  <si>
    <t>FAC177</t>
  </si>
  <si>
    <t>CF10860</t>
  </si>
  <si>
    <t>AKX4528</t>
  </si>
  <si>
    <t>AF27692</t>
  </si>
  <si>
    <t>P753338</t>
  </si>
  <si>
    <t>53.294.00</t>
  </si>
  <si>
    <t>CHRYSLER / INFINITI / NISSAN</t>
  </si>
  <si>
    <t>27277AR025; 27277EG025; 68042866AA; 68042866AB;</t>
  </si>
  <si>
    <t>CU23003</t>
  </si>
  <si>
    <t>E3997LI</t>
  </si>
  <si>
    <t>LA460</t>
  </si>
  <si>
    <t>ACP531</t>
  </si>
  <si>
    <t>CF10743</t>
  </si>
  <si>
    <t>AKX2103</t>
  </si>
  <si>
    <t>53.314.00</t>
  </si>
  <si>
    <t>VOLVO: S60 III/V60 II/V60 II Cross Country (2.0), XC60 II</t>
  </si>
  <si>
    <t>VOLVO
31404470
31407747</t>
  </si>
  <si>
    <t>CU34003</t>
  </si>
  <si>
    <t>CF12155</t>
  </si>
  <si>
    <t>53.317.00</t>
  </si>
  <si>
    <t>FIAT PALIO 1.0 8V (99-00) / 1.6 16V (97-03) / 1.5 8V (07-04) / STRADA 1.5 8V (99-04) / 1.6 16V (99-02)</t>
  </si>
  <si>
    <t>CU2504</t>
  </si>
  <si>
    <t>LA601</t>
  </si>
  <si>
    <t>ACP101</t>
  </si>
  <si>
    <t>FAC101</t>
  </si>
  <si>
    <t>CF9034</t>
  </si>
  <si>
    <t>AKX35322</t>
  </si>
  <si>
    <t>53.320.00</t>
  </si>
  <si>
    <t>MB: C 180 1.6 16V 2014&gt;...; C 200 2014&gt;...</t>
  </si>
  <si>
    <t xml:space="preserve">1668300018; 1668300218; </t>
  </si>
  <si>
    <t>CU25002</t>
  </si>
  <si>
    <t>E3900LI</t>
  </si>
  <si>
    <t>LA877</t>
  </si>
  <si>
    <t>ACP605</t>
  </si>
  <si>
    <t>CF11719</t>
  </si>
  <si>
    <t>AKX3593</t>
  </si>
  <si>
    <t>53.323.00</t>
  </si>
  <si>
    <t>FORD: Transit 2.0 16V - 170 cv (2022-&gt;)</t>
  </si>
  <si>
    <t>FORD: 1812679; BK2118D543AA</t>
  </si>
  <si>
    <t>CU29007</t>
  </si>
  <si>
    <t>E3921LI</t>
  </si>
  <si>
    <t>LA947</t>
  </si>
  <si>
    <t>AKX35184</t>
  </si>
  <si>
    <t>53.325.00</t>
  </si>
  <si>
    <t>DODGE: DURANGO (2012&gt;...) / JEEP: GRAND CHEROKEE (2011&gt;...)</t>
  </si>
  <si>
    <t>CU27008</t>
  </si>
  <si>
    <t>E3995LI</t>
  </si>
  <si>
    <t>LA902</t>
  </si>
  <si>
    <t>ACP794</t>
  </si>
  <si>
    <t>CF11183</t>
  </si>
  <si>
    <t>AKX2105</t>
  </si>
  <si>
    <t>53.326.00</t>
  </si>
  <si>
    <t>JEEP: Cherokee Limited /  Longitude 3.2 V6 271cv - 2014-&gt;</t>
  </si>
  <si>
    <t>68223044AA; K68223044AA;</t>
  </si>
  <si>
    <t>LA1159</t>
  </si>
  <si>
    <t>ACP792</t>
  </si>
  <si>
    <t>FAC792</t>
  </si>
  <si>
    <t>AKX2107</t>
  </si>
  <si>
    <t>53.338.00</t>
  </si>
  <si>
    <t>MITSUBISHI PAJERO SPORT 2001 -&gt; N. ORIGINAL: XZ311917</t>
  </si>
  <si>
    <t>CU23000-2</t>
  </si>
  <si>
    <t>ACP482</t>
  </si>
  <si>
    <t>FAC482</t>
  </si>
  <si>
    <t>AKX1999</t>
  </si>
  <si>
    <t>53.383.00</t>
  </si>
  <si>
    <t>FORD: RANGER 2.2 TDCI (11/11-); 2.5 16V FLEX DURATEC (07/12-); 3.2 20V TDCI (07/12-)</t>
  </si>
  <si>
    <t>E3980LI</t>
  </si>
  <si>
    <t>LA833</t>
  </si>
  <si>
    <t>CF11548</t>
  </si>
  <si>
    <t>AKX35177</t>
  </si>
  <si>
    <t>53.396.00</t>
  </si>
  <si>
    <t>HYUNDAI: Azera 3.0 24V V6 Gas. GLS DOHC CVVT (12/11-); Santa Fé 2.4 16V (09/12-); 3.3 24V V6 Gas. MPFI (02/14-); Sonata 2.4 16V Gas. (11/07-) / KIA MOTORS: Optima 2.4 16V Gas. (01/12-)</t>
  </si>
  <si>
    <t>HYUNDAI
97133-2W000
97133-3SAA0</t>
  </si>
  <si>
    <t>CU26017</t>
  </si>
  <si>
    <t>E3911LI</t>
  </si>
  <si>
    <t>LA819</t>
  </si>
  <si>
    <t>ACP814</t>
  </si>
  <si>
    <t>CF11178</t>
  </si>
  <si>
    <t>AKX2007</t>
  </si>
  <si>
    <t>53.425.00</t>
  </si>
  <si>
    <t>JOHN DEERE: Colheitadeiras Auto-Propelida modelos S540/S550 / S660/S670/S680/S690 ; Colhedora de Cana CH570/CH670; Tratores série 6R / 6M / etc</t>
  </si>
  <si>
    <t>JOHN DEERE: L155288</t>
  </si>
  <si>
    <t>CU2136</t>
  </si>
  <si>
    <t>E5913LI</t>
  </si>
  <si>
    <t>ACP219</t>
  </si>
  <si>
    <t>AF55829</t>
  </si>
  <si>
    <t>53.436.00</t>
  </si>
  <si>
    <t>MERCEDES BENZ: AXOR 1933 BlueTec5 (2013- &gt;); AXOR 1933 326 CV (2017- &gt;); AXOR 1933S (2005-2012); AXOR 2035S (2005-&gt;); AXOR 2036 (2012- &gt;); AXOR 2040S (2005- &gt;); AXOR 2044S (2006- &gt;); AXOR 2533 (2005-2011); AXOR 2533 BlueTec 5 (2012- &gt;); AXOR 2536 (2012- &gt;);  AXOR 2540 (2004- &gt;);  AXOR 2540S (2005-2011); AXOR 2541 (2012- &gt;);  AXOR 2543 (2002- 2011); AXOR 2544S (2006- &gt;); AXOR 2640 (2004- &gt;); AXOR 2640S (2006- &gt;); AXOR 2641 (2012- &gt;); AXOR 2644 (2012- &gt;); AXOR 2644S (2005-2011); AXOR 2826 (2006-2011); AXOR 2831 (2005-2011); AXOR 3340S-K (2005- &gt;); AXOR 3344S-K (2006- &gt;); AXOR 4140K (2006- &gt;); AXOR 4141 (2012- &gt;); AXOR 4144K (2006- &gt;).</t>
  </si>
  <si>
    <t>MERCEDES BENZ: A9408350047</t>
  </si>
  <si>
    <t>CU4469</t>
  </si>
  <si>
    <t>E980LI</t>
  </si>
  <si>
    <t>LA358</t>
  </si>
  <si>
    <t>ACP969/1</t>
  </si>
  <si>
    <t>FAC969</t>
  </si>
  <si>
    <t>CF9810</t>
  </si>
  <si>
    <t>AKX4004</t>
  </si>
  <si>
    <t>P789247</t>
  </si>
  <si>
    <t>53.482.00</t>
  </si>
  <si>
    <t>JOHN DEERE: Trator 5078E/5085E/5090E.</t>
  </si>
  <si>
    <t>JOHN DEERE:   RE195491</t>
  </si>
  <si>
    <t>CU3125</t>
  </si>
  <si>
    <t>E5916LI</t>
  </si>
  <si>
    <t>AKX4552</t>
  </si>
  <si>
    <t>AF55779</t>
  </si>
  <si>
    <t>53.484.00</t>
  </si>
  <si>
    <t xml:space="preserve">JOHN DEERE: Tratores: 7715/7815/8420/8430 </t>
  </si>
  <si>
    <t>JOHN DEERE: RE187966</t>
  </si>
  <si>
    <t>CU32005</t>
  </si>
  <si>
    <t>E1982LI</t>
  </si>
  <si>
    <t>LA676</t>
  </si>
  <si>
    <t>ACP187</t>
  </si>
  <si>
    <t>FAC187</t>
  </si>
  <si>
    <t>AKX4607</t>
  </si>
  <si>
    <t>AF26357</t>
  </si>
  <si>
    <t>P750014</t>
  </si>
  <si>
    <t>53.485.00</t>
  </si>
  <si>
    <t xml:space="preserve">JOHN DEERE: Trator 5078E/5085E/5090E </t>
  </si>
  <si>
    <t>JOHN DEERE: RE198488</t>
  </si>
  <si>
    <t>CU3939</t>
  </si>
  <si>
    <t>E5920LI</t>
  </si>
  <si>
    <t>ACP488</t>
  </si>
  <si>
    <t>AKX4546</t>
  </si>
  <si>
    <t>AF27954</t>
  </si>
  <si>
    <t>P956136</t>
  </si>
  <si>
    <t>53.488.00</t>
  </si>
  <si>
    <t xml:space="preserve">JOHN DEERE: Tratores 8270R/8295R/9320R/8345R/8370R. </t>
  </si>
  <si>
    <t>JOHN DEERE: RE291412</t>
  </si>
  <si>
    <t>CU33128</t>
  </si>
  <si>
    <t>AF55750</t>
  </si>
  <si>
    <t>53.491.00</t>
  </si>
  <si>
    <t xml:space="preserve">JOHN DEERE 7R, 8000, 8R, 9000, 9R, 9RT, S, T SERIES  </t>
  </si>
  <si>
    <t>JOHN DEERE: RE284091</t>
  </si>
  <si>
    <t>CU61225</t>
  </si>
  <si>
    <t>ACP091</t>
  </si>
  <si>
    <t>AKX4553</t>
  </si>
  <si>
    <t>AF55740</t>
  </si>
  <si>
    <t>53.512.00</t>
  </si>
  <si>
    <t>DAF: New CF (FC86); XF (XF106) (2021-&gt;)</t>
  </si>
  <si>
    <t>DAF: 2181324; 2181325</t>
  </si>
  <si>
    <t>CU16003/2</t>
  </si>
  <si>
    <t>AKX4532/2</t>
  </si>
  <si>
    <t>AF56109</t>
  </si>
  <si>
    <t>53.516.00</t>
  </si>
  <si>
    <t>CAT: 322B; 325B; 325C; 325D; 325DL; 330B; 330C; 330D; 330DL; 330DLN; 345C; 345CL; 350; 350L; 365B; 365BL; 365BL II; 375; 375L; 385B; 385BL; 5080; 5090B; 5110; 533; 543; CB434D; CB534D; CB564D; CD54; D3G LGP; D3G LGP; D3G XL; D3G XL; D4G LGP; D4G LGP; D4G XL; D4G XL; D5G LGP; D5G LGP; D5G XL; D5G XL; TK1051; TK380; TK711; TK721; TK722; TK732; TK741; TK751; TK752 / TEREX; TA27; TA30; TA400; TA400; TR60</t>
  </si>
  <si>
    <t>CAT: 6C9226 
TEREX: 15270794; 15274303</t>
  </si>
  <si>
    <t>AF55788</t>
  </si>
  <si>
    <t>P777576</t>
  </si>
  <si>
    <t>53.525.00</t>
  </si>
  <si>
    <t>TOYOTA: Corolla 2.0 - 177 cv (2020-&gt;), Corolla 1.8 - 177 cv (2021-&gt;); HiLux 2.8 16V - 177 cv (2016-&gt;), Prius 1.8 - 98 cv (2012-&gt;)</t>
  </si>
  <si>
    <t>TOYOTA: 87139-2802; 87139-28020</t>
  </si>
  <si>
    <t>CU22032</t>
  </si>
  <si>
    <t>E4959LI</t>
  </si>
  <si>
    <t>ACP889</t>
  </si>
  <si>
    <t>AKX1967</t>
  </si>
  <si>
    <t>53.555.00</t>
  </si>
  <si>
    <t>FORD: Mustang 2.3 Ecoboost 5.0l (2014- &gt;); Mustang 5.0 GT (2017- &gt;)</t>
  </si>
  <si>
    <t>FORD:5277386; FR3B-18D483-AA</t>
  </si>
  <si>
    <t>53.583.00</t>
  </si>
  <si>
    <t>J.C BAMFORD: 400-SÉRIE (RETRO ESCAVADEIRA) 411B PERKINS 1004 | 06.97 -&gt;; 500 SÉRIE 528-70 | 01.06 -&gt;; LOADALL 535-95 PERKINS 01.00 -&gt;;</t>
  </si>
  <si>
    <t>JCB
30/925759</t>
  </si>
  <si>
    <t>CU2910</t>
  </si>
  <si>
    <t>E5929L</t>
  </si>
  <si>
    <t>AF55847</t>
  </si>
  <si>
    <t>53.587.00</t>
  </si>
  <si>
    <t>PEUGEOT: 208 1.6 16V - 118 cv (2021- &gt;) / CITROEN: C3 1.0 3 Cil - 75 cv (2023- &gt;); C3 1.6 16V - 113 cv (2023- &gt;)</t>
  </si>
  <si>
    <t>PEUGEOT: 9833351080</t>
  </si>
  <si>
    <t>CU26025/2</t>
  </si>
  <si>
    <t>E6902LI-2</t>
  </si>
  <si>
    <t>LC487002</t>
  </si>
  <si>
    <t>AKX1452-2</t>
  </si>
  <si>
    <t>53.590.00</t>
  </si>
  <si>
    <t>JCB: Escavadeira Hidráulica JS200 W Isuzu. (Cód. Original 30/926020)</t>
  </si>
  <si>
    <t>JCB: 30926020</t>
  </si>
  <si>
    <t>CU4219</t>
  </si>
  <si>
    <t>E5928LI</t>
  </si>
  <si>
    <t>ACP421</t>
  </si>
  <si>
    <t>54.101.00</t>
  </si>
  <si>
    <t>Elemento Filtrante Do Ar Condicionado - Carvão Ativado</t>
  </si>
  <si>
    <t>AUDI: A4 (2000&gt;2008), A6 (1997&gt;2005), RS4 FSI (2005&gt;2012), S6 (2002&gt;2004)</t>
  </si>
  <si>
    <t>CUK3037</t>
  </si>
  <si>
    <t>E955LC</t>
  </si>
  <si>
    <t>LAK93</t>
  </si>
  <si>
    <t>CFA9548</t>
  </si>
  <si>
    <t>AKX1110/C</t>
  </si>
  <si>
    <t>54.103.00</t>
  </si>
  <si>
    <t>FIAT: STILO 1.8 MPI 16V (03-&gt;); 1.8 MPI 8V (03-06); 1.8 MPI FLEX 8V (06-&gt;); 2.4 MPI 20V (03-&gt;)</t>
  </si>
  <si>
    <t>CUK2422</t>
  </si>
  <si>
    <t>E992LC</t>
  </si>
  <si>
    <t>ACA104</t>
  </si>
  <si>
    <t>CF9533</t>
  </si>
  <si>
    <t>AKX35711/C</t>
  </si>
  <si>
    <t>54.108.00</t>
  </si>
  <si>
    <t>BMW: SÉRIE 5 (E39/E60) (2000&gt;2005)</t>
  </si>
  <si>
    <t>CUK2736-2</t>
  </si>
  <si>
    <t>E960LC-2</t>
  </si>
  <si>
    <t>LAK73S</t>
  </si>
  <si>
    <t>CFA8912-2</t>
  </si>
  <si>
    <t>AKX1465/C</t>
  </si>
  <si>
    <t>54.111.00</t>
  </si>
  <si>
    <t>CITRÖEN:C3 1.4 8V SOHC (03-&gt;); 1.4 8V FLEX (07-&gt;); 1.6 16V (02-&gt;); 1.6 16V FLEX (06-&gt;); C4 2.0 16V (07-) / PEUGEOT: 307 1.6 16V (01-07); 1.6 16V FLEX (07-&gt;); 2.0 16V (03-&gt;) / VOLVO: NH TODOS (8122446)</t>
  </si>
  <si>
    <t>CITROEN: 6447NV</t>
  </si>
  <si>
    <t>CUK2940</t>
  </si>
  <si>
    <t>E2979LC</t>
  </si>
  <si>
    <t>LAK138</t>
  </si>
  <si>
    <t>CFA9587</t>
  </si>
  <si>
    <t>AKX1446/C</t>
  </si>
  <si>
    <t>54.114.00</t>
  </si>
  <si>
    <t>VW: FOX 1.0 (10/03-&gt;), 1.6 GAS. (05-&gt;), 1.6 FLEX (04-&gt;); SPACEFOX 1.6 FLEX (06-&gt;); CROSSFOX 1.6 (09/06-&gt;); POLO 1.0 16V (02-05), 1.6 (02-06), 1.8 TURBO (06-&gt;), 2.0 (01/02-07/06); GOL (08-&gt;);  VOYAGE (08-&gt;) / SEAT IBIZA; CORDOBA (02-&gt;) (6Q0820367)</t>
  </si>
  <si>
    <t>CUK2545</t>
  </si>
  <si>
    <t>E961LC</t>
  </si>
  <si>
    <t>LAK120</t>
  </si>
  <si>
    <t>CFA9404</t>
  </si>
  <si>
    <t>AKX35163/C</t>
  </si>
  <si>
    <t>54.115.00</t>
  </si>
  <si>
    <t>FORD: ECOSPORT 1.0 SUPERCHARGER ZETEC ROCAM (03-06);1.6 ZETEC ROCAM (03-); 1.6 ZETEC ROCAM FLEX (05/05-); 2.0 DURATECH HE CÂMBIO MANUAL (03-); 2.0 DURATECH HE CÂMBIO AUTOMÁTICO (11/06-) / FIESTA 1.0 E 1.6 ZETEC ROCAM (04/02-); 1.6 ZETC ROCAM FLEX (08/04-)</t>
  </si>
  <si>
    <t>CUK2433</t>
  </si>
  <si>
    <t>E1903LC</t>
  </si>
  <si>
    <t>LAK169</t>
  </si>
  <si>
    <t>ACA202</t>
  </si>
  <si>
    <t>FAC202</t>
  </si>
  <si>
    <t>CFA9666</t>
  </si>
  <si>
    <t>AKX35346/CF</t>
  </si>
  <si>
    <t>54.117.00</t>
  </si>
  <si>
    <t>LEXUS: ES330 (2005&gt;2006), RX350 (2012&gt;...) / SUBARU: LEGACY, OUTBACK (2004&gt;...) / TOYOTA: LAND CRUISER (2004&gt;...)</t>
  </si>
  <si>
    <t>CUK2131</t>
  </si>
  <si>
    <t>E2915LC</t>
  </si>
  <si>
    <t>CFA9846</t>
  </si>
  <si>
    <t>AKX1964/C</t>
  </si>
  <si>
    <t>54.121.00</t>
  </si>
  <si>
    <t>BMW: SÉRIE 3 (E46) (2001&gt;2007), X3 (E83) (2004&gt;2010)</t>
  </si>
  <si>
    <t>CUK6724</t>
  </si>
  <si>
    <t>E977LC</t>
  </si>
  <si>
    <t>LAK102</t>
  </si>
  <si>
    <t>CFA8913</t>
  </si>
  <si>
    <t>AKX1500/C</t>
  </si>
  <si>
    <t>54.122.00</t>
  </si>
  <si>
    <t>RENAULT: LAGUNA (2000&gt;...)</t>
  </si>
  <si>
    <t>CUK2149</t>
  </si>
  <si>
    <t>E997LC</t>
  </si>
  <si>
    <t>LAK136</t>
  </si>
  <si>
    <t>CFA9364</t>
  </si>
  <si>
    <t>AKX1200/C</t>
  </si>
  <si>
    <t>54.124.00</t>
  </si>
  <si>
    <t>AUDI: A3 1.6 (05/03-); A3 2.0 16V TFSI (04/05-); VOLKSWAGEN: JETTA 2.0 16V TOTALFLEX (10/10-), 2.5 20V VARIANT GAS. (01/11-), 2.5 20V TIPTRONIC (09/06-06/07) E 2.5 V5 (07/07-10/10); PASSAT 2.0 16V TSI (11/10-), 2.0 16V FSI/TSI (03/05-11/05), 2.0 16V PASSAT/VARIANT (10/05-), 3.2 VR6 FSI (09/05-07/10), 3.6 24V V6 FSI (05/09-02/13)</t>
  </si>
  <si>
    <t>CUK2939</t>
  </si>
  <si>
    <t>E998LC</t>
  </si>
  <si>
    <t>CFA11486</t>
  </si>
  <si>
    <t>AKX1100/C</t>
  </si>
  <si>
    <t>54.127.00</t>
  </si>
  <si>
    <t>BMW: SÉRIE 5 (E60) (2003&gt;2010), SÉRIE 6 (E63) (2004&gt;2010)</t>
  </si>
  <si>
    <t>CUK3139-2</t>
  </si>
  <si>
    <t>E2963LC</t>
  </si>
  <si>
    <t>LAK197</t>
  </si>
  <si>
    <t>CFA10103-2</t>
  </si>
  <si>
    <t>AKX1550/C</t>
  </si>
  <si>
    <t>54.132.00</t>
  </si>
  <si>
    <t>MERCEDES BENZ: CLASSE E (2002&gt;2009)</t>
  </si>
  <si>
    <t>CUK18000-2</t>
  </si>
  <si>
    <t>E989LC01-2</t>
  </si>
  <si>
    <t>LKK165/S</t>
  </si>
  <si>
    <t>CFA9788-2</t>
  </si>
  <si>
    <t>AKX3573/C</t>
  </si>
  <si>
    <t>54.133.00</t>
  </si>
  <si>
    <t>MERCEDES BENZ: CLASSE CLS (2005&gt;2010)</t>
  </si>
  <si>
    <t>CUK3172</t>
  </si>
  <si>
    <t>E989LC</t>
  </si>
  <si>
    <t>LAK156</t>
  </si>
  <si>
    <t>CFA9785</t>
  </si>
  <si>
    <t>AKX3577/C</t>
  </si>
  <si>
    <t>54.143.00</t>
  </si>
  <si>
    <t>VECTRA FLEX 2.0/ 2.4 16V 2006&gt;2008; ASTRA 1.8I/2.0 8V 1999&gt;2004</t>
  </si>
  <si>
    <t xml:space="preserve">13175554; 1718046; 6808607; </t>
  </si>
  <si>
    <t>CUK3054</t>
  </si>
  <si>
    <t>E910LC</t>
  </si>
  <si>
    <t>LAK75</t>
  </si>
  <si>
    <t>CFA8868</t>
  </si>
  <si>
    <t>AKX35264/CF</t>
  </si>
  <si>
    <t>54.146.00</t>
  </si>
  <si>
    <t>MERCEDES BENZ: CLASSE A (2006&gt;2010), CLASSE B (2005&gt;2011)</t>
  </si>
  <si>
    <t>CUK4054</t>
  </si>
  <si>
    <t>E1918LC</t>
  </si>
  <si>
    <t>LAK252</t>
  </si>
  <si>
    <t>CFA10055</t>
  </si>
  <si>
    <t>AKX3575/C</t>
  </si>
  <si>
    <t>54.148.00</t>
  </si>
  <si>
    <t>AUDI: Q7 FSI (2006&gt;...) / PORSCHE: CAYENNE (2002&gt;...) / VOLKSWAGEN: AMAROK (2015&gt;...), TOUAREG (2004&gt;2010)</t>
  </si>
  <si>
    <t>CUK2842</t>
  </si>
  <si>
    <t>E1910LC</t>
  </si>
  <si>
    <t>LAK1096</t>
  </si>
  <si>
    <t>CFA9881</t>
  </si>
  <si>
    <t>AKX1140/C</t>
  </si>
  <si>
    <t>AF55715</t>
  </si>
  <si>
    <t>54.149.00</t>
  </si>
  <si>
    <t>MERCEDES BENZ</t>
  </si>
  <si>
    <t>1718300418; 1728350047; A1718300418; A1728350047;</t>
  </si>
  <si>
    <t>CUK3621</t>
  </si>
  <si>
    <t>E2904LC</t>
  </si>
  <si>
    <t>LAK246</t>
  </si>
  <si>
    <t>CFA11239</t>
  </si>
  <si>
    <t>54.150.00</t>
  </si>
  <si>
    <t>FERRARI: CALIFORNIA (2008&gt;...), F430 (2005&gt;2009)</t>
  </si>
  <si>
    <t>CUK2232</t>
  </si>
  <si>
    <t>E3976LC</t>
  </si>
  <si>
    <t>LAK297</t>
  </si>
  <si>
    <t>CFA10199</t>
  </si>
  <si>
    <t>AKX1369/C</t>
  </si>
  <si>
    <t>54.153.00</t>
  </si>
  <si>
    <t>CUK3023</t>
  </si>
  <si>
    <t>E1944LC-2</t>
  </si>
  <si>
    <t>LAK239</t>
  </si>
  <si>
    <t>AKX1111/C</t>
  </si>
  <si>
    <t>54.154.00</t>
  </si>
  <si>
    <t>BMW: SÉRIE 1 (E81/E82/E87/E88) (2007&gt;2013); SÉRIE 3 (E90/E91/E92/E93) (2007&gt;2013), X1 (E84) (2009&gt;...)</t>
  </si>
  <si>
    <t>CUK8430</t>
  </si>
  <si>
    <t>E1959LC</t>
  </si>
  <si>
    <t>LAK248</t>
  </si>
  <si>
    <t>CFA10206</t>
  </si>
  <si>
    <t>AKX1540/C</t>
  </si>
  <si>
    <t>54.158.00</t>
  </si>
  <si>
    <t>FORD: NOVO FOCUS 1.6 E 2.0L 16V DURATEC - FLEX E GASOLINA (07/10-)</t>
  </si>
  <si>
    <t>CUK2440</t>
  </si>
  <si>
    <t>E1990LC</t>
  </si>
  <si>
    <t>LAK293</t>
  </si>
  <si>
    <t>CFA10527</t>
  </si>
  <si>
    <t>AKX35175/CF</t>
  </si>
  <si>
    <t>54.159.00</t>
  </si>
  <si>
    <t>LAND ROVER: FREELANDER 2.0 16V 2012&gt;...; FREELANDER 2.2 16V ED4 TDI 2010&gt;...; FREELANDER 2.2 16V SD4 DIESEL 2010&gt;...; RANGE ROVER EVOQUE 2.0 16V GAS. 2011&gt;...</t>
  </si>
  <si>
    <t>30767022; 31449209; 6G9N180543BA; LR000899; LR056138;  C2Z32298;</t>
  </si>
  <si>
    <t>CUK2733</t>
  </si>
  <si>
    <t>E2949LC</t>
  </si>
  <si>
    <t>ACA805</t>
  </si>
  <si>
    <t xml:space="preserve">AKX1938/C </t>
  </si>
  <si>
    <t>54.161.00</t>
  </si>
  <si>
    <t>CUK3569</t>
  </si>
  <si>
    <t>E2916LC</t>
  </si>
  <si>
    <t>PA10436</t>
  </si>
  <si>
    <t>AKX3565/C</t>
  </si>
  <si>
    <t>54.163.00</t>
  </si>
  <si>
    <t>MB: C 180 CGI 1.8 16V (01/09-04/12); C 200 CGI 1.8 16V (04/09-); C 250 CGI 1.8 16V (04/09-); C 63 AMG 6.2 32V V8 (02/08-)</t>
  </si>
  <si>
    <t>CUK29005</t>
  </si>
  <si>
    <t>E2954LC03</t>
  </si>
  <si>
    <t>LAK413</t>
  </si>
  <si>
    <t>CFA10934</t>
  </si>
  <si>
    <t>AKX3589/C</t>
  </si>
  <si>
    <t>54.167.00</t>
  </si>
  <si>
    <t>MITSUBISH: ASX 2.0 16V (10-); OUTLANDER 2.4 (09-) E 3.0 (07-)</t>
  </si>
  <si>
    <t>CUK2141</t>
  </si>
  <si>
    <t>E3917LC</t>
  </si>
  <si>
    <t>LAK436</t>
  </si>
  <si>
    <t>AKX1993/C</t>
  </si>
  <si>
    <t>54.168.00</t>
  </si>
  <si>
    <t>CUK2450</t>
  </si>
  <si>
    <t>E2948LC</t>
  </si>
  <si>
    <t>LAK386</t>
  </si>
  <si>
    <t>CFA10458</t>
  </si>
  <si>
    <t>AKX1113/C</t>
  </si>
  <si>
    <t>54.172.00</t>
  </si>
  <si>
    <t>CITROËN: C4 (2009&gt;...), DS5 (2012&gt;...), JUMPY (2017&gt;...) / PEUGEOT: 3008 (2011&gt;...), 5008 (2018&gt;...), EXPERT FURGÃO (2017&gt;...)</t>
  </si>
  <si>
    <t>CUK3039-2</t>
  </si>
  <si>
    <t>LAK428/S</t>
  </si>
  <si>
    <t>ACA798</t>
  </si>
  <si>
    <t>CFA10419-2</t>
  </si>
  <si>
    <t>AKX1445/C</t>
  </si>
  <si>
    <t>54.175.00</t>
  </si>
  <si>
    <t>MINI: Cooper 1.6 (2008&gt;...)</t>
  </si>
  <si>
    <t>CUK4436</t>
  </si>
  <si>
    <t>E2947LC</t>
  </si>
  <si>
    <t>LAK385</t>
  </si>
  <si>
    <t>AKX1631/CF</t>
  </si>
  <si>
    <t>54.176.00</t>
  </si>
  <si>
    <t>CUK2132</t>
  </si>
  <si>
    <t>E2946LC</t>
  </si>
  <si>
    <t>LAK430</t>
  </si>
  <si>
    <t>CFA10612</t>
  </si>
  <si>
    <t>AKX3568/C</t>
  </si>
  <si>
    <t>54.177.00</t>
  </si>
  <si>
    <t>MAN: 816191000018
VW: 2V5820367; 2V5819429</t>
  </si>
  <si>
    <t>CUK4795</t>
  </si>
  <si>
    <t>E954LC</t>
  </si>
  <si>
    <t>LAK154</t>
  </si>
  <si>
    <t>PA10337</t>
  </si>
  <si>
    <t>AF55719</t>
  </si>
  <si>
    <t>P786092</t>
  </si>
  <si>
    <t>54.178.00</t>
  </si>
  <si>
    <t>GM: CRUZE 1.8 16V FLEX (11-)</t>
  </si>
  <si>
    <t>CUK2442</t>
  </si>
  <si>
    <t>E2962LC</t>
  </si>
  <si>
    <t>CFA10775</t>
  </si>
  <si>
    <t>AKX35723/C</t>
  </si>
  <si>
    <t>54.199.00</t>
  </si>
  <si>
    <t>AUDI: A1 1.4 16V TFSI GAS. (05/10-); 1.4 16V TFSI GAS. (11/10-); 2.0 16V TFSI QUATTRO GAS. (04/12-);
VW: FOX 1.0 12V FLEX (06/13-); GOL 1.0 8V TOTAL FLEX (G5/G6) (03/08-12/15); 1.6 8V TOTAL FLEX (G5/G6) (07/08-)</t>
  </si>
  <si>
    <t>CUK26010</t>
  </si>
  <si>
    <t>E3919LC</t>
  </si>
  <si>
    <t>LAK809</t>
  </si>
  <si>
    <t>AKX1116/C</t>
  </si>
  <si>
    <t>54.215.00</t>
  </si>
  <si>
    <t>MERCEDES BENZ: CLASSE GL (2007&gt;...), CLASSE ML (2006&gt;2011), CLASSE R (2006&gt;...)</t>
  </si>
  <si>
    <t>CUK2646-2</t>
  </si>
  <si>
    <t>E2912LC01-2</t>
  </si>
  <si>
    <t>LAK2951C</t>
  </si>
  <si>
    <t>CFA10828-2</t>
  </si>
  <si>
    <t>AKX3580/C</t>
  </si>
  <si>
    <t>54.218.00</t>
  </si>
  <si>
    <t>FORD: FOCUS (2014&gt;...) / VOLVO: V40 (2013&gt;...)</t>
  </si>
  <si>
    <t>CUK25007</t>
  </si>
  <si>
    <t>E3905LC</t>
  </si>
  <si>
    <t>LAK875</t>
  </si>
  <si>
    <t>AC213</t>
  </si>
  <si>
    <t>AKX3594/CF</t>
  </si>
  <si>
    <t>54.219.00</t>
  </si>
  <si>
    <t>AUDI: A3 1.4 TFSI (04/14-) E 1.8 16V TFSI (01/12-)</t>
  </si>
  <si>
    <t>CUK26009</t>
  </si>
  <si>
    <t>E2998LC</t>
  </si>
  <si>
    <t>LAK888</t>
  </si>
  <si>
    <t>CFA11643</t>
  </si>
  <si>
    <t>AKX35281/C</t>
  </si>
  <si>
    <t>54.220.00</t>
  </si>
  <si>
    <t>MITSUBISHI:  LANCER EVOLUTION 2.0 16V TURBO DE 2003&gt; N. ORIGINAL: MITSUBISHI MR398288; MITSUBISHI: L200 TRITON 2010&gt; N. ORIGINAL: CA550058</t>
  </si>
  <si>
    <t>MITSUBISHI: MR398288</t>
  </si>
  <si>
    <t>CUK2231</t>
  </si>
  <si>
    <t>E1998LC</t>
  </si>
  <si>
    <t>LA1003</t>
  </si>
  <si>
    <t>ACA483</t>
  </si>
  <si>
    <t>CFA10746</t>
  </si>
  <si>
    <t>AKX1995/C</t>
  </si>
  <si>
    <t>54.222.00</t>
  </si>
  <si>
    <t>AUDI: A6 (2012&gt;...), A7 (2012&gt;...), A8 (2010&gt;...), RS6 (2013&gt;...), RS7 (2014&gt;...), S6/S7/S8 (2013&gt;...)</t>
  </si>
  <si>
    <t>CUK2641</t>
  </si>
  <si>
    <t>E2996LC</t>
  </si>
  <si>
    <t>LAK917</t>
  </si>
  <si>
    <t>CFA11436</t>
  </si>
  <si>
    <t>AKX1115/C</t>
  </si>
  <si>
    <t>54.226.00</t>
  </si>
  <si>
    <t>CUK25001</t>
  </si>
  <si>
    <t>E2991LC</t>
  </si>
  <si>
    <t>CFA11472</t>
  </si>
  <si>
    <t>AKX1541/CF</t>
  </si>
  <si>
    <t>54.230.00</t>
  </si>
  <si>
    <t>GM: ZAFIRA 2.0 16V (01-&gt;), 2.0 8V (99-&gt;), 2.0 8V FLEX (05-&gt;), 2.0 16V (01-&gt;)</t>
  </si>
  <si>
    <t>CUK2757</t>
  </si>
  <si>
    <t>E911LC</t>
  </si>
  <si>
    <t>LAK74</t>
  </si>
  <si>
    <t>CFA8867</t>
  </si>
  <si>
    <t>AKX35285/C</t>
  </si>
  <si>
    <t>54.236.00</t>
  </si>
  <si>
    <t>MB: A 200 STYLE 2013&gt;...;  CLA 200 1.6 16V GAS. 2014&gt;...;  CLA 45 AMG 2.0 16V GAS. 2014&gt;...;  GLA 200 1.6 16V GAS. 2014&gt;...</t>
  </si>
  <si>
    <t xml:space="preserve">A2468300018; A2468300118; </t>
  </si>
  <si>
    <t>CUK26007</t>
  </si>
  <si>
    <t>E2993LC</t>
  </si>
  <si>
    <t>LAK879</t>
  </si>
  <si>
    <t>AKX3591/C</t>
  </si>
  <si>
    <t>54.243.00</t>
  </si>
  <si>
    <t>BMW: X5; X5 30d; X5 35i; X5 50d; X5 50i; X5 M; X6 35i; X6 50i; X6 M;</t>
  </si>
  <si>
    <t>64119248294; 64316945586;</t>
  </si>
  <si>
    <t>CUK2941/2</t>
  </si>
  <si>
    <t>E2944LC/2</t>
  </si>
  <si>
    <t>LAK221/S</t>
  </si>
  <si>
    <t>CFA10920/2</t>
  </si>
  <si>
    <t>AKX1560/C</t>
  </si>
  <si>
    <t>54.245.00</t>
  </si>
  <si>
    <t>FIAT: TORO (2016&gt;...)</t>
  </si>
  <si>
    <t>CUK22022</t>
  </si>
  <si>
    <t>AKX2108/C</t>
  </si>
  <si>
    <t>54.262.00</t>
  </si>
  <si>
    <t>FIAT: DOBLÓ 1.3 16V (02-06) 1.6 16V (02-05) 1.8 8V FLEX (06-) 1.8 8V (04-06)</t>
  </si>
  <si>
    <t>CUK2335</t>
  </si>
  <si>
    <t>E1962LC</t>
  </si>
  <si>
    <t>LAK124</t>
  </si>
  <si>
    <t>CFA9408</t>
  </si>
  <si>
    <t>AKX35293/C</t>
  </si>
  <si>
    <t>54.263.00</t>
  </si>
  <si>
    <t>AUDI: A3 (96-04); TT (98-&gt;) / SEAT: IBIZA; CORDOBA (93-02) / VOLKSWAGEN: PASSAT (B6) (00-05); BORA (98-&gt;); GOLF (93-98); GOLF (98-&gt;); POLO CLASSIC (94-&gt;); NEW BEETLE (98-&gt;)</t>
  </si>
  <si>
    <t>CUK2882</t>
  </si>
  <si>
    <t>E900LC</t>
  </si>
  <si>
    <t>LAK31</t>
  </si>
  <si>
    <t>CFA8893</t>
  </si>
  <si>
    <t>AKX35132/C</t>
  </si>
  <si>
    <t>54.266.00</t>
  </si>
  <si>
    <t>DAIHATSU, JAGUAR, LAND ROVER, LEXUS, TOYOTA</t>
  </si>
  <si>
    <t>CUK1919</t>
  </si>
  <si>
    <t>E2945LC</t>
  </si>
  <si>
    <t>LAK490</t>
  </si>
  <si>
    <t>CFA10322</t>
  </si>
  <si>
    <t>AKX1965/C</t>
  </si>
  <si>
    <t>54.268.00</t>
  </si>
  <si>
    <t>CUK1936</t>
  </si>
  <si>
    <t>E2976LC</t>
  </si>
  <si>
    <t>LAK396</t>
  </si>
  <si>
    <t>ACA727</t>
  </si>
  <si>
    <t>AKX1953/C</t>
  </si>
  <si>
    <t>54.273.00</t>
  </si>
  <si>
    <t>TOYOTA: COROLLA (1992&gt;2007), HILUX SW4 FLEX (2016&gt;...), YARIS (2018&gt;...)</t>
  </si>
  <si>
    <t>CUK2035</t>
  </si>
  <si>
    <t>E1927LC</t>
  </si>
  <si>
    <t>LAK157</t>
  </si>
  <si>
    <t>CFA9686</t>
  </si>
  <si>
    <t>AKX1963/C</t>
  </si>
  <si>
    <t>54.279.00</t>
  </si>
  <si>
    <t>BMW 1 (F40) 2019&gt;...; BMW 2 ACTIVE / GRAN TOURER / GRAN COUPE (F44,F45, F46)...&lt;2014; BMW X1 (F48) 2015&gt;...; BMW X2 (F39) 2019&gt;...</t>
  </si>
  <si>
    <t>64116823726; 64119321875; 64316835405; 64316835406;</t>
  </si>
  <si>
    <t>CUK23015/2</t>
  </si>
  <si>
    <t>LAK1156/S</t>
  </si>
  <si>
    <t>CFA11815/2</t>
  </si>
  <si>
    <t>54.290.00</t>
  </si>
  <si>
    <t>JAGUAR: XF (2009&gt;...), XFR ((2010&gt;...), XFR-S (2014&gt;2015), SJ (2010&gt;...)</t>
  </si>
  <si>
    <t>CUK2030</t>
  </si>
  <si>
    <t>LAK454</t>
  </si>
  <si>
    <t>AKX3590/C</t>
  </si>
  <si>
    <t>54.292.00</t>
  </si>
  <si>
    <t>AUDI: A4; A5; E-TRON; Q5; Q6; Q7; Q8 - 2016&gt;</t>
  </si>
  <si>
    <t>AUDI: 4M0819439A; 8W0819439A;</t>
  </si>
  <si>
    <t>CUK31003</t>
  </si>
  <si>
    <t>E4931LC</t>
  </si>
  <si>
    <t>LAK1294</t>
  </si>
  <si>
    <t>CFA12211</t>
  </si>
  <si>
    <t>AKX1118/CF</t>
  </si>
  <si>
    <t>54.352.00</t>
  </si>
  <si>
    <t xml:space="preserve">DAF: Novo XF (XF106) Aplica de 07.2015 em diante
</t>
  </si>
  <si>
    <t>DAF: 1953596</t>
  </si>
  <si>
    <t>CUK33001</t>
  </si>
  <si>
    <t>E4947LB</t>
  </si>
  <si>
    <t>LAK1422</t>
  </si>
  <si>
    <t>AF55841</t>
  </si>
  <si>
    <t>54.370.00</t>
  </si>
  <si>
    <t>BMW: 745LE M 3.0 V6 (2020- &gt;);  X5 3.0 (2020- &gt;)</t>
  </si>
  <si>
    <t>BMW: 64115A13761; 64115A1BDB6; 64115A29E66</t>
  </si>
  <si>
    <t>CUK23014/2</t>
  </si>
  <si>
    <t>E4938LC-2</t>
  </si>
  <si>
    <t>CFA12501-2</t>
  </si>
  <si>
    <t>AKX1595/CF2</t>
  </si>
  <si>
    <t>54.381.00</t>
  </si>
  <si>
    <t>JOHN DEERE:  7R Série; R Série</t>
  </si>
  <si>
    <t>JHON DEERE: RE333569</t>
  </si>
  <si>
    <t>CUK33128</t>
  </si>
  <si>
    <t>AF4315</t>
  </si>
  <si>
    <t>54.393.00</t>
  </si>
  <si>
    <t xml:space="preserve">BMW: 64119382885; 64119382886
TOYOTA: 87139WAA01 </t>
  </si>
  <si>
    <t>CUK30007</t>
  </si>
  <si>
    <t>E4980LC</t>
  </si>
  <si>
    <t>LAK1398</t>
  </si>
  <si>
    <t>AKX1594/CF</t>
  </si>
  <si>
    <t>54.428.00</t>
  </si>
  <si>
    <t>CHRYSLER: 300C 5.7 V8, 16V (2005- 2009);  300C 6.1 16V (2006- 2010);  300C 3.5 V6, 24V (2007- 2009)</t>
  </si>
  <si>
    <t>CHRYSLER: 04596501AB</t>
  </si>
  <si>
    <t>CUK3137</t>
  </si>
  <si>
    <t>E3975LC</t>
  </si>
  <si>
    <t>LAK247</t>
  </si>
  <si>
    <t>CFA10364</t>
  </si>
  <si>
    <t>AKX1901/C</t>
  </si>
  <si>
    <t>54.429.00</t>
  </si>
  <si>
    <t xml:space="preserve">LAND ROVER: Defender 2.0 (2020- &gt;) / </t>
  </si>
  <si>
    <t>LAND ROVER: LR133345; LR133511</t>
  </si>
  <si>
    <t>ACA133</t>
  </si>
  <si>
    <t>54.437.00</t>
  </si>
  <si>
    <t>VOLVO: S60 2.0 (2020- &gt;); S90 2.0 (2020- &gt;); XC40 2.0, gasol. (2021- &gt;); XC40 2.0, dies. (2018- &gt;); XC40 1.5, gasol. (2020- &gt;); XC40 T4 2.0, gasol. (2018- &gt;);  XC40 T5 2.0, gasol. (2018- &gt;); XC60 2.0, gasol. (2020- &gt;); XC90 2.0, gasol. (2020- &gt;).</t>
  </si>
  <si>
    <t>VOLVO: 31497285; 31497284</t>
  </si>
  <si>
    <t>CUK29010</t>
  </si>
  <si>
    <t>E5945LC</t>
  </si>
  <si>
    <t>LAK1677</t>
  </si>
  <si>
    <t>AKX1833/CF</t>
  </si>
  <si>
    <t>55.127.00</t>
  </si>
  <si>
    <t>CITROËN: JUMPER 2.0HDI, 2.8HDI (2005&gt;...) / FIAT: DUCATO 2.0JTD, 2.8JTD (2005&gt;...) / PEUGEOT: BOXER 2.0HDI, 2.8HDI (2005&gt;...)</t>
  </si>
  <si>
    <t>55.143.01</t>
  </si>
  <si>
    <t>55.661.B0</t>
  </si>
  <si>
    <t>8003453807358</t>
  </si>
  <si>
    <t>MERCEDES BENZ: 1215; 1420; 1621K; 1622L; 1714L; 1720K-A; 1723S; 2318L/LK/LB;2418L / IVECO: EuroCargo; XF105460; B1621; 150E 4600; Stralis 450 S38T / VOLKSWAGEM: 12140T; 12180; 13180;15180;17180</t>
  </si>
  <si>
    <t>MERCEDES: A3760927001</t>
  </si>
  <si>
    <t>WK1040</t>
  </si>
  <si>
    <t>H233WK</t>
  </si>
  <si>
    <t>PSD460/6</t>
  </si>
  <si>
    <t>FCD3060</t>
  </si>
  <si>
    <t>FS1287</t>
  </si>
  <si>
    <t>R6010M</t>
  </si>
  <si>
    <t>P551026</t>
  </si>
  <si>
    <t>55.662.B0</t>
  </si>
  <si>
    <t xml:space="preserve">8003453807365 </t>
  </si>
  <si>
    <t>IVECO: Stralis 500S33T; Stralis 500S44T; Stralis 500S48T / VOLKSWAGEM: 13180E; 15170E; 15180E; 15190E; 16220; 17220; 17250E; 17300; 17310; 18310; 19320E; 23220; 23250E; 23310; 24220; 24250; 26260; 26300; 31260E; 31370E; 8150E; 9150E.</t>
  </si>
  <si>
    <t>VW: 2R0127177C</t>
  </si>
  <si>
    <t>WK10002</t>
  </si>
  <si>
    <t>H706WK</t>
  </si>
  <si>
    <t>PSD980/6</t>
  </si>
  <si>
    <t>FCD30125</t>
  </si>
  <si>
    <t>FS20223</t>
  </si>
  <si>
    <t>R120L10MAQII</t>
  </si>
  <si>
    <t>P551874</t>
  </si>
  <si>
    <t>55.663.B0</t>
  </si>
  <si>
    <t xml:space="preserve">8003453807372 </t>
  </si>
  <si>
    <t>MERCEDES BENZ: 1218E; 1620L; 1634LS; 1718M; 710;Accelo (715C; 815; 915C) Atego (1418; 1719; 1726; 1728; 2426; 2428); Atron( 1319; 1635; 1719; 2324) / FORD: Cargo 2042; 2842</t>
  </si>
  <si>
    <t>MERCEDES: A9794770015K</t>
  </si>
  <si>
    <t>WK1060/4</t>
  </si>
  <si>
    <t>H7118WK10</t>
  </si>
  <si>
    <t>PSD920/6</t>
  </si>
  <si>
    <t>R120L10MBAQII</t>
  </si>
  <si>
    <t>55.664.B0</t>
  </si>
  <si>
    <t>MERCEDEZ BENZ: 1632LS; 1634LS; 1938 / SCANIA:114PRT; 124PRT; 164R; G360; G380; G420; G440; G470; P230;P270; P310; P340; P360; P420; R380; R420; R440; R470; R480; R500; R580; R620; R112E; T114GA; B75; B76; F94 HB300; K114; K124; K230; K270; K310; K340; K360; K420; L94II;  / VOLVO: FH12340; FH12380; FH12420; FM12340; FM12380; FM12420; FM12460; NH12340; NH12360; NH12380; NH12420; NL10320; NL10340; NL12360; NL12410; VM17210; VM23210; VM23240; B10M245 ADC; B10M285 ADC; B10M340 ADC; B10M; L110E / JOHN DEERE: 6850; 744H</t>
  </si>
  <si>
    <t>WK1060/2</t>
  </si>
  <si>
    <t>PSD490/6</t>
  </si>
  <si>
    <t>FCD3091/3</t>
  </si>
  <si>
    <t>SB12010M</t>
  </si>
  <si>
    <t>55.664.B1</t>
  </si>
  <si>
    <t xml:space="preserve">VOLKSWAGEM: 13160; 13170E; 13190; 15190; 17190; 17250; 17260; 17280; 19320; 24250; 24280; 24320; 26280; 31260; 31280; 31320E; 5150; 5150E; 8150E; 8160; 8250E; 9160; VM310  / MAN: 28440; 29440; 29480; 33440 / </t>
  </si>
  <si>
    <t>VW:2R0127177J</t>
  </si>
  <si>
    <t>WK10002/1x</t>
  </si>
  <si>
    <t>H501WK</t>
  </si>
  <si>
    <t>KC637D</t>
  </si>
  <si>
    <t>PSD981/6</t>
  </si>
  <si>
    <t>FCD30123</t>
  </si>
  <si>
    <t>R120LJ10MAQII</t>
  </si>
  <si>
    <t>P579029</t>
  </si>
  <si>
    <t>55.665.B0</t>
  </si>
  <si>
    <t>SCANIA: 1393640; 8159975</t>
  </si>
  <si>
    <t>R9030M</t>
  </si>
  <si>
    <t>55.666.B0</t>
  </si>
  <si>
    <t>55.668.B0</t>
  </si>
  <si>
    <t>VOLKSWAGEN: 10160 Cummins ISF 160 (2012- &gt;); 11180 Cummins ISF 3.8L 175cv (2017- &gt;); 5150E Cummins ISF SCR 3.6 (2011- &gt;); 6160 Cummins ISF 2.8L 160cv (2017- &gt;); 8160 Cummins ISF SCR 3.8 (2012- &gt;); 9160 Cummins ISF SCR 3.8 (2012- &gt;); 9170 Cummins (2017- &gt;) / AGRALE: 8700 Cummins ISF 3.8L (2014- &gt;); A1000 Cummins ISF 3.8L (2014- &gt;); A9500 Cummins ISF 3.8L (2014- &gt;).</t>
  </si>
  <si>
    <t>VOLKSWAGEN:2P0127177</t>
  </si>
  <si>
    <t>KC617</t>
  </si>
  <si>
    <t>PSC706</t>
  </si>
  <si>
    <t>FBD706</t>
  </si>
  <si>
    <t>FCD4000</t>
  </si>
  <si>
    <t>FF5706</t>
  </si>
  <si>
    <t>RC828</t>
  </si>
  <si>
    <t>P555706</t>
  </si>
  <si>
    <t>60.H2O.00</t>
  </si>
  <si>
    <t>71746975, 77362340, 77363600, 77365902, 1906C4, 190697, 190698, 1606267680</t>
  </si>
  <si>
    <t>PU723X</t>
  </si>
  <si>
    <t>E83KP02D140</t>
  </si>
  <si>
    <t>KX208/D</t>
  </si>
  <si>
    <t>PEC3023</t>
  </si>
  <si>
    <t>CE3023</t>
  </si>
  <si>
    <t>C10705</t>
  </si>
  <si>
    <t>FCD0771/1</t>
  </si>
  <si>
    <t>65.087.00</t>
  </si>
  <si>
    <t>Filtro Completo Do Óleo</t>
  </si>
  <si>
    <t>IVECO: FILTRO ÓLEO COMPLETO STRALIS E TRAKKER COM MOTORES CURSOR 10 ECURSOR 13(2007&gt;...) / NEW HOLLAND: T9 SÉRIES FPT CURSOR 13 (2011&gt;2014)</t>
  </si>
  <si>
    <t>500054655, 504120410, 504213799, 504213801, 2996416</t>
  </si>
  <si>
    <t>W13004</t>
  </si>
  <si>
    <t>H311W</t>
  </si>
  <si>
    <t>P954588</t>
  </si>
  <si>
    <t>76.223.00</t>
  </si>
  <si>
    <t>Elemento Filtrante De Óleo Hidraulico</t>
  </si>
  <si>
    <t>Hydraulic Filter</t>
  </si>
  <si>
    <t>BOGE: Série C, Série CD, Série CL, Série CLD, Série K, Série PO, Série TOP AIR SC, OK/AOK/BOK 5-10 / 5-15 / 7-10; DARI: DRK SD 5; LIEBHERR: R 966, R 970, R 976;</t>
  </si>
  <si>
    <t>CNH: 20100402074</t>
  </si>
  <si>
    <t>C630</t>
  </si>
  <si>
    <t>P171671</t>
  </si>
  <si>
    <t>80.026.00</t>
  </si>
  <si>
    <t>Filtro Spin-On Do Óleo Hidráulico</t>
  </si>
  <si>
    <t>MASSEY FERGUNSON: SÉRIE 340/350/360/370/390/4000</t>
  </si>
  <si>
    <t>3595175M1; 6223537M1;</t>
  </si>
  <si>
    <t>W1019</t>
  </si>
  <si>
    <t>HF28812; HF7948;</t>
  </si>
  <si>
    <t>101881-02</t>
  </si>
  <si>
    <t>80.039.00</t>
  </si>
  <si>
    <t>FORD: 4600; 5600; 6600 / ; AGRALE; 11454; 11554; 8240; 8260 (4X4); 8440 / NEW HOLLAND: 4530; 4600, 5600, 6600; 4600; 4610; 5610; 6610; 7610 (4X4) Série 10; 4610; 6610; 7610 (4X4) Série 10; 4610; 4630, 4630; 4810; 5030, 6630, 7630, 7830, 8030; 5630; 6600; 6630; 6640; 7000, 7500, 7600, 7700; 7650; 7740; 7740SLE; 7810; 7810; 7830; 8030; TS100 / JOHN DEERE: 1000; 2000; 2200</t>
  </si>
  <si>
    <t>FORD: D6NNB486C; D4NNB486C; D3NNB486C
NEW HOLLAND: 84465082; RD8NNB486DA</t>
  </si>
  <si>
    <t>W950/8</t>
  </si>
  <si>
    <t>H27W01</t>
  </si>
  <si>
    <t>HC76</t>
  </si>
  <si>
    <t>PSH486</t>
  </si>
  <si>
    <t>HIB486</t>
  </si>
  <si>
    <t>P4637A</t>
  </si>
  <si>
    <t>WOH769</t>
  </si>
  <si>
    <t>HF6188</t>
  </si>
  <si>
    <t>FR16010</t>
  </si>
  <si>
    <t>P551323</t>
  </si>
  <si>
    <t>80.040.00</t>
  </si>
  <si>
    <t>Filtro Spin-on Do Óleo Hidráulico</t>
  </si>
  <si>
    <t xml:space="preserve">DEUTZ: Tratores FAR-ARGOPLUS 100 / MASSEY FERGUNSON: MF2405; </t>
  </si>
  <si>
    <t>WD11003</t>
  </si>
  <si>
    <t>PH4483</t>
  </si>
  <si>
    <t>HF28934</t>
  </si>
  <si>
    <t>P764607</t>
  </si>
  <si>
    <t>80.041.00</t>
  </si>
  <si>
    <t>DEUTZ-FAHR: AGROLUX 90; AGROTRON 100; AGROTRON 105;AGROTRON 106; AGROTRON 1160; AGROTRON 118; AGROTRON 120; AGROTRON 128; AGROTRON 130; AGROTRON 135; AGROTRON 140;  AGROTRON 150; AGROTRON 155; AGROTRON 165.7; AGROTRON 610; AGROTRON 620; AGROTRON M600; AGROTRON M640</t>
  </si>
  <si>
    <t>DEUTZ : 244193500
ARGO: E3551956M91</t>
  </si>
  <si>
    <t>WD11001</t>
  </si>
  <si>
    <t>HY830W</t>
  </si>
  <si>
    <t>P4528</t>
  </si>
  <si>
    <t>HF28935</t>
  </si>
  <si>
    <t>P764606</t>
  </si>
  <si>
    <t>80.043.00</t>
  </si>
  <si>
    <t>CAT: Série 900; 307D; 307C; 308C; 308D / NEW HOLLAND: TD80D; TD80D; TD80D; TD90D; TD95; TD95D</t>
  </si>
  <si>
    <t>CAT: 1R0714
NEW HOLLAND: 5097103</t>
  </si>
  <si>
    <t>W1150/2</t>
  </si>
  <si>
    <t>H211W</t>
  </si>
  <si>
    <t>PSL287</t>
  </si>
  <si>
    <t>PH3545</t>
  </si>
  <si>
    <t>WO690</t>
  </si>
  <si>
    <t>HF7569</t>
  </si>
  <si>
    <t>80.047.00</t>
  </si>
  <si>
    <t>Filtro Blindado do Óleo Hidráulico</t>
  </si>
  <si>
    <t>CASE: 1400 serie; 600 série; 9000 série / AGCO: R Série / BOBCAT: 800 Série/ CAT: Série 200; Série 300; Série 500; Série 5000; Série 700; Série 900; Série D6,D7,D8</t>
  </si>
  <si>
    <t>AGCO: 709666; 020493R1; 7972730
BOBCAT: 6591038
CAT: 4T6788; 8J1600; 0773058</t>
  </si>
  <si>
    <t>W13012</t>
  </si>
  <si>
    <t>H217W</t>
  </si>
  <si>
    <t>PH3567</t>
  </si>
  <si>
    <t>HF6710</t>
  </si>
  <si>
    <t>P550388</t>
  </si>
  <si>
    <t>SCANIA: K113; L113; P CA6X4NZ MOTOR DSC11 75, P CB4X2NZ, P DB6X4NA, P/R/T GA4X2NZ MOTOR DSC9 12, R/T GA6X4NZ MOTOR DSC12 02, R/T GB4X2NZ MOTOR DSC11 74, R/T LA4X2NA, R LA6X2 MOTOR DSC12 02 TURBO E INTERCOOLER (98-&gt;)</t>
  </si>
  <si>
    <t>W9023/1</t>
  </si>
  <si>
    <t>H24W05</t>
  </si>
  <si>
    <t>HC96</t>
  </si>
  <si>
    <t>PSH173</t>
  </si>
  <si>
    <t>HIB173</t>
  </si>
  <si>
    <t>PH8789</t>
  </si>
  <si>
    <t>WO762</t>
  </si>
  <si>
    <t>HF7535</t>
  </si>
  <si>
    <t>P761108</t>
  </si>
  <si>
    <t>80.123.00</t>
  </si>
  <si>
    <t xml:space="preserve">CASE: IH65C; IH75V; IH85V; IH95V; IH JX1060C; IH JX1080U; IH JX1090U; IH JX1095C; IH JX70; IH JX95; IH JXU105; IH JXU85 / New Holland: T4.105; T4.105F; T4.65; T4.65V; T4.75; T4.75F;T4.75V; T4.85; 4.85F; 4.85V; T4.95; T4.95F; T4.95V; T4020; T4020V; T4030; T4030F; T4040; T4040F; T4040N; T4040V; T4050; T4050F; ; T4050N; T4050V; T5030; T5040; T5050; T5060; T5070; TD4020F; TD4030F; TD4040F; TD5010; TD5020; TD5030; TD5040; TD5050;  TD60D; TD65F; TD70D; TD75F; TD80D; TD85F; TD90D; TD95D; TL70A </t>
  </si>
  <si>
    <t>CASE: 47131195; NEW HOLLAND: 47131194</t>
  </si>
  <si>
    <t>W14005</t>
  </si>
  <si>
    <t>HY490W</t>
  </si>
  <si>
    <t>P765662</t>
  </si>
  <si>
    <t>80.137.00</t>
  </si>
  <si>
    <t>VOLVO: Série L/ EL</t>
  </si>
  <si>
    <t>VOLVO: 47879234; 8003919
CAT: 3I2045</t>
  </si>
  <si>
    <t>W962/1</t>
  </si>
  <si>
    <t>H18W14</t>
  </si>
  <si>
    <t>PSH478</t>
  </si>
  <si>
    <t>WOH222</t>
  </si>
  <si>
    <t>HF6141</t>
  </si>
  <si>
    <t>P550230</t>
  </si>
  <si>
    <t>80.139.00</t>
  </si>
  <si>
    <t>Elemento Filtrante do Óleo Hidráulico</t>
  </si>
  <si>
    <t>AGCO; Bobcat, Case, Caterpillar; Ford, International; John Deere, JCB; Kobelco, Hyundai; Massey Ferguson, New Holland,Volvo - N. ORIGINAL Volvo: 14524170</t>
  </si>
  <si>
    <t>14524170/Volvo - 31E90126/Hyundai - 6653336/Bob Cat  - AT175919/John Deere - 4T6915/CAT</t>
  </si>
  <si>
    <t>W935/1</t>
  </si>
  <si>
    <t>PSH823</t>
  </si>
  <si>
    <t>HF6005</t>
  </si>
  <si>
    <t>P556005</t>
  </si>
  <si>
    <t>80.141.00</t>
  </si>
  <si>
    <t>CASE: C-Serie; CS/CS; PRO/CS Compact-Serie; CASE-STEYR</t>
  </si>
  <si>
    <t>CASE: 137700750066; 137700750067</t>
  </si>
  <si>
    <t>W951/5</t>
  </si>
  <si>
    <t>OC70</t>
  </si>
  <si>
    <t>80.143.00</t>
  </si>
  <si>
    <t>INGERSOLL RAND: Série P100; Série P125; Série P160; Série P175; Série 250</t>
  </si>
  <si>
    <t>INGERSOLL RAND: 36707636; 35325083</t>
  </si>
  <si>
    <t>WD10013</t>
  </si>
  <si>
    <t>HF6002</t>
  </si>
  <si>
    <t>P164348</t>
  </si>
  <si>
    <t>80.144.00</t>
  </si>
  <si>
    <t>KOMATSU: PC200; TD12B; TD15E; TD20G; TD25G; TD40B; GD555; GD750A-1</t>
  </si>
  <si>
    <t>KOMATSU: 1214275H1; 1214275H2</t>
  </si>
  <si>
    <t>HF6836</t>
  </si>
  <si>
    <t>P550320</t>
  </si>
  <si>
    <t>82.131.00</t>
  </si>
  <si>
    <t>INGERSOLL-RAND: 825 Cummins M11, ECM 660, P130 SD, P130 WD, P175 W, P175 WD, P180 WD, P250 WD, P70 K, P70 WN; VOLVO CONSTRUCTION: L 320 Cummins KTA19C 01.1985-12.1995;</t>
  </si>
  <si>
    <t>INGERSOLL RAND
35296920</t>
  </si>
  <si>
    <t>WD10010</t>
  </si>
  <si>
    <t>HF6269</t>
  </si>
  <si>
    <t>P164352</t>
  </si>
  <si>
    <t>85.176.00</t>
  </si>
  <si>
    <t>CATERPILLAR: PM565; PM465; PM201; RM350; RM250C; PR1000C</t>
  </si>
  <si>
    <t>AGCO: 7600106540, 
CAT: 3I1707</t>
  </si>
  <si>
    <t>HF30566</t>
  </si>
  <si>
    <t>PR3450</t>
  </si>
  <si>
    <t>P167183</t>
  </si>
  <si>
    <t>85.179.00</t>
  </si>
  <si>
    <t>CASE Farmall 80 | REF OE CNH: 87749549</t>
  </si>
  <si>
    <t>CASE IH
1931177
47128161
47128208</t>
  </si>
  <si>
    <t>HD509/2x</t>
  </si>
  <si>
    <t>HF7103</t>
  </si>
  <si>
    <t>P169797</t>
  </si>
  <si>
    <t>86.004.00</t>
  </si>
  <si>
    <t>MASSEY FERGUNSON: 34 (Colheitadeira) / AGRALE: Optima 550; Optima 650 / DEUTZ: 4040; 5.100; 5220; 5520H; 565; 5670H; 5680H; 5690H; AX100; AX100C; AX120; AX160; AX160S; AX475; AX4100L; AX4160; AX4190; AX460; AX80; DX120; DX160; DX90; M2000; M2385</t>
  </si>
  <si>
    <t>DEUTZ: 1211122522600; 1211122522601; 1211122522603</t>
  </si>
  <si>
    <t>WD950/2</t>
  </si>
  <si>
    <t>H19WD02</t>
  </si>
  <si>
    <t>PSH315</t>
  </si>
  <si>
    <t>WOH200</t>
  </si>
  <si>
    <t>HF28989</t>
  </si>
  <si>
    <t>P550229</t>
  </si>
  <si>
    <t>86.005.00</t>
  </si>
  <si>
    <t>VOLVO: EL70; L50C; L60E; L70C; L70D; L70E / DOOSAN: mega 500V</t>
  </si>
  <si>
    <t>VOLVO: 47879234</t>
  </si>
  <si>
    <t>WD962</t>
  </si>
  <si>
    <t>86.006.00</t>
  </si>
  <si>
    <t>JOHN DEERE: 544E; 544G; 624E; 624G; 644G / CASE: 250-lll; 621; 721; 721B; 821</t>
  </si>
  <si>
    <t>JOHN DEERE: AT1400300</t>
  </si>
  <si>
    <t>WD962/9</t>
  </si>
  <si>
    <t>H18WD03</t>
  </si>
  <si>
    <t>PSH377</t>
  </si>
  <si>
    <t>WOH708</t>
  </si>
  <si>
    <t>HF6317</t>
  </si>
  <si>
    <t>P550416</t>
  </si>
  <si>
    <t>86.009.00</t>
  </si>
  <si>
    <t>CASE: 184; Cub cadet 154; Cub cadet 185 / JCB: 3CX; 3DX; 4CX; 528S; 536-60</t>
  </si>
  <si>
    <t>JCB: 58118063; 581M8565
CASE: 404886R1</t>
  </si>
  <si>
    <t>WD920/3</t>
  </si>
  <si>
    <t>HG462W</t>
  </si>
  <si>
    <t>HF35139</t>
  </si>
  <si>
    <t>P551756</t>
  </si>
  <si>
    <t>86.010.00</t>
  </si>
  <si>
    <t xml:space="preserve">ATLAS COPCO: Serie GA - 107, 110STD; GA1409,1410, 207,208,209,210,307,308,309,310, 407,408,409,410,507,508, GA509,510,607,608,609,610,707,708, 709,710, GA807,808,810,1107,1108,1110,1207 ; ROC D7-11; ROC F7 / NEW HOLLAND: Série TC - 55, 57, 59 ; Série 8000-8055 </t>
  </si>
  <si>
    <t>ATLAS COPCO: 16123980; 16164318</t>
  </si>
  <si>
    <t>W962/14</t>
  </si>
  <si>
    <t>HY18W04</t>
  </si>
  <si>
    <t>OC175</t>
  </si>
  <si>
    <t>PSH962</t>
  </si>
  <si>
    <t>HIB962</t>
  </si>
  <si>
    <t>PH4550</t>
  </si>
  <si>
    <t>WOH900</t>
  </si>
  <si>
    <t>HF6205</t>
  </si>
  <si>
    <t>P763577</t>
  </si>
  <si>
    <t>86.011.00</t>
  </si>
  <si>
    <t>CASE: 2000; 8100; 8200; DT466E; DT530; DT408 / AGCO: Serie 9000</t>
  </si>
  <si>
    <t>CASE: 1833121C1
CAT: 100051228</t>
  </si>
  <si>
    <t>WD14004</t>
  </si>
  <si>
    <t>LF3883</t>
  </si>
  <si>
    <t>P550367</t>
  </si>
  <si>
    <t>86.012.00</t>
  </si>
  <si>
    <t>JOHN DEERE: 400 Série; 500 Série; 600 Série; 700 Série; 800 Série / Compressor FSCurtis SE 5 / 7 / 10</t>
  </si>
  <si>
    <t>JOHN DEERE: AM39653; 9700836</t>
  </si>
  <si>
    <t>WD920</t>
  </si>
  <si>
    <t>HY10WD01</t>
  </si>
  <si>
    <t>HF6164</t>
  </si>
  <si>
    <t>P550940</t>
  </si>
  <si>
    <t>86.013.00</t>
  </si>
  <si>
    <t>ATLAS COPCO compressores</t>
  </si>
  <si>
    <t>ATLAS COPCO: 12028040; 1619531400; 2254447300; 1092035894</t>
  </si>
  <si>
    <t>WD962/32</t>
  </si>
  <si>
    <t>HF35315</t>
  </si>
  <si>
    <t>DPX0160NFC</t>
  </si>
  <si>
    <t>CPD160FD1 Elemento Filtrante</t>
  </si>
  <si>
    <t>ST2163</t>
  </si>
  <si>
    <t>G04099</t>
  </si>
  <si>
    <t>P571371</t>
  </si>
  <si>
    <t>EPA11NCC</t>
  </si>
  <si>
    <t>DOOSAN MAQUINAS E EQUIPAMENTOS ESCAVADORA SERIE DX - DX180LC / ESCAVADORA SERIE DX - DX190W / ESCAVADORA SERIE DX - DX300LC</t>
  </si>
  <si>
    <t>KOMATSU: 848101123; 21D6011220</t>
  </si>
  <si>
    <t>HD47</t>
  </si>
  <si>
    <t>WEH017</t>
  </si>
  <si>
    <t>P171703</t>
  </si>
  <si>
    <t>EPA11NFD</t>
  </si>
  <si>
    <t>CDM101FV1 Elemento de Pressão Média</t>
  </si>
  <si>
    <t>CASE: 9007B; CX160; CX130; CX210; CX290 / JCB: JS 200 LC; JS330 / BOB CAT: série 200 - 225,231</t>
  </si>
  <si>
    <t>CASE: 153233A1</t>
  </si>
  <si>
    <t>PH576</t>
  </si>
  <si>
    <t>EPA11NME</t>
  </si>
  <si>
    <t xml:space="preserve">CLAAS: ARES; ARION, AXION / MASSEY FERGUSON: MF 5400 SERIES; MF 6200 SERIES; MF 6400 SERIES; </t>
  </si>
  <si>
    <t>CLAAS: 600502330
MASSEY FERGUSON: 3792287M1</t>
  </si>
  <si>
    <t>HD45/5</t>
  </si>
  <si>
    <t>P171706</t>
  </si>
  <si>
    <t>EPB11NFC</t>
  </si>
  <si>
    <t>CCH151FD1 Elemento de Alta Pressão</t>
  </si>
  <si>
    <t>ST1876</t>
  </si>
  <si>
    <t>P171714</t>
  </si>
  <si>
    <t>EPB13NFD</t>
  </si>
  <si>
    <t>CCH153FV1 Elemento de Alta Pressão</t>
  </si>
  <si>
    <t>HF7047</t>
  </si>
  <si>
    <t>PR3446</t>
  </si>
  <si>
    <t>P165138</t>
  </si>
  <si>
    <t>EPB21NFC</t>
  </si>
  <si>
    <t>CCH301FD1 Elemento de Alta Pressão</t>
  </si>
  <si>
    <t>HF30196</t>
  </si>
  <si>
    <t>PR2749</t>
  </si>
  <si>
    <t>P169447</t>
  </si>
  <si>
    <t>EPB22NFB</t>
  </si>
  <si>
    <t>CCH302FC1 Elemento de Alta Pressão</t>
  </si>
  <si>
    <t>HF30071</t>
  </si>
  <si>
    <t>PR2752</t>
  </si>
  <si>
    <t>P169798</t>
  </si>
  <si>
    <t>EPB22NFC</t>
  </si>
  <si>
    <t>CCH302FD1 Elemento de Alta Pressão</t>
  </si>
  <si>
    <t>HYDAC: 11308D12BN; 1251512</t>
  </si>
  <si>
    <t>HF30244</t>
  </si>
  <si>
    <t>PR2753</t>
  </si>
  <si>
    <t>P566399</t>
  </si>
  <si>
    <t>EPB32FCC</t>
  </si>
  <si>
    <t>JOHN DEERE; CLASS; CATERPILLAR</t>
  </si>
  <si>
    <t>HF7070</t>
  </si>
  <si>
    <t>PR3438</t>
  </si>
  <si>
    <t>P164166</t>
  </si>
  <si>
    <t>EPB32NFB</t>
  </si>
  <si>
    <t>CCH802FC1 Elemento de Alta Pressão</t>
  </si>
  <si>
    <t>HF30084</t>
  </si>
  <si>
    <t>PR2762</t>
  </si>
  <si>
    <t>P164594</t>
  </si>
  <si>
    <t>EPB32NFC</t>
  </si>
  <si>
    <t>CCH802FD1 Elemento de Alta Pressão</t>
  </si>
  <si>
    <t>EPD9709NFB</t>
  </si>
  <si>
    <t>CATERPILLAR: AP Séries; RR Séries; SS Séries</t>
  </si>
  <si>
    <t>INGERSOLL RAND: 56281967
CATERPILLAR: 775479</t>
  </si>
  <si>
    <t>HF7332</t>
  </si>
  <si>
    <t>P169344</t>
  </si>
  <si>
    <t>EPD9727FFB</t>
  </si>
  <si>
    <t>HYDAC: 50327D05BN4V</t>
  </si>
  <si>
    <t>P566279</t>
  </si>
  <si>
    <t>EPH0055NFC</t>
  </si>
  <si>
    <t>SHD0055FD11 Elemento Filtrante</t>
  </si>
  <si>
    <t>BOB CAT: T2250; CASE IH: 1055XL; 1056XL; 1255XL; 1455XLA; 353; 383; 423; 433; 453; 523; 533; 554; 553; 624; 633; 644; 654; 724; 733; 740; 744; 745; 824; 840; 844; 900; 955; 956</t>
  </si>
  <si>
    <t>CASE: 1328276C2
BOB CAT: 6919493</t>
  </si>
  <si>
    <t>HD612/2X</t>
  </si>
  <si>
    <t>HF35258</t>
  </si>
  <si>
    <t>P764665</t>
  </si>
  <si>
    <t>EPH0110NHC</t>
  </si>
  <si>
    <t>SHD0110FD21 Elemento Filtrante</t>
  </si>
  <si>
    <t>DEUTZ-FAHR: Agrovector 26.6; Agrovector 30.7</t>
  </si>
  <si>
    <t>CAT: 3I1923</t>
  </si>
  <si>
    <t>HF30217</t>
  </si>
  <si>
    <t>P170589</t>
  </si>
  <si>
    <t>EPH0160NFC</t>
  </si>
  <si>
    <t>SHD0160FD11 Elemento Filtrante</t>
  </si>
  <si>
    <t>HF6870</t>
  </si>
  <si>
    <t>PR3116</t>
  </si>
  <si>
    <t>P170606</t>
  </si>
  <si>
    <t>EPH0330NFC</t>
  </si>
  <si>
    <t>KOMATSU: PC4000 / LIEBHERR: HS843HD; LTM1160; LTM1160/2; LTM1400/7</t>
  </si>
  <si>
    <t xml:space="preserve">KOMATSU: 69440300
LIEBHERR: 10037623 </t>
  </si>
  <si>
    <t>HD1032</t>
  </si>
  <si>
    <t>HF6876</t>
  </si>
  <si>
    <t>PR3174</t>
  </si>
  <si>
    <t>P170610</t>
  </si>
  <si>
    <t>EPO11NCC</t>
  </si>
  <si>
    <t>FORTIMAX Elemento Spin-On de Alta Pressão</t>
  </si>
  <si>
    <t>BOBCAT: 325D; 325G; 328D; 328G; 329; 331; 331; 331D; 331E; 331G; 334C; 334D; 334G; 430; 430D; 430G; 435; 435D; 435G; 553; 553AF/BF; 553F; 653; 751; 751G; 752; 753; 753; 753; 753G; 753H; 753H; 763; 763G; 763H; 773; 773; 773G; 773G; 773G; 7753; 853; 853; 853; 863; 863; 863G; 863H; 864G; 873; 873G; 873H; 883; 883G; 953; 953; A220; A220; A300; S130; S150; S160; S160H; S175; S175; S175H; S185; S185H; S205; S220; S220; S250; S250; S300; S300; T110; T140; T140; T180; T190; T200G; T2250; T250; T300 / CASE: IH 1818; IH 1825; IH 1825B; IH 6165 CVT; IH 6180 CVT; IH 6200 CVT; IH 6210 CVT; IH 770; IH MAXI-SNEAKER C; IH MAXI-SNEAKER C; IH PUMA 130 CVT; IH PUMA 145 CVT; IH PUMA 150; IH PUMA 150 CVT; IH PUMA 150 CVT; IH PUMA 150 CVX; IH PUMA 165 CVT; IH PUMA 165 CVT; IH PUMA 165 CVX; IH PUMA 185; IH PUMA 185 CVT; IH PUMA 200 CVT; IH PUMA 200 CVT; IH PUMA 220 CVT; IH PUMA 220 CVT; IH Puma 165 / CATERPILLAR: 725; 730; 740; 924K; AP1000; AP1000B; AP1050; AP1050B; AP1055B; AP650B; AP800B; AP800C; AP800D; AP900B; BG225C; BG230; BG230D; BG240C; BG2455C; BG245C; BG260C; CB14; CB214C; CB214D; CB214E; CB22; CB224D; CB224E; CB225D; CB225E; CB24; CB32; CB334D; CB334E; CB334E II; CB335D; CB335E; CB335E II; CB34; CB34XW; CC24; CC34; D3G LGP; D3G LGP; D3G XL; D3G XL; D3K; D4G LGP; D4G LGP; D4G XL; D4G XL; D4K LGP; D4K XL; D5G LGP; D5G LGP; D5G XL; D5G XL; D5K; D5N LGP; D5N XL; D6N LGP; D6N XL; G3516; PR1000C; RM250C;RM300; RM350; RM350B; RM500; RR250; RR250B; SM350; SS250; SS250B / JOHN DEERE: 110TLB; 4044M; 4044R; 4052M; 4052R; 4066M; 4066R; 4200; 4210; 4300; 4310; 4400; 4410; 4500; 4510; 4600; 4610; 4700; 4710; 4710; 8110T; 8120T; 8200T; 8210T; 8220T; 8230T; 8295RT; 8300T; 8310RT; 8310T; 8320RT; 8320T; 8330T; 8335RT; 8345RT; 8360RT; 8400T; 8410T; 8420T; 8430T; 8520T; 9300T; 9400T; 9996; R4045 / NEW HOLLAND: 100; 5640; 6640; 7740; 7840; 90; 90ECO; T6.140; T6.150; T6.160; T7.170 Autocommand; T7070; TS110</t>
  </si>
  <si>
    <t>EPO11NCD</t>
  </si>
  <si>
    <t>CATERPILLAR: 725; 730; 740; AP1000; AP1000B; AP1050; AP1050B; AP1055B; AP650B; AP800B; AP800C; AP800D; AP900B; BG225C; BG230; BG230D; BG240C; BG2455C; BG245C; BG260C; CB14; CB214C; CB214D; CB214E; CB22; CB224D; CB224E; CB225D; CB225E; CB24; CB32; CB334D; CB334E; CB334E II; CB335D; CB335E; CB335E II; CB34; CB34XW; CC24; CC34; D3G LGP; D3G LGP; D3G XL; D3G XL; D3K; D4G LGP; D4G LGP; D4G XL; D4G XL; D4K LGP; D4K XL; D5G LGP; D5G LGP; D5G XL; D5G XL; D5K; D5N LGP; D5N XL; D6N LGP; D6N XL; M325B; RM250C; RM300; RM350; RM350B; RM500; RR250; RR250B; SM350; SS250; SS250B / CASE: 85XT; 90XT; 95XT</t>
  </si>
  <si>
    <t>EPO11NFA</t>
  </si>
  <si>
    <t>CAT: 1261815; 3I1909
AGCO: 1R61709
CASE: 222759A1</t>
  </si>
  <si>
    <t>HF6550</t>
  </si>
  <si>
    <t>P165354</t>
  </si>
  <si>
    <t>EPO11NFB</t>
  </si>
  <si>
    <t>EPO11NFC</t>
  </si>
  <si>
    <t>CAT: 1446691
AGCO: 700721747
JOHN DEERE: 95981</t>
  </si>
  <si>
    <t>HF6552</t>
  </si>
  <si>
    <t>P164375</t>
  </si>
  <si>
    <t>EPO11NFD</t>
  </si>
  <si>
    <t>BOBCAT: 440B; 443B; 453C; 453F; 843; 843B; 843I / CASE: 2388; 8010; 9010; AF8010; AFX8010; MAGNUM 220; MX180; MX200; MX240; MX270 / CATERPILLAR: 508; 518C; 528B; 530B; FB508; T25D; T40D; T40D; T40D; T60DSA; TC40D; TC60D; TC60D; TC60DSA; V25D; V40C; V40D; V40D; V40D; VC40D; VC60C; VC60D; VC60D; VC60D; VC60D; VC60DSA / JOHN DEERE: 1600; 1620; 6200L; 6300L; 6400L; 6500L; 6510 SE; 6610 SE; 7200; 7400; 9100T / KOMATSU; 830; 850; 870; D32E-1; D32P-1; D38E-1; D38P-1; D39E-1; D39P-1; GD530-2A; GD530-2B; GD530-2C; GD530-2E; GD530A-1; GD530A-2; GD650-1; GD650A-2; GD670-1; GD670-2A; GD670-2B; GD670-2C; GD670A-2; GD670A-2C; GD670A-2E; GD670AW-2B; GD670AW-2C; GD750A-1 /  NEW HOLLAND; LW110; LW130; LW170; LW190; LW230; LW270; TS100; TS110; TS90; W300C</t>
  </si>
  <si>
    <t>CAT: 0902900; 1031971; 1186322; 3I0546
CASE: 1266751H2; 12762953; 294721A1
JOHN DEERE: AL77061; AT69362
KOMATSU: 1266751H1; 1266751H2</t>
  </si>
  <si>
    <t>P164381</t>
  </si>
  <si>
    <t>EPO11NFS</t>
  </si>
  <si>
    <t>EPO14NCC</t>
  </si>
  <si>
    <t>CASE; 115X; 4110; 4120; MAXXUM 1170 CVX; MAXXUM 1190 CVX; MX125; MXM120; MXM130; MXM150; MXM190; MXU110; MXU115; MXU125; MXU135; PUMA 130; PUMA 145; PUMA 150; PUMA 150; PUMA 150; PUMA 165; PUMA 165; PUMA 165; PUMA 185; PUMA 185; PUMA 185; PUMA 185 CVT; PUMA 200; PUMA 200; PUMA 220; PUMA 220; Puma 165; Puma 165; Puma 165 / CATERPILLAR: 120M; 12M; 140M; 143H; 14M; 160M; 163H; 16M; 216; 216B; 216B2; 216B3; 226; 226B; 226B2; 228; 232; 232B; 232B2; 236; 236B; 236B2; 236B3; 242; 242B; 242B2; 246; 246B; 246C; 247; 247B; 247B2; 248; 248B; 24M; 252; 252B; 252B2; 256C; 257; 257B; 257B2; 262; 262B; 262C; 267; 267B; 268B; 272C; 277; 277B; 277C; 279C; 287; 287B; 287C; 289C; 297C; 299C; 301.5; 301.6; 301.8; 345C; 345CL; 446; 446B; 515; 525B; 535B; 545; 574B; 583T; 587R; 587T; 769D; 771D; 773D; 773E; 775D; 775E; 793; 834B; 834G; 834H; 836G; 836H; 844H; 854G; 854K; 902; 906; 906H; 907H; 908; 908H; 910F; 914G; 918F; 924F; 924G; 924GZ; 924H; 924HZ; 928F; 928G; 928H; 928HZ; 930G; 930H; 933C; 938F; 938G; 938G II; 938H; 939C; 950G; 950G II; 950H; 953D; 962G; 962G II; 962H; 963D; 966G; 966G II; 972G; 972G II; 973D; 988F II; 988G; 988H; 990H; 992G; 992K; 994; 994D; 994F; 994G; AD55; AP1000D; AP1000E; AP1055D; AP1055E; AP655C; BG1000E; BG1055E; BG2255C; BG2455D; BG260D; CB224C; CB434B; CB434C; CB434D; CB534B; CB534C; CB534D; CB535B; CB544; CB545; CB564D; CB634C; CB634D; CD44; CD54; CP323C; CP433C; CP433E; CP533; CP533C; CP533D; CP533E; CP54; CP56; CP563; CP563C; CP563D; CP563E; CP573E; CP64; CP663E; CP74; CP76; CS323C; CS423E; CS431C; CS433C; CS433E; CS531C; CS531D; CS533C; CS533D; CS533E; CS54; CS56; CS563; CS563C; CS563D; CS563E; CS573; CS573C; CS573D; CS573E; CS583; CS583C; CS583D; CS583E; CS64; CS663E; CS683E; CS74; CS76; D10N; D10R; D3C III; D3G LGP; D3G LGP; D3G XL; D3G XL; D3K; D4C III; D4G LGP; D4G LGP; D4G XL; D4G XL; D4K LGP; D4K XL; D5C III; D5G LGP; D5G LGP; D5G XL; D5G XL; D5K; D6K LGP; D6K XL; D6N LGP; D6N XL; D8T; D9L</t>
  </si>
  <si>
    <t>EPO14NCD</t>
  </si>
  <si>
    <t xml:space="preserve">CATERPILLAR: 120M; 12M; 140M; 143H; 14M; 160M; 163H; 16M; 216; 216B; 216B2; 216B3; 226; 226B; 226B2; 228; 232; 232B; 232B2; 236; 236B; 236B2; 236B3; 242; 242B; 242B2; 246; 246B; 246C; 247; 247B; 247B2; 248; 248B; 24M; 252; 252B; 252B2; 256C; 257; 257B; 257B2; 262; 262B; 262C; 267; 267B; 268B; 272C; 277; 277B; 277C; 279C; 287; 287B; 287C; 289C; 297C; 299C; 301.5; 301.6; 301.8; 345C; 345CL; 446; 446B; 515; 525B; 535B; 545; 574B; 583T; 587R; 587T; 769D; 771D; 773D; 773E; 775D; 775E; 793; 834B; 834G; 834H; 836G; 836H; 844H; 854G; 854K; 902; 906; 906H; 907H; 908; 908H; 910F; 914G; 918F; 924F; 924G; 924GZ; 924H; 924HZ; 928F; 928G; 928H; 928HZ; 930G; 930H; 933C; 938F; 938G; 938G II; 938H; 939C; 950G; 950G II; 950H; 953D; 962G; 962G II; 962H; 963D; 966G; 966G II; 972G; 972G II; 973D; 988F II; 988G; 988H; 990H; 992G; 992K; 994; 994D; 994F; 994G; AD55; AP1000D; AP1000E; AP1055D; AP1055E; AP655C; BG1000E; BG1055E; BG2255C; BG2455D; BG260D; CB224C; CB434B; CB434C; CB434D; CB534B; CB534C; CB534D; CB535B; CB544; CB545; CB564D; CB634C; CB634D; CD44; CD54; CP323C; CP433C; CP433E; CP533; CP533C; CP533D; CP533E; CP54; CP56; CP563; CP563C; CP563D; CP563E; CP573E; CP64; CP663E; CP74; CP76; CS323C; CS423E; CS431C; CS433C; CS433E; CS531C; CS531D; CS533C; CS533D; CS533E; CS54; CS56; CS563; CS563C; CS563D; CS563E; CS573; CS573C; CS573D; CS573E; CS583; CS583C; CS583D; CS583E; CS64; CS663E; CS683E; CS74; CS76; D10N; D10R; D3C III; D3G LGP; D3G LGP; D3G XL; D3G XL; D3K; D4C III; D4G LGP; D4G LGP; D4G XL; D4G XL; D4K LGP; D4K XL; D5C III; D5G LGP; D5G LGP; D5G XL; D5G XL; D5K; D6K LGP; D6K XL; D6N LGP; D6N XL; D8T; D9L / CASE: 6010; 860 /  NEW HOLLAND: C175; C185; C190; L175; L175; L180; L185; L190 </t>
  </si>
  <si>
    <t>P560584</t>
  </si>
  <si>
    <t>EPO14NFA</t>
  </si>
  <si>
    <t>CAT: 1022822; 3321871; 4656502
JOHN DEERE: RE39390
NEW HOLLAND: 87010592; 87430661</t>
  </si>
  <si>
    <t>HF6551</t>
  </si>
  <si>
    <t>P165332</t>
  </si>
  <si>
    <t>EPO14NFB</t>
  </si>
  <si>
    <t>BOBCAT: 2000 RTF; 2400; 2410; 430; 430G; 435; 435G; 5600; 5600; 642B; 743B; 743DS; 843B; 963; 963; 963G; A300; E32; E35; S250; S300 / CASE: 1835B; 1835C; 1835D; 1838; 1840; 1845; 1845; 1845B; 1845C; 1845S; 560; 60XT; 660; 850; MAGNUM 225; MAGNUM 250; MAGNUM 310; MX210; MX215; MX245; MX255; MX255; MX275; MX285; MX305 / JOHN DEERE: 450H; 450H; 450H LPG; 450H LPG; 450H LT; 450H LT; 450J; 550H; 550J; 605C; 650H; 650J; 700J; 850J; 850J; 9230; 9320; 9320T; 9330; 9420; 9420T; 9430; 9520; 9520T; 9530; 9620T; 9630 / NEW HOLLAND: 100; 110; 115; 135; 545D; 90; 90ECO; CR9060; CR9070; CR9080; CR9080; CR9090; CR920; CR940; CR960; CR980; CX720; CX740; CX760; CX780; CX8030; CX8040; CX8050; CX8060; CX8070; CX8080; CX8090; CX820; CX840; CX860; CX880; FR9040; FR9050; FR9060; FR9080; FR9090; G170; G190; G210; G240; MX125; T6010; T6020; T6030; T6050; T6070; T6090; TJ500; TM115; TM120; TM125; TM130; TM135; TM140; TM150; TM155; TM165; TS100; TS100A; TS100A; TS110; TS110A; TS110A; TS115A; TS125A; TS135A; TS90</t>
  </si>
  <si>
    <t>EPO14NFC</t>
  </si>
  <si>
    <t>CAT: 1G8878; 3416643
CASE: 47131180; 75262702; 81863799
NEW HOLLAND: 1931182; 47131179; 84226258</t>
  </si>
  <si>
    <t>HF6553</t>
  </si>
  <si>
    <t>900280Q/10Q</t>
  </si>
  <si>
    <t>P763535</t>
  </si>
  <si>
    <t>EPO14NFD</t>
  </si>
  <si>
    <t>CASE: STX375; STX425 / STX450; STX440; STX500; 1085C; 350B; 360; 40XT; 450B; 450C; 455B; 455C; 480D/ LL; 480D; 480E/ LL; 480E; 480F/ FF; 480F; 550; 550E; 550G; 570L; 570LXT Series 2; 570LXT; 580 M Series 2; 580 M Turbo Series 2; 580 SUPER D; 580 SUPER E; 580 SUPER K; 580 Super L - Series 2; 580 Super L; 580 Super M Series 2; 580 Super M Series II; 580 Super M; 580D; 580L Series 2; 580L; 580N; 580SLE; 584E; 585E; 586E; 590 Super L; 60XT; 621; 621B; 621BXT; 650; 650G; 70XT; 7110; 7120, 7120E; 7130 COUGAR 1000 POWER SHIFT; 7130; 7140; 7150 MAGNUM; 7150; 7210; 721; 721B; 7220; 7230; 7240; 7250; 75XT; 821; 821B/ 821; 821B; 850D; 850E; 850G; 855D; 855E; 85XT; 8910; 8920; 8930; 8940; 8950; 9110; 9130; 9150; 9170; 9180; 9210; 9230 STEIGER; 9230; 9250; 9260; 9270; 9280; 9310; 9330; 9350; 9370; 9380; 9390; 95XT; IH9110; STX275; STX325 / CATERPILLAR: 446B; 918 F; 924F; 928F; 928G - 6XR; 928G; 938F; Challenger 75C - 4KK1849 / 4KK1850; Challenger 65; Challenger 65B / 65C / 65D; Challenger 75; Challenger 75B; Challenger 75C - 4KK1849; Challenger 75C / 75D / 75E; Challenger 75C / FIAT ALLIS: W350; W450; D350 / JOHN DEERE: 6310 A / ASE / ASE-LP / SE;  6410 A / ASE-LP / SE; KOMATSU: GD530-2A; GD530-2B; GD530-2C; GD530A-2E; GD650-2A; GD650A-2B; GD650A-2C; GD650A-2E; GD650AW-2B; GD650AW-2C; GD670-2A; GD670-2B; GD670A-2B; GD670A-2E; GD670AW-2B; GD670AW-2C</t>
  </si>
  <si>
    <t>CASE: N9025; D94236; 84239751</t>
  </si>
  <si>
    <t>WH980</t>
  </si>
  <si>
    <t>PSH025</t>
  </si>
  <si>
    <t>HIB025</t>
  </si>
  <si>
    <t>WOH201</t>
  </si>
  <si>
    <t>HF6555</t>
  </si>
  <si>
    <t>PERI384</t>
  </si>
  <si>
    <t>P164384</t>
  </si>
  <si>
    <t>EPO14NFS</t>
  </si>
  <si>
    <t>JOHN DEERE: T175002
CAT: 1919784; 3416643; 3I0554
NEW HOLLAND: 81863799; 818637990; 87417087</t>
  </si>
  <si>
    <t>P177047</t>
  </si>
  <si>
    <t>EPO21NCC</t>
  </si>
  <si>
    <t>CHAMPION ROAD: 710; 710A; 710A; 720; 720A; 726A; 730; 730A; 736A; 740; 740A; 750; 750A; 780; 780A / HYSTER: 4416; H40000E; H880 / HYUNDAI: HL780-3 / VOLVO CONSTRUCTION EQUIPMENT: L330C; L330D; L330E; L480</t>
  </si>
  <si>
    <t>CAT: 3I0696; 
VOLVO: 965899; 9658998; MI965899</t>
  </si>
  <si>
    <t>HF6586</t>
  </si>
  <si>
    <t>900279Q/05Q</t>
  </si>
  <si>
    <t>P165705</t>
  </si>
  <si>
    <t>EPO21NCD</t>
  </si>
  <si>
    <t>CATERPILLAR; 414E; 416B; 416C; 416D; 416E; 420D; 420D; 420E; 420E; 420E IT; 422E; 424D; 426B; 426C; 428B; 428C; 428D; 428DNF; 428E; 430D; 430D; 430E; 430E; 430E; 432D; 432E; 434E; 436B; 436C; 438B; 438C; 438D; 442D; 442E; 444E; 446; 446B; 446D; 75E US; 793C; 834G; 834H; 854G; 854K; 85C; 85E; 953C; 963C; 973C; 988G; 988H; 992G; 992K; 993K; 994F; 994G; D4E; RM500; TH103; TH62; TH63; TH82; TH83</t>
  </si>
  <si>
    <t>P179075</t>
  </si>
  <si>
    <t>EPO21NFA</t>
  </si>
  <si>
    <t xml:space="preserve">CAT: 121817; 2254118; 3I1878; 4656505
JOHN DEERE: RE38987
</t>
  </si>
  <si>
    <t>HF6588</t>
  </si>
  <si>
    <t>P165675</t>
  </si>
  <si>
    <t>EPO21NFB</t>
  </si>
  <si>
    <t>EPO21NFC</t>
  </si>
  <si>
    <t>CAT: 1343014</t>
  </si>
  <si>
    <t>HF6587</t>
  </si>
  <si>
    <t>900282Q/10Q</t>
  </si>
  <si>
    <t>P573996</t>
  </si>
  <si>
    <t>EPO21NFD</t>
  </si>
  <si>
    <t>VOLVO: G740B; G746B; G780B; L330D; L330E / CATERPILLAR: MT2010; 416B; 416C; 426B; 426C; 428B; 428C; 436C; 438B; 438C; 446; 446B; 621F BZ - 8PL1 e 9NL1; 627G e 637G; 633E; 65C - 2ZJ500-UP; 65E - 6GS1-UP; 75C - 4KK1-499; 75D - 5AR1-UP; 918 F; Challenger 36; Challenger 65; Challenger 65B; Challenger 70C 2YL1 - 75B; Challenger 70C; Challenger 75; Challenger 75B; Challenger 75C; Challenger 85C; Challenger 85D; D6F SR - 5FR1 / D6G - 2MJ2654 / D6G - 3SR1; RT80; TH62; TH63 NA; TH63; TH82; TH83 NA; TH83 / CLARK: 275C; 280C; 35C; 380B; 45C; 475C Turbo; 475C; 55C; L190 Loading Shovelo; L190B; L270; L270B; L320; W380 / GROVE: RT800E2 - RT875E2; RT890E2; RT9000E2 - RT9130E2 / INGERSOLL RAND: ECM350; P750</t>
  </si>
  <si>
    <t>VOLVO: 965899</t>
  </si>
  <si>
    <t>WH1257</t>
  </si>
  <si>
    <t>H21WD</t>
  </si>
  <si>
    <t>PSH084</t>
  </si>
  <si>
    <t>HIB084</t>
  </si>
  <si>
    <t>P165569</t>
  </si>
  <si>
    <t>EPO21NFS</t>
  </si>
  <si>
    <t>INGERSOLL RAND SSR125HP</t>
  </si>
  <si>
    <t>INGERSOLL RAND: 39796982</t>
  </si>
  <si>
    <t>P171276</t>
  </si>
  <si>
    <t>ERA31NCC</t>
  </si>
  <si>
    <t>CRE015CD1 Elemento Filtrante de Retorno</t>
  </si>
  <si>
    <t>HF35201</t>
  </si>
  <si>
    <t>P171521</t>
  </si>
  <si>
    <t>ERA32NFC</t>
  </si>
  <si>
    <t>CRE025FD1 Elemento Filtrante de Retorno</t>
  </si>
  <si>
    <t>ST1435</t>
  </si>
  <si>
    <t>P566676</t>
  </si>
  <si>
    <t>ERA52NCC</t>
  </si>
  <si>
    <t>CRE100CD1 Elemento Filtrante de Retorno</t>
  </si>
  <si>
    <t>FIAT ALLIS; FB7; FE12; FE12LC; FE12R; FE14; FE16; FE18; FE18LC; FE18R; FE18RM; FE20; FE20HD; FE20LC; FE20M; FE20MHD; FE20MLC; FE24; FE28; FE28HD; FE28LC; FE28M; FE28MHD; FE28MLC; S11; S11HD; S11HP; S15B; S15BHD; S15BLC; S9; SL11; SL9; SR9</t>
  </si>
  <si>
    <t>FIAL ALLIS: 45017745; 71314572
NEW HOLLAND: 1930707</t>
  </si>
  <si>
    <t>P171569</t>
  </si>
  <si>
    <t>ERA52NME</t>
  </si>
  <si>
    <t>CRE100MS1 Elemento Filtrante de Retorno</t>
  </si>
  <si>
    <t>HF35217</t>
  </si>
  <si>
    <t>ERA53NCC</t>
  </si>
  <si>
    <t xml:space="preserve">JOHN DEERE: F302094J
</t>
  </si>
  <si>
    <t>H1489</t>
  </si>
  <si>
    <t>P171575</t>
  </si>
  <si>
    <t>ERA5ANFC</t>
  </si>
  <si>
    <t>LIEBHERR: Serie LTM / LTC</t>
  </si>
  <si>
    <t>LIEBHERR: 510670108; 510670177</t>
  </si>
  <si>
    <t>HF35221</t>
  </si>
  <si>
    <t>P171555</t>
  </si>
  <si>
    <t>ERF32NFD</t>
  </si>
  <si>
    <t>VOLVO CONSTRUCTION: L Séries</t>
  </si>
  <si>
    <t>VOLVO CONSTRUCTION: 17438619</t>
  </si>
  <si>
    <t>937799Q</t>
  </si>
  <si>
    <t>P172465</t>
  </si>
  <si>
    <t>ERF34NFC-BR</t>
  </si>
  <si>
    <t>TXW8C Elemento Filtrante</t>
  </si>
  <si>
    <t>JOHN DEERE: 3520-3522; CH570-CH670 / CASE: A8000-A8800</t>
  </si>
  <si>
    <t>KOMATSU: 5074453
CASE: 87499049
JOHN DEERE: TT220735</t>
  </si>
  <si>
    <t>HF7964</t>
  </si>
  <si>
    <t>TXW8C</t>
  </si>
  <si>
    <t>P763016</t>
  </si>
  <si>
    <t>ERH0160NFC</t>
  </si>
  <si>
    <t>SHR0160FD11 Elemento Filtrante</t>
  </si>
  <si>
    <t>HF6887</t>
  </si>
  <si>
    <t>PR3275</t>
  </si>
  <si>
    <t>P566971</t>
  </si>
  <si>
    <t>ESE11NCC</t>
  </si>
  <si>
    <t>CCA151CD1 Fitro Spin-on</t>
  </si>
  <si>
    <t>HF6535</t>
  </si>
  <si>
    <t>PR4021</t>
  </si>
  <si>
    <t>P565243</t>
  </si>
  <si>
    <t>ESE11NFC</t>
  </si>
  <si>
    <t>CCA151FD1 Fitro Spin-on</t>
  </si>
  <si>
    <t>MASSEY FERGUSON: MF 30/40 SERIES (Colheitadeiras)</t>
  </si>
  <si>
    <t>MASSEY FERGUSON: D45110081
JCB: 333C4690</t>
  </si>
  <si>
    <t>W491</t>
  </si>
  <si>
    <t>HY473W</t>
  </si>
  <si>
    <t>ESE11NME</t>
  </si>
  <si>
    <t>CCA151MS1 Fitro Spin-on</t>
  </si>
  <si>
    <t>ST1813</t>
  </si>
  <si>
    <t>P171607</t>
  </si>
  <si>
    <t>ESE12NFC</t>
  </si>
  <si>
    <t>CCA152FD1 Fitro Spin-on</t>
  </si>
  <si>
    <t>HF7980</t>
  </si>
  <si>
    <t>926503</t>
  </si>
  <si>
    <t>P171613</t>
  </si>
  <si>
    <t>ESE21NCC</t>
  </si>
  <si>
    <t>CASE: 402146; 408454
JCB: 32901701; 32901700</t>
  </si>
  <si>
    <t>W1374/2</t>
  </si>
  <si>
    <t>H213W</t>
  </si>
  <si>
    <t>HC4</t>
  </si>
  <si>
    <t>PSH766</t>
  </si>
  <si>
    <t>HIB766</t>
  </si>
  <si>
    <t>WOH205</t>
  </si>
  <si>
    <t>HF6177</t>
  </si>
  <si>
    <t>FR24S010</t>
  </si>
  <si>
    <t>P550148</t>
  </si>
  <si>
    <t>ESE21NFC</t>
  </si>
  <si>
    <t>ESE22NCC</t>
  </si>
  <si>
    <t>CCA302CD1 Fitro Spin-on</t>
  </si>
  <si>
    <t>HF35082</t>
  </si>
  <si>
    <t>P171620</t>
  </si>
  <si>
    <t>ESF22NCD</t>
  </si>
  <si>
    <t>CCA302ACV1 Fitro Spin-on</t>
  </si>
  <si>
    <t>Hydac: MFE1601252</t>
  </si>
  <si>
    <t>HF6721</t>
  </si>
  <si>
    <t>926164</t>
  </si>
  <si>
    <t>P550252</t>
  </si>
  <si>
    <t>003.1336.6</t>
  </si>
  <si>
    <t/>
  </si>
  <si>
    <t>P176945</t>
  </si>
  <si>
    <t>20.016.00</t>
  </si>
  <si>
    <t>On Road</t>
  </si>
  <si>
    <t>Mercedes Benz: Motores OM352, OM353, OM355, OM360, OM327, OM636, OM314.</t>
  </si>
  <si>
    <t>PF1190X</t>
  </si>
  <si>
    <t>E200M</t>
  </si>
  <si>
    <t>OX30</t>
  </si>
  <si>
    <t>C30DB</t>
  </si>
  <si>
    <t>P550300</t>
  </si>
  <si>
    <t>PH4701</t>
  </si>
  <si>
    <t>CHRYSLER: Caravan 2.0 (1993-2000); Caravan 3.3 V6 - 158 cv (1993-2000), Gran caravan 3.3 V6 12V - 158 cv (2002- &gt;); PT Cruiser 2.4 16V - 143 cv (2005-2010); PT Cruiser PT Cruiser 2.4 16V - 143 cv (2001-2004); Stratus 2.0 (1996-2001) / JEEP: Wrangler 3.8 V6 12V - 205 cv (2007-2013)</t>
  </si>
  <si>
    <t>Chrysler: 4105409
Bosch: 451103271</t>
  </si>
  <si>
    <t>W712/21</t>
  </si>
  <si>
    <t>VOLVO: B / FH / FM / FMX / NH / NL / VN / EC / 7000 / 8000 / 9000.</t>
  </si>
  <si>
    <t>23.144.C2</t>
  </si>
  <si>
    <t>SCANIA: 1117285</t>
  </si>
  <si>
    <t>23.411.B0</t>
  </si>
  <si>
    <t>HYUNDAY: 2630035503</t>
  </si>
  <si>
    <t>23.469.B0</t>
  </si>
  <si>
    <t>23.477.00</t>
  </si>
  <si>
    <t>Toyota Hilux 4.0 / New Holland Serie L e Minicarregadeira</t>
  </si>
  <si>
    <t>JCB: 02630935A; TOYOTA:  9091520004; 90915YZZD2</t>
  </si>
  <si>
    <t>W712/83</t>
  </si>
  <si>
    <t>OC615</t>
  </si>
  <si>
    <t>PH5299</t>
  </si>
  <si>
    <t>JFO0215</t>
  </si>
  <si>
    <t>23.744.00</t>
  </si>
  <si>
    <t>VOLVO: A25G; A30G; A35G; FH12340; FH12380; FH12400; FH12420; FH12440; FH12460; FH12480; FH12520; FH13400; FH13420; FH13440; FH13460; FH13480; FH13500; FH13520; FH13540; FH13550; FH13610; FH16540; FH16750; FH400; FH420; FH440; FH460; FH500; FH540; FM12340; FM12380; FM12400; FM12420; FM12440; FM12460; FM12480; FM12520; FM370; FM380; FM400; FM420; FM460; FM500; FMX370; FMX380; FMX420; FMX460; FMX500; N1016; N1020; N1033; N10; N1220; N1223; N12; NH12340; NH12360; NH12380; NH12420; NH12460; NL10280; NL10310; NL10320; NL10340; NL12360; NL12400; NL12410; NL12420; VM15210; VM17210; VM17240; VM220; VM23210; VM23240; VM260; VM270; VM310; VM330; B10M245 EDC; B10M285 EDC; B10M310; B10M340 EDC; B10M; B10R; B11R B340R; B11R B380R; B11R B420R; B11R B450R; B12/ B12B; B12360; B12M340; B12R340; B12R380; B12R420; B340R; B360S; B380R; B420R; B450E; B58; B59T; B7R230PB; B7R260PB; B7R285; 325L; 330; 330C; 35V, 15V; 45 (3BK1-&gt;); 517G Série 517G; 518 Série 50S206UP, 55U1UP, 94W1UP, 95U1UP; 518 Série 518; 525B - 3KZ00875; 525B - 3KZ1 00795 e 2KZ00797 00874; 525B - 3KZ1 00874; 525B; 525C / 535C; 525C 5251 UP; 528 Série 51S1 128; 528 Série 51S129 UP 97C1 UP; 531D; 533D; 535B - AAE1; 535B; 535C / 545C - 5351-UP; 539 - 1PZ1-UP; 539; 545 - 2FZ1; 561 C Serie 561C; 561 92J363 - UP, 54X1 - UP; 563 D; 564 - KBN1-UP; 571 16WI - UP; 571 95NI - 190; 571 95NI91 - UP; 572 40U1 - UP; 572 96N164 - UP; 572 96NI - 163; 572G Serie 572G; 572R - 2HZ; 574 - 1FM; 621; 624F; 627 Série 54K1451 - UP; 627 Série 54K737 - 888; 627 Série 54K889 - 1450; 627 Série 68M1551 - UP; 627 Série 68M651 - 878; 627 Série 68M879 - 1550; 627F; 637 Série 63M305 - UP; 637 Série 91N374 - UP; 637 Série 92N1204; 637 Série 92N205 - UP; 65C - 2ZJ1-499; 65C - 2ZJ500-UP; 68M651 e Segs.; 72G 1030 e Segs. 12K 1836 e Segs. 96V; 76W, 77W, 97F, 82J, 3256, 82J, 3260 e Segs. 83J, 390.; 814 90P157 - UP, 14R1 - UP; 814B Série 16Z1 - UP; 815 Série 91P920 - UP exceto 91P25 15R1-UP; 815B Série 17Z1 - UP; 815F; 816 - Série 816; 816 Série 15Z1 - UP; 816 Série 57U1 - UP; 89J1689 e Segs.; 900 B; 91N 64M1 305 e Segs.; 920 Série 62K3390 - 4605 exceto 62K3394; 920 Série 62K4606 - 7094, 62K7095 - UP; 920 Série 75J1 - UP; 924G; 928F; 928G - 6XR1; 928G - 6XR; 928G - 7SR1; 928G; 92V; 930 Série 41K2327, 5314; 930 Série 73M1 - UP, 79J1 - UP; 930G - TFW1-UP; 930G - TWR1-786; 930G; 936 Série 33Z1 - UP, 45Z1 - UP; 938F; 938G; 93N - 962 e Segs. 94N - 3347 - 3348 - 3352 - 3353 - 3357 e Segs. 72W - 91V; 941 Série 70H1 - UP, 16U1 - UP; 941 Série 80H - 3085 - UP, Exceto 80H - 3087; 941B - Serie 941B / 941 - Serie 941; 94U - Serie 94U; 950 Série 81J4 - 4273 - 5410 - 31K1016 - 1200; 950 Série 81J5411 - UP, 31K1201 - UP
CAT: 1000B; 1050B; 1055B; 10R, 2144 e SEGS, 22R 942 e SEGS, 13V 682 e SEGS, 87V, 82 V; 112 Série 89J1689 - UP; 11R1, 651, 11R652 e SEGS, 14V, 24R, 615, 72V, 81V; 12 FSérie 12F; 12 Série 13K4 - 568 - UP; 12 Série 61M1 - UP; 12 Série 89H1 225 - UP; 12 Série 89HC13K; 120 Série 10R2144 - UP, 22R942 - UP, 64U1 - UP; 120 Série 13U942 - UP; 120 Série 61V1 - UP, 82V1 - UP; 120B; 120G; 120H; 120K; 12H; 12HES, 12HNA, 140H, 140H (ES, NA); 130 Série 74V; 130G Série 74V1 - UP; 130G; 135H; 14 Série 12K1836 - UP; 14 Série 72G e 12K; 14 Série 72G1030 - UP; 14 Série 96U1 - UP; 140 Série 14U - 387; 140 Série 14U388 - UP; 140 Série 24R4922 - UP, 11R652 - UP; 140B; 140G Série 72V, 81V; 140G; 140H; 140K; 143H - 1AL1; 143H; 14E Série 14E; 14H - 7WJ1; 14H e 14HNA; 16 Série 49G554 - UP; 160H - 2FM1, 2HS1 e 3GM1; 163H; 215 Série 9621 - UP; 215 Série 99L, Escavadeiras; 219D Série 219D; 225 - Serie 225; 225 Série 20S1 - UP; 225 Série 76U1 - UP; 235 - Serie 235; 235 Série 32K1 - 788; 235 Série 32K789 - UP; 235 Série 32K; 235 Série 62X1 - UP; 235 Série 81X1 - UP; 235B - Serie 235B; 311C UTILITY; 312D2; 312D2GC; 312D2L; 312D; 315C - CFB1; 315C - CFT1; 315C L - CFT1; 315C; 315CL - CFB1; 319C; 320; 320B/ L; 320B/ LN; 320B/ N; 320B/ S; 320B; 320C; 320CLU; 320CMH; 320D/ L; 320D; 321C; 322B L; 322B; 322C; 323D; 324D; 325; 325B/ L; 325B/ LN; 325B; 325C; 325DL</t>
  </si>
  <si>
    <t>VOLVO: 6884417; 466634; 478736; 21707134; 23658092; 478362; 21707133</t>
  </si>
  <si>
    <t>W11102/34</t>
  </si>
  <si>
    <t>OC370</t>
  </si>
  <si>
    <t>23.782.00</t>
  </si>
  <si>
    <t>New Holland E Series E</t>
  </si>
  <si>
    <t>W12003</t>
  </si>
  <si>
    <t>H480W</t>
  </si>
  <si>
    <t>LF16110</t>
  </si>
  <si>
    <t>P502364</t>
  </si>
  <si>
    <t>24.121.C0</t>
  </si>
  <si>
    <t>VW: 2H0127401A; 2H0127401B</t>
  </si>
  <si>
    <t>24.446.01</t>
  </si>
  <si>
    <t>Nissan Frontier Diesel 2.5</t>
  </si>
  <si>
    <t>FCD2066/4</t>
  </si>
  <si>
    <t>KC495D</t>
  </si>
  <si>
    <t>PS9915</t>
  </si>
  <si>
    <t>FCD2206</t>
  </si>
  <si>
    <t>FS19735</t>
  </si>
  <si>
    <t>CATERIPLLAR: D350E; 235B; 135C; 135D; 246; 45B; 45D; D8Rll / JOHN DEERE: 6200</t>
  </si>
  <si>
    <t>PSC748</t>
  </si>
  <si>
    <t>FCD2303</t>
  </si>
  <si>
    <t>FF5319</t>
  </si>
  <si>
    <t>P551311</t>
  </si>
  <si>
    <t>WOE215</t>
  </si>
  <si>
    <t>WOE237</t>
  </si>
  <si>
    <t>WOE890</t>
  </si>
  <si>
    <t>CITROEN JUMPY 1.5 16V 120CV - 2022
PEUGEOT EXPERT 1.5 16V 120CV - 2022
FIAT SCUDO 1.5 16V 120CV - 2022</t>
  </si>
  <si>
    <t>WOE702</t>
  </si>
  <si>
    <t>25.226.B0</t>
  </si>
  <si>
    <t>25.400.00</t>
  </si>
  <si>
    <t>CATERPILLAR: Series 1600; 570; 630; 640; 650; 660; 760; 770; D300; DW.</t>
  </si>
  <si>
    <t>CAT: 1R0721; 5H6886; 6H9937</t>
  </si>
  <si>
    <t>H1496</t>
  </si>
  <si>
    <t>E229.86H</t>
  </si>
  <si>
    <t>OX2</t>
  </si>
  <si>
    <t>CH238PL</t>
  </si>
  <si>
    <t>LF519</t>
  </si>
  <si>
    <t>P550485</t>
  </si>
  <si>
    <t>E226H</t>
  </si>
  <si>
    <t>E88HD24</t>
  </si>
  <si>
    <t>25.911.00</t>
  </si>
  <si>
    <t>DAF: 95XF 380; 95XF 480; 95XF 430</t>
  </si>
  <si>
    <t>VOLVO: 21654583</t>
  </si>
  <si>
    <t>HF29175</t>
  </si>
  <si>
    <t>MERCEDES BENZ: 1938 LS OM 457 LA ELETRÔNICO (98-&gt;); 1938 S OM 457 ELETRÔNICO(99-&gt;)</t>
  </si>
  <si>
    <t>MAN: TGX 29.440 / TGX 33.440 (2013-&gt;); Worker (2012-&gt;); Constellation (2012-&gt;)</t>
  </si>
  <si>
    <t>MERCEDES BENZ: Accelo (2017-&gt;); Atego (2005- &gt;); Axor (2005-&gt;);  OF 1417, 712C, 914C - OM 904 ELETRÔNICO (1997-&gt;)</t>
  </si>
  <si>
    <t>FIAT: Toro 2.0 DIESEL (01/16-); Ducato 2.3 16V - 130 cv (2018-&gt;) / JEEP: Renegade 2.0 M-JET (03/15-); Commander 2.0 - 170 cv (2021-&gt;) -" FILTRO COM VALVULA DE ALIVIO"</t>
  </si>
  <si>
    <t>FIAT: Ducato - 2018&gt; / Citroen: Jumper 2.2-140cv (2022-&gt;)</t>
  </si>
  <si>
    <t>FCD0821</t>
  </si>
  <si>
    <t>REC906</t>
  </si>
  <si>
    <t>26.681.00</t>
  </si>
  <si>
    <t>JOHN DEERE / KOMATSU / CASE IH / BOB CAT / NEW HOLLAND / YANMAR</t>
  </si>
  <si>
    <t>P5006</t>
  </si>
  <si>
    <t>KX185</t>
  </si>
  <si>
    <t>FF5103</t>
  </si>
  <si>
    <t>P502161</t>
  </si>
  <si>
    <t>KOMATSU: (1300 2B 1820) / MERCEDES BENZ: ( 345 094 70 04 ) / SANTAL
AGRALE: 7000; 7500; 8500; 1090; 2100; 2105; 2600 CANAVIERO; 4100 Turbo; 4130; 490; 8450 (4X4); BX 4.60; BX 4.90; BX100 Turbo; BX100 Turbo; BX130; BX4110; BX4110; BX4130; BX4130; BX60; BX90 / ATLAS-COPCO: GA707; XA60, XA80, XAS60, XAS80; CBT; 1065, 1105, 2600; 1090A, 2100 CANAVIEIRO; 2500, 2100; 9450 TURBO (4X4) / CLARK: 55 Articulada, 65R, 75III, 75HD; 714; 720; 75; Guindastes 714 / DEUTZ: AX 4140/L/TRAÇÃO DUPLA; AX 4145/L/TRAÇÃO DUPLA; AX160; AX160S TURBO; AX4160; AX5.145 Tração Dupla; AX5125 TRAÇÃO SIMPL-DUPLA; AX5145 TRAÇÃO DUPLA; DX160; M 2000; M 2385; Optima E /  ENGESA: EE 11 III (CARROS BLINDADOS); EE 15; EE 15; EE 25; EE 25; EE11 (ANFIBIO); EE15; EE25; EE510 - FLORESTAL; EE510, 510K /FORD: F4000; F4000; F4000; 712; 712E; 814; 815E; 815E; 815S; 815S; 915; B1618; F12000; F12000; F14000; F2000; F4000; F4000; F4000; F4000; F4000; FT7000 / MASSEY FERGUNSON: 297; 299; 299; 630; 650, 660; 680; 86RV; 9110, 9120, 9130, 9140; 9130 Turbo / MERCEDES BENZ: 1014LN; 1017O; 1113L/LK; 1113L; 1114L/LK; 1114L/LK; 1116; 1118L/LK; 1118L/LK; 1214 L/LK/R/K/LA; 1214 L/LK/R/K/LA; 1214C; 1215L/LA; 1215L/LA; 1218L/LA/LAK/LK-R; 1313L/LK; 1314 L/LK/LAK; 1316 L/LK; 1317L/LK/LAK; 1318L/LK; 1319L; 1414L/LK; 1414L/LK; 1414L; 1418L/LK/LA/LAK-R; 1513L/LK; 1514L/LK; 1516L/LK; 1517L/LK; 1518L/LK; 1519L/LS/LK; 1520LP; 1614L/LK; 1618L/LK; 1714L/LK; 1718KA; 1721LK/LS-S; 1924LS; 2013L; 2213L/LK/LB; 2213L/LK/LB; 2214L/LK; 2215LK; 2216L/LK/LB; 2217L/LK/LB; 2219L/LK/LB; 2220L/LK/LB; 2318L/LK/LB; 2318L/LK/LB; 2418L; 708L/D; 708L/E; 710 Plus; 710; 710; 712E; 812L; 813D; 912L; 914L / NEW HOLLAND: 1530 ; 1540; 1550; 4040; 5050; 7630 S100; 8040; 8055 TURBO; 8055; 8055; 8430 Diesel Turbo; 8430; 8630, 8830 Diesel Turbo; 8630 / JOHN DEERE: 1000; 1065; 1068; 1072; 1075; 1166; 1174; 1177; 2000; 2200; 2000; 6300; 7500 / VALMET - VALTRA; 1180; 1180; 965 (4X4); 980 (4X4); 985 (4X4); BM110; BM120; BM125i / VOLKSWAGEN; 10160; 12140T; 12140T; 13150; 15190; 15190; 17190; 17190; 5140E; 5150E; 6140/ 6160; 690P</t>
  </si>
  <si>
    <t>Filtro Spin-on Secador do Ar</t>
  </si>
  <si>
    <t>CA573SY</t>
  </si>
  <si>
    <t>P828889</t>
  </si>
  <si>
    <t>27.427.00</t>
  </si>
  <si>
    <t>CATERPILLAR / TEREX</t>
  </si>
  <si>
    <t>E592L</t>
  </si>
  <si>
    <t>AF25322</t>
  </si>
  <si>
    <t>P781746</t>
  </si>
  <si>
    <t>27.519.C0</t>
  </si>
  <si>
    <t>Manitou: 563416</t>
  </si>
  <si>
    <t>DAF: CF85 (2021- &gt;) / MAN: TG660A; TGA41660 (2002- &gt;) / MERCEDES BENZ: 500, OM 457 LA (2002- &gt;); Integro, OM 457 LA (2006- &gt;) / SETRA: motor OM 457 LA (2000- &gt;) / LIEBHERR: LTC1055; LTM1045/2; LTM1055/1; LTM1080/1; LTM1400/7</t>
  </si>
  <si>
    <t>DAF: 1933740; MAN: 81083040100; MERCEDES BENZ: A0040941704; A0030941704</t>
  </si>
  <si>
    <t>27.A02.C0</t>
  </si>
  <si>
    <t>BOB CAT: 863,863G,863H,864,864G,873,873G,883,883G,S250,S550,S570,S590,A220,A300,873H,337,337D,337G,341,341D,341G,435,435ZHS,E42,E45,E50,E55</t>
  </si>
  <si>
    <t>BOB CAT: 6666375</t>
  </si>
  <si>
    <t>C14202/1</t>
  </si>
  <si>
    <t>P827653</t>
  </si>
  <si>
    <t>E603LS</t>
  </si>
  <si>
    <t>Elemento Filtrante Secador do Ar</t>
  </si>
  <si>
    <t>27.I23.00</t>
  </si>
  <si>
    <t>SCANIA</t>
  </si>
  <si>
    <t>EAS770MD359-2</t>
  </si>
  <si>
    <t>CV50843</t>
  </si>
  <si>
    <t>X770818</t>
  </si>
  <si>
    <t>27.I24.00</t>
  </si>
  <si>
    <t>ATLAS COPCO: ROC Series L6; DOOSAN: 12 Series.</t>
  </si>
  <si>
    <t>C32021</t>
  </si>
  <si>
    <t>WAP626</t>
  </si>
  <si>
    <t>AF25123</t>
  </si>
  <si>
    <t>P785590</t>
  </si>
  <si>
    <t>30.156.00</t>
  </si>
  <si>
    <t>LAMBORGHINI: Gallardo 5.0 V10</t>
  </si>
  <si>
    <t>07L133843</t>
  </si>
  <si>
    <t>NISSAN: March 1.0 77 cv (2016-&gt;); March 1.0 16V - 74 cv (2012-2015); Sentra 2.0 16V 143 cv (2014); Versa 1.0 3 Cil 12V - 77 cv (2015-2020); Versa 1.0 12V - 77 cv (2021- &gt;); Versa 1.6 16V - 111 cv (2021- &gt;)</t>
  </si>
  <si>
    <t>30.887.02</t>
  </si>
  <si>
    <t>FERRARI: Testarossa 4.9 (1984- 1991)</t>
  </si>
  <si>
    <t>FERRARI: 137176</t>
  </si>
  <si>
    <t>30.D16.00</t>
  </si>
  <si>
    <t>MITSUBISHI: Eclipse Cross 2.4 Hybrid; Outlander III Hybrid.</t>
  </si>
  <si>
    <t>C31038</t>
  </si>
  <si>
    <t>E1441L</t>
  </si>
  <si>
    <t>LX4264</t>
  </si>
  <si>
    <t>FERRARI: 308 GTB 2.9 (82-85); 308 GTS 2.9 (82-85); 328 GTB 3.2 (85-89); 328 GTS 3.2 (85-89);  348 GTB 3.4 (90-94); 348 GTS 3.4 (90-94); 512 TR 4.9 (92-94); F355 Berlinetta 3.5 (94-99); F355 Spider 3.5 (94-00); Mondial 3.4T (80-93)</t>
  </si>
  <si>
    <t>BMW: 118I 1.6 16V (09/11-); 125I 2.0 16V FLEX (03/15-); 316I 1.6 16V (12/13-); 320I 2.0 16V FLEX (03/12-); 328I 2.0 16V (07/12-); 320I GT SPORT (07/12-)
OBSERVAÇÂO: Perfil rigido, não sendo possivel aplicar em alojamentos curvados.</t>
  </si>
  <si>
    <t>AF26174</t>
  </si>
  <si>
    <t>FIAT DUCATO/ PEUGEOT BOXER/ CITROEN JUMPER 2.3 16V 2010 A 2017</t>
  </si>
  <si>
    <t>SCANIA: B110; F113; F94 /  VOLVO: FH; VM / GM: A80 (1985-1985); C12170 (1996-2002); C14190 (1996-2002); C15190 (1997-&gt;); C16220(1996-2002)</t>
  </si>
  <si>
    <t>KC648/1PLUS</t>
  </si>
  <si>
    <t>FCD3091</t>
  </si>
  <si>
    <t>MERCEDES BENZ: 1632LS; 1634LS; 1938 / SCANIA:114PRT; 124PRT; 164R; G360; G380; G420; G440; G470; P230;P270; P310; P340; P360; P420; R380; R420; R440; R470; R480; R500; R580; R620; R112E; T114GA; B75; B76; F94 HB300; K114; K124; K230; K270; K310; K340; K360; K420; L94II;  / VOLVO: FH12340; FH12380; FH12420; FM12340; FM12380; FM12420; FM12460; NH12340; NH12360; NH12380; NH12420; NL10320; NL10340; NL12360; NL12410; VM17210; VM23210; VM23240; B10M245 ADC; B10M285 ADC; B10M340 ADC; B10M; L110E / JOHN DEERE: 6850; 744H</t>
  </si>
  <si>
    <t>KC636</t>
  </si>
  <si>
    <t>FIAT DUCATO/ PEUGEOT BOXER/ CITROEN JUMPER 2.3 127cv (2010- 2017)
FIAT DUCATO/ PEUGEOT BOXER/ CITROEN JUMPER 2.8 127cv (2005-&gt;)</t>
  </si>
  <si>
    <t>80.059.C0</t>
  </si>
  <si>
    <t>DPX0100NFD</t>
  </si>
  <si>
    <t>JOHN DEERE</t>
  </si>
  <si>
    <t>ST2176</t>
  </si>
  <si>
    <t>P766956</t>
  </si>
  <si>
    <t>DRX0063NFC</t>
  </si>
  <si>
    <t>PI23006RN</t>
  </si>
  <si>
    <t>EPB12NFD</t>
  </si>
  <si>
    <t>MASSEY FERGUSON: MF30E; MF50E; MF50EX; MF60HXT; MF960. N. ORIGINAL  AGCO: 040851R1</t>
  </si>
  <si>
    <t>040851R1</t>
  </si>
  <si>
    <t>HD551</t>
  </si>
  <si>
    <t>PH043</t>
  </si>
  <si>
    <t>HF7043</t>
  </si>
  <si>
    <t>P165136</t>
  </si>
  <si>
    <t>EPB21NFB</t>
  </si>
  <si>
    <t>HYSTER / MITSUBISHI S4L-Y162ST / Massey F 2000 SERIES (Perkins)</t>
  </si>
  <si>
    <t>PALL HC9800FDN4H</t>
  </si>
  <si>
    <t>HF30022</t>
  </si>
  <si>
    <t>930197Q</t>
  </si>
  <si>
    <t>P169446</t>
  </si>
  <si>
    <t>EPH0030NFC</t>
  </si>
  <si>
    <t>VOLVO CONSTRUCTION</t>
  </si>
  <si>
    <t>HD453</t>
  </si>
  <si>
    <t>HF30348</t>
  </si>
  <si>
    <t>P170599</t>
  </si>
  <si>
    <t>EPH0060NFC</t>
  </si>
  <si>
    <t>LIEBHERR</t>
  </si>
  <si>
    <t>HF30187</t>
  </si>
  <si>
    <t>P170601</t>
  </si>
  <si>
    <t>EPH0095FFC</t>
  </si>
  <si>
    <t>HD623/1</t>
  </si>
  <si>
    <t>938309Q</t>
  </si>
  <si>
    <t>EPH0110NFC</t>
  </si>
  <si>
    <t>HD512</t>
  </si>
  <si>
    <t>HF30218</t>
  </si>
  <si>
    <t>P170604</t>
  </si>
  <si>
    <t>EPH0240NFC</t>
  </si>
  <si>
    <t>HF30222</t>
  </si>
  <si>
    <t>PR3145Q</t>
  </si>
  <si>
    <t>P170608</t>
  </si>
  <si>
    <t>SHD0330FD11 Elemento Filtrante</t>
  </si>
  <si>
    <t>EPM1352NFC</t>
  </si>
  <si>
    <t>CAT: 3I2142</t>
  </si>
  <si>
    <t>ST1208</t>
  </si>
  <si>
    <t>P171738</t>
  </si>
  <si>
    <t>EPN1335FFC</t>
  </si>
  <si>
    <t>MASSEY FERGUSON: Tratores 7000, 7214, 7215, 7217, 7219, 7019, 7020, 7140, 7150, 7170, 7180 - N. ORIGINAL MF: 6231527M1</t>
  </si>
  <si>
    <t>MASSEY FERGUSON : 6231527M1 : TANROCK 95547609</t>
  </si>
  <si>
    <t>TH170</t>
  </si>
  <si>
    <t>HF28761</t>
  </si>
  <si>
    <t>932630Q</t>
  </si>
  <si>
    <t>P170084</t>
  </si>
  <si>
    <t xml:space="preserve"> 944016Q</t>
  </si>
  <si>
    <t>P163419</t>
  </si>
  <si>
    <t>944030Q</t>
  </si>
  <si>
    <t>WH 945</t>
  </si>
  <si>
    <t>HF6554</t>
  </si>
  <si>
    <t>944024Q</t>
  </si>
  <si>
    <t>WH 945/2</t>
  </si>
  <si>
    <t>944022Q</t>
  </si>
  <si>
    <t>E8280SP1010</t>
  </si>
  <si>
    <t>944014Q</t>
  </si>
  <si>
    <t>P163324</t>
  </si>
  <si>
    <t>E8280SP2006</t>
  </si>
  <si>
    <t>944027Q</t>
  </si>
  <si>
    <t>WH980/3</t>
  </si>
  <si>
    <t>E8280SP2015</t>
  </si>
  <si>
    <t>E8280SP2025</t>
  </si>
  <si>
    <t>D165675SP1005</t>
  </si>
  <si>
    <t>WH 1257/1</t>
  </si>
  <si>
    <t>D165675SP2006</t>
  </si>
  <si>
    <t>944038Q</t>
  </si>
  <si>
    <t>D165675SP2025</t>
  </si>
  <si>
    <t>944035Q</t>
  </si>
  <si>
    <t>WH1257/5</t>
  </si>
  <si>
    <t>D165675SP2015</t>
  </si>
  <si>
    <t>944036Q</t>
  </si>
  <si>
    <t>ERA31NMF</t>
  </si>
  <si>
    <t>P171518</t>
  </si>
  <si>
    <t>ERA32NME</t>
  </si>
  <si>
    <t>HF35206</t>
  </si>
  <si>
    <t>P171535</t>
  </si>
  <si>
    <t>ERA41NCC</t>
  </si>
  <si>
    <t>H1046/2</t>
  </si>
  <si>
    <t>HF35209</t>
  </si>
  <si>
    <t>P171539</t>
  </si>
  <si>
    <t>ERA52NFC</t>
  </si>
  <si>
    <t>CASE / LIEBEHER / BOMMAG</t>
  </si>
  <si>
    <t>HF35214</t>
  </si>
  <si>
    <t>P171561</t>
  </si>
  <si>
    <t>ERA54NFD</t>
  </si>
  <si>
    <t>TEREX</t>
  </si>
  <si>
    <t>HF35220</t>
  </si>
  <si>
    <t>P763258</t>
  </si>
  <si>
    <t>ERD41NFC</t>
  </si>
  <si>
    <t>ERF14NFC</t>
  </si>
  <si>
    <t>JCB / ATLAS COPCO</t>
  </si>
  <si>
    <t>H082792</t>
  </si>
  <si>
    <t>HF35121</t>
  </si>
  <si>
    <t>P171825</t>
  </si>
  <si>
    <t>ERF41NCC</t>
  </si>
  <si>
    <t>PM5109</t>
  </si>
  <si>
    <t>HF6272</t>
  </si>
  <si>
    <t>P761354</t>
  </si>
  <si>
    <t>ERF41NFC</t>
  </si>
  <si>
    <t>HF7957</t>
  </si>
  <si>
    <t>TXW10GDL10</t>
  </si>
  <si>
    <t>ERF41NFD</t>
  </si>
  <si>
    <t>TXW10GDL20</t>
  </si>
  <si>
    <t>ERF41NME</t>
  </si>
  <si>
    <t>ERF41NMF</t>
  </si>
  <si>
    <t>ERH0165NFC</t>
  </si>
  <si>
    <t>HD419</t>
  </si>
  <si>
    <t>938275Q</t>
  </si>
  <si>
    <t>ERH0330NFC</t>
  </si>
  <si>
    <t>HD1040</t>
  </si>
  <si>
    <t>HF6892</t>
  </si>
  <si>
    <t>PR3309</t>
  </si>
  <si>
    <t>P566983</t>
  </si>
  <si>
    <t>ERN9248NCC</t>
  </si>
  <si>
    <t>MANITOU</t>
  </si>
  <si>
    <t>MANITOU: H85807055; 221174</t>
  </si>
  <si>
    <t>HD770</t>
  </si>
  <si>
    <t>HF7981</t>
  </si>
  <si>
    <t>P760155</t>
  </si>
  <si>
    <t>ERY21217NFD</t>
  </si>
  <si>
    <t>NEW HOLLAND:Serie TX-62/64/65/66/68 ; Série FX; Case: 7700 c/ motor Cummins e Caterpillar ; NEW HOLLAND: FX375, TX62, TX64, TX65 N°ORIGINAL: 89814477</t>
  </si>
  <si>
    <t>P5158</t>
  </si>
  <si>
    <t>ESY30607NRC</t>
  </si>
  <si>
    <t>H61</t>
  </si>
  <si>
    <t>HF7919</t>
  </si>
  <si>
    <t>P762904</t>
  </si>
  <si>
    <t>IRF42NFC</t>
  </si>
  <si>
    <t>937862Q</t>
  </si>
  <si>
    <t>S 1515 B</t>
  </si>
  <si>
    <t>SOFIMA</t>
  </si>
  <si>
    <t>CHERRY: Tiggo 5X; Tiggo 7; Tiggo; QQ; Arrizo</t>
  </si>
  <si>
    <t>CHERRY: 5111117110</t>
  </si>
  <si>
    <t>WK68/6</t>
  </si>
  <si>
    <t>GI66</t>
  </si>
  <si>
    <t>EP188</t>
  </si>
  <si>
    <t>JFC383</t>
  </si>
  <si>
    <t>S 3286 C1</t>
  </si>
  <si>
    <t>Chery: Tiggo 5X 1.5 VVT 2018 -&gt;, Tiggo 7 1.5 2019 -&gt; Hibrido 2022 -&gt;, Tiggo 8 1.6 TGDi 2020 -&gt; Hibrido 2022 -&gt;.</t>
  </si>
  <si>
    <t>T218107011</t>
  </si>
  <si>
    <t>ACP850</t>
  </si>
  <si>
    <t>AKX1704</t>
  </si>
  <si>
    <t>S 3B35 A1</t>
  </si>
  <si>
    <t>Chevrolet Onix 1.0 2019 Turbo -&gt;, Tracker 1.0 e 1.2 Turbo 2020 -&gt;, Montana 1.2 2023 -&gt;</t>
  </si>
  <si>
    <t>C23023</t>
  </si>
  <si>
    <t>LX5730</t>
  </si>
  <si>
    <t>ART8860</t>
  </si>
  <si>
    <t>HLT8860</t>
  </si>
  <si>
    <t>FAP3233</t>
  </si>
  <si>
    <t>S 3D03 A1</t>
  </si>
  <si>
    <t>CHERRY: Tiggo 8</t>
  </si>
  <si>
    <t>CHERRY: 151000079AA</t>
  </si>
  <si>
    <t>C27073</t>
  </si>
  <si>
    <t>JFA0F19</t>
  </si>
  <si>
    <t>S 3D04 A1</t>
  </si>
  <si>
    <t>Chery: Tiggo 5X e Tiggo 7 1.5 Turbo 2018 -&gt;</t>
  </si>
  <si>
    <t>T151109111</t>
  </si>
  <si>
    <t>ARL9121</t>
  </si>
  <si>
    <t>JFA0F18</t>
  </si>
  <si>
    <t>S 5120 PE1</t>
  </si>
  <si>
    <t>CHERRY: F4J161012030</t>
  </si>
  <si>
    <t>HU6027z</t>
  </si>
  <si>
    <t>WOE491</t>
  </si>
  <si>
    <t>00.N82.00</t>
  </si>
  <si>
    <t xml:space="preserve">Partes de Filtro - Kit de duas juntas </t>
  </si>
  <si>
    <t>Acessories</t>
  </si>
  <si>
    <t>Aplica junto com o Filtro 27.266.04.</t>
  </si>
  <si>
    <t>00.V00.00</t>
  </si>
  <si>
    <t xml:space="preserve">Acessório - Copo transparente sedimentador </t>
  </si>
  <si>
    <t>R120TSA</t>
  </si>
  <si>
    <t>23.105.00</t>
  </si>
  <si>
    <t xml:space="preserve">PEUGEOT: 205 1.1/1.2/1.3/1.4/1.6 -&gt; 1990; 309 1.1/1.3/1.4/1.6 -&gt; 1991; CITRON: 2CV, Dyane, LNA, Mehari Mehari, Visa. HARLEY DAVIDSON 1000 XLH; </t>
  </si>
  <si>
    <t>W712/9</t>
  </si>
  <si>
    <t>H91W</t>
  </si>
  <si>
    <t>OC10</t>
  </si>
  <si>
    <t>PH2839</t>
  </si>
  <si>
    <t>23.780.00</t>
  </si>
  <si>
    <t>CATERPILLAR: 10 Series, 100 Series, 300 Series, 5000 Series, 700 Series, 800 ?Series, 900 Series, C Seriees.</t>
  </si>
  <si>
    <t>WD13145/18</t>
  </si>
  <si>
    <t>H358W</t>
  </si>
  <si>
    <t>P551808</t>
  </si>
  <si>
    <t>24.159.00</t>
  </si>
  <si>
    <t>Filtro Blindado de Combustivel</t>
  </si>
  <si>
    <t>CASE CONSTRUCTION CX-SERIE HYDRAULIC EXCAVATORS CX700B, CX800B: CATERPILLAR 300, 3000, 5000, 600, 700-SERIES, 80, 800, 900, AD/R, C, CHALLENGER-SERIE, D10, D30, D40, D9, GENERATOREN/GENSETS, LEXION-SERIE, MOTONIVELADORAS, PF/PM/RS/OS/PST/RM (PAVING EQUIPMENT): CLASS CHANLLENGER 35, 45, 55, 65E, 75E, 85E, 95E: JOHN DEERE CH 570, 670:  IVECO: / VOLKSWAGEN</t>
  </si>
  <si>
    <t>02113831, 1290373, 3828838</t>
  </si>
  <si>
    <t>WK1175X</t>
  </si>
  <si>
    <t>H7120WK10</t>
  </si>
  <si>
    <t>KC430D</t>
  </si>
  <si>
    <t>PS9263</t>
  </si>
  <si>
    <t>FS19591</t>
  </si>
  <si>
    <t>R120T</t>
  </si>
  <si>
    <t>P5510748</t>
  </si>
  <si>
    <t>24.175.00</t>
  </si>
  <si>
    <t xml:space="preserve">JOHN DEERE J-Serie Bulldozer; LIEBHERR Series R </t>
  </si>
  <si>
    <t>LIEBHERR 1049946</t>
  </si>
  <si>
    <t>P956054</t>
  </si>
  <si>
    <t>26.H2O.06</t>
  </si>
  <si>
    <t>Linha leve</t>
  </si>
  <si>
    <t>FIAT Ducato 2.2/2.3 Multijet (OE: 77369138)</t>
  </si>
  <si>
    <t>27.318.00</t>
  </si>
  <si>
    <t>FIAT ALLIS; NEW HOLLAND; ORENSTEIN &amp; KOPPEL; ALLIS CHALMERS.</t>
  </si>
  <si>
    <t>CA1514SY</t>
  </si>
  <si>
    <t>AF955</t>
  </si>
  <si>
    <t>P124862</t>
  </si>
  <si>
    <t>27.A01.00</t>
  </si>
  <si>
    <t>IVECO:  Stralis II / Stralis XP; Stalis II X-Way; Stralis/EcoStralis/StralisHi-Road/Hi-Street/Hi-Way; Trakker (04-) /  NEW HOLLAND: T9-Series</t>
  </si>
  <si>
    <t>IVECO: 5801856860</t>
  </si>
  <si>
    <t>C18016</t>
  </si>
  <si>
    <t>EAS1M</t>
  </si>
  <si>
    <t>27.A32.00</t>
  </si>
  <si>
    <t>DYNAPAC: CC Series; RENAULT AGRICULTURE: Arès 630/640/710/720; HYERLIMANN: Serie XL.</t>
  </si>
  <si>
    <t>RENAULT AGRICULTURE: 7700039509; DYNAPAC: 908400</t>
  </si>
  <si>
    <t>C21560/2</t>
  </si>
  <si>
    <t>AF25504</t>
  </si>
  <si>
    <t>P777588</t>
  </si>
  <si>
    <t>27.F24.00</t>
  </si>
  <si>
    <t>MERCEDES BENZ Unimong; RENAULT Trucks Midliners</t>
  </si>
  <si>
    <t>TB1374/4X</t>
  </si>
  <si>
    <t>T390W</t>
  </si>
  <si>
    <t>AL23</t>
  </si>
  <si>
    <t>AD27752</t>
  </si>
  <si>
    <t>P957032</t>
  </si>
  <si>
    <t>27.I29.00</t>
  </si>
  <si>
    <t>NEW HOLLAND; CASE.</t>
  </si>
  <si>
    <t>CF37001</t>
  </si>
  <si>
    <t>AF4201</t>
  </si>
  <si>
    <t>P607557</t>
  </si>
  <si>
    <t>34.405.00</t>
  </si>
  <si>
    <t>KIA: Sportage II 2.0 e Sportage III 1.6/1.7/2.0, Niro 1.6 Hybrid; HYUNDAI: Tucson 2.0, IX35 1.6/1.7/2.0 Ioniq 1.6 Hybrid.</t>
  </si>
  <si>
    <t>HYUNDAI: 97133-2E250; 97133-2E260; 97133-2E260AT; 97133-G2000. KIA 97133-0Z000.</t>
  </si>
  <si>
    <t>FP24004</t>
  </si>
  <si>
    <t>AKX2001/C</t>
  </si>
  <si>
    <t>35.76</t>
  </si>
  <si>
    <t>JCB Series 400</t>
  </si>
  <si>
    <t>937946Q</t>
  </si>
  <si>
    <t>48.012.00</t>
  </si>
  <si>
    <t>Filtro Blindado de Combustivel GNV</t>
  </si>
  <si>
    <t>GNV filter (Gás)</t>
  </si>
  <si>
    <t>SCANIA SERIEg, SERIE P, SERIE R</t>
  </si>
  <si>
    <t>FVG3000</t>
  </si>
  <si>
    <t>53.507.00</t>
  </si>
  <si>
    <t>FENDT: Farmer 300; NEW HOLLAND: Series FX, TC e TX.</t>
  </si>
  <si>
    <t>CU60170</t>
  </si>
  <si>
    <t>E752L</t>
  </si>
  <si>
    <t>AF4663</t>
  </si>
  <si>
    <t>P783687</t>
  </si>
  <si>
    <t>54.481.00</t>
  </si>
  <si>
    <t xml:space="preserve">TESLA: Model S </t>
  </si>
  <si>
    <t>TESLA: 103512500A</t>
  </si>
  <si>
    <t>CUK25044</t>
  </si>
  <si>
    <t>E6959LC</t>
  </si>
  <si>
    <t>CFA12303</t>
  </si>
  <si>
    <t>80.140.00</t>
  </si>
  <si>
    <t>CATERPILLAR: 302.5 Cat3013 / JOHN DEERE: 5303 - JD3029D; 5403, 5603, 5605, 5705 - JD4045D; 5705 e 6405(*) - JD4045T; 6300, 6500, 6600(*) e 7500 - JD6059T; 6605, 7505(*), 7810 - JD6068T - (*) Para referência original RE45864</t>
  </si>
  <si>
    <t>W1254/2x</t>
  </si>
  <si>
    <t>HF6725</t>
  </si>
  <si>
    <t>P165877</t>
  </si>
  <si>
    <t>86.014.00</t>
  </si>
  <si>
    <t>CASE-IH: Farmlift: 632, 635, 735, 742, 935; JC BAMFORD: 426 / 426B 1006.6 Perkins; NEW HOLLAND: LM: 6.32, 7.35, 7.42, 9.35;</t>
  </si>
  <si>
    <t>WD940/4</t>
  </si>
  <si>
    <t>H17WD03</t>
  </si>
  <si>
    <t>HC10</t>
  </si>
  <si>
    <t>P8552</t>
  </si>
  <si>
    <t>WOH221</t>
  </si>
  <si>
    <t>HF6316</t>
  </si>
  <si>
    <t>P551757</t>
  </si>
  <si>
    <t>CBS11SWCFD</t>
  </si>
  <si>
    <t>DPX0250NFB</t>
  </si>
  <si>
    <t>7960834</t>
  </si>
  <si>
    <t>G04114</t>
  </si>
  <si>
    <t>DRX0160NFC</t>
  </si>
  <si>
    <t>EBB11CD</t>
  </si>
  <si>
    <t>INDUSTRIAL UFI HYD: EBB11CD</t>
  </si>
  <si>
    <t>EPB12NFC</t>
  </si>
  <si>
    <t>7817703</t>
  </si>
  <si>
    <t>HF6369</t>
  </si>
  <si>
    <t>GO1369Q</t>
  </si>
  <si>
    <t>P165006</t>
  </si>
  <si>
    <t>EPB21NFA</t>
  </si>
  <si>
    <t>HD5093</t>
  </si>
  <si>
    <t>HF30389</t>
  </si>
  <si>
    <t>930189Q</t>
  </si>
  <si>
    <t>P169445</t>
  </si>
  <si>
    <t>EPH0075NFC</t>
  </si>
  <si>
    <t>EPH0095NFC</t>
  </si>
  <si>
    <t>CLAAS, FASSI, TEREX</t>
  </si>
  <si>
    <t>15991770, ZFI0006, 48256012</t>
  </si>
  <si>
    <t>P582210</t>
  </si>
  <si>
    <t>EPH0110NMD</t>
  </si>
  <si>
    <t>EPH0280NFB</t>
  </si>
  <si>
    <t>P566675</t>
  </si>
  <si>
    <t>EPI0090NFC</t>
  </si>
  <si>
    <t>ST2233</t>
  </si>
  <si>
    <t>EPM3203NFC</t>
  </si>
  <si>
    <t>EPN4244NFC</t>
  </si>
  <si>
    <t>BOMFORD, DANGREVILLE, HERKULES, SVETRUCK</t>
  </si>
  <si>
    <t>G04244</t>
  </si>
  <si>
    <t>P573784</t>
  </si>
  <si>
    <t>EPO1AFFSGAB</t>
  </si>
  <si>
    <t>EPO21NFCWBW</t>
  </si>
  <si>
    <t>CATERPILLAR; NEW HOLLAND; CASE - N. ORIGINAL CATERPILLAR: 6E6408; CNH: 84226263</t>
  </si>
  <si>
    <t>6E6408</t>
  </si>
  <si>
    <t>WH1263</t>
  </si>
  <si>
    <t>H304W</t>
  </si>
  <si>
    <t>PSH827</t>
  </si>
  <si>
    <t>XH8191</t>
  </si>
  <si>
    <t>HF35305</t>
  </si>
  <si>
    <t>P179343</t>
  </si>
  <si>
    <t>EPY30623NFC</t>
  </si>
  <si>
    <t>WIRTGEN W e WT Series</t>
  </si>
  <si>
    <t>HF29131</t>
  </si>
  <si>
    <t>939764Q</t>
  </si>
  <si>
    <t>P580286</t>
  </si>
  <si>
    <t>EPY30823NFC</t>
  </si>
  <si>
    <t>P171744</t>
  </si>
  <si>
    <t>EPY30823NFD</t>
  </si>
  <si>
    <t>P171745</t>
  </si>
  <si>
    <t>ERD51NFD</t>
  </si>
  <si>
    <t>EXTEC C Series; SANDVIK</t>
  </si>
  <si>
    <t>ST1826</t>
  </si>
  <si>
    <t>943820Q</t>
  </si>
  <si>
    <t>P560720</t>
  </si>
  <si>
    <t>ERF23NCC</t>
  </si>
  <si>
    <t>HF6180</t>
  </si>
  <si>
    <t>P171813</t>
  </si>
  <si>
    <t>ESA31B12AMF</t>
  </si>
  <si>
    <t>ESA43B24WMF</t>
  </si>
  <si>
    <t>VERMEER D e T Series</t>
  </si>
  <si>
    <t>ETA23NFC</t>
  </si>
  <si>
    <t>AGRIMAC Series TH; LIEBHERR L500; WEIDEMANN 900 S 917</t>
  </si>
  <si>
    <t>HF35098</t>
  </si>
  <si>
    <t>P175112</t>
  </si>
  <si>
    <t>27.420.C0</t>
  </si>
  <si>
    <t>003.1682.6</t>
  </si>
  <si>
    <t>P765281</t>
  </si>
  <si>
    <t>23.103.00</t>
  </si>
  <si>
    <t>HARLEY DEVIDSON; MINI; LOTUS; ATMOS; AUSTIN; BEDFORD; FORD; OPEL</t>
  </si>
  <si>
    <t>W712</t>
  </si>
  <si>
    <t>H90W01</t>
  </si>
  <si>
    <t>OC21</t>
  </si>
  <si>
    <t>PH966B</t>
  </si>
  <si>
    <t>LF3310</t>
  </si>
  <si>
    <t>P551251</t>
  </si>
  <si>
    <t>23.152.02</t>
  </si>
  <si>
    <t>Elemento Spin-on do Óleo</t>
  </si>
  <si>
    <t>VALTRA: 700 Série, 702S, 702S-4, 742VL   (Ref Original 20122208 / 836122208 / 20122208)-  New Holland (47410387); Compressor Kyungwon 20-30HP</t>
  </si>
  <si>
    <t>W950</t>
  </si>
  <si>
    <t>WO772</t>
  </si>
  <si>
    <t>LF4154</t>
  </si>
  <si>
    <t>P550362</t>
  </si>
  <si>
    <t>23.196.00</t>
  </si>
  <si>
    <t>FIAT: TIPO 1.6 NACIONAL E IMPORTADO, À PARTIR DE 1995, UNO TURBO 1.4, PALIO (EXCETO FIRE) ( 598 4044 ), UNO TURBO, MAREA, BRAVA</t>
  </si>
  <si>
    <t>W713/16</t>
  </si>
  <si>
    <t>H14W28</t>
  </si>
  <si>
    <t>OC66</t>
  </si>
  <si>
    <t>PSL45</t>
  </si>
  <si>
    <t>LB45</t>
  </si>
  <si>
    <t>PH4558</t>
  </si>
  <si>
    <t>WO170</t>
  </si>
  <si>
    <t>23.291.B0</t>
  </si>
  <si>
    <t>034115561A; 06A115561B; 1JM115561BZ;</t>
  </si>
  <si>
    <t>23.671.C0</t>
  </si>
  <si>
    <t>Escavadoras Komatsu: PC240LC-8, PC200LC-8, PC210-8K.</t>
  </si>
  <si>
    <t>FOMATSU: 6736515142</t>
  </si>
  <si>
    <t>24.010.C0</t>
  </si>
  <si>
    <t>WK940/12</t>
  </si>
  <si>
    <t>H17WK04</t>
  </si>
  <si>
    <t>KC94</t>
  </si>
  <si>
    <t>PSC84</t>
  </si>
  <si>
    <t>FBD84</t>
  </si>
  <si>
    <t>P5797</t>
  </si>
  <si>
    <t>FCD2205</t>
  </si>
  <si>
    <t>FF5297</t>
  </si>
  <si>
    <t>P550495</t>
  </si>
  <si>
    <t>24.261.00</t>
  </si>
  <si>
    <t>Elemento Spin-on do Combustível</t>
  </si>
  <si>
    <t>INGERSOLL RAND: D Series; TEREX: S Series; AVELING BAFORD: Centaur Serie, RD Series.</t>
  </si>
  <si>
    <t>FF5036</t>
  </si>
  <si>
    <t>24.263.00</t>
  </si>
  <si>
    <t>KOMATSU: 4D series, D31-17, PC Series.</t>
  </si>
  <si>
    <t>WK8001</t>
  </si>
  <si>
    <t>FF5058</t>
  </si>
  <si>
    <t>P550410</t>
  </si>
  <si>
    <t>24.313.B0</t>
  </si>
  <si>
    <t>Mercedes - Benz: Motor OM352A - L2216, LB2216, LK2216 - 1980-&gt;1987 / Motor OM364 - L709, L709/37/42 – 1988-&gt;1996</t>
  </si>
  <si>
    <t>3900900052;</t>
  </si>
  <si>
    <t>24.349.B0</t>
  </si>
  <si>
    <t>VOLKSWAGEN: Euro 3. IVECO: EUROCARGO 170E22 TECTOR F4AE0681D (01/04-); 230E22 TECTOR E 230E24 TECTOR F4AE0681D (01/05-); 170E25, 170E25T, 240E25, 240E25S, 260E25 - TECTOR 6 CIL. (01/09-)</t>
  </si>
  <si>
    <t>2992241; 504033400; BG5X9155AA; 2R0127177B; 4897897; 84412164;</t>
  </si>
  <si>
    <t>24.351.B1</t>
  </si>
  <si>
    <t>CUMMINS: MOTORES DAS FAMÍLIAS "B" E "C" ( 3 903 202 ) / AGRALE  /  FORD: F 1000, 2000, 4000, 12000 ( TURBO À PARTIR DE 1992 )  /   MWM  / VOLKSWAGEN: KOMBI DIESEL ( 068 127 177 )</t>
  </si>
  <si>
    <t>71736116; 9941058; 9950443;</t>
  </si>
  <si>
    <t>WK842</t>
  </si>
  <si>
    <t>H70WK</t>
  </si>
  <si>
    <t>FF214</t>
  </si>
  <si>
    <t>24.432.B0</t>
  </si>
  <si>
    <t>JOHN DEERE: RE541922</t>
  </si>
  <si>
    <t>24.A30.00</t>
  </si>
  <si>
    <t>HITACHI: EH e EX Series; KOMATSU: 500 Serie 530E / M; HD Serie 460; DEMAG; EUCLID; SANY; TEREX.</t>
  </si>
  <si>
    <t>FS1216</t>
  </si>
  <si>
    <t>P552216</t>
  </si>
  <si>
    <t>24.A31.00</t>
  </si>
  <si>
    <t>JCB: Series 500; BOMAG: Series BW.</t>
  </si>
  <si>
    <t>39442P</t>
  </si>
  <si>
    <t>24.A64.B0</t>
  </si>
  <si>
    <t>JOHN DEERE: 5080G, 5090G, 5090GH (2009 &gt;) - JCB: ESC. HIDRÁULICA JS200,JS235, JS220 MOTOR JCB DIESELMAX 448EPA</t>
  </si>
  <si>
    <t>JOHN DEERE: RE522878 / RE536192</t>
  </si>
  <si>
    <t>WK8162</t>
  </si>
  <si>
    <t>FS19976</t>
  </si>
  <si>
    <t>24.A65.B0</t>
  </si>
  <si>
    <t>JOHN DEERE: RE62419</t>
  </si>
  <si>
    <t>FS20076</t>
  </si>
  <si>
    <t>24.A66.B0</t>
  </si>
  <si>
    <t>JOHN DEERE: RE60021</t>
  </si>
  <si>
    <t>24.A67.B0</t>
  </si>
  <si>
    <t>JOHN DEERE: 1000 SERIES MOTOR JD6068T (01 &gt;)</t>
  </si>
  <si>
    <t>JOHN DEERE: RE62418 / RE503254</t>
  </si>
  <si>
    <t>25.082.00</t>
  </si>
  <si>
    <t>25.097.B0</t>
  </si>
  <si>
    <t>Volvo: Série  FE II (06&gt;) - FL II (06&gt;) -  Ônibus: Série  7000 - 8000 - B7</t>
  </si>
  <si>
    <t>VOLVO : 20796785 / 20998807 / 21040164</t>
  </si>
  <si>
    <t>HU1390X</t>
  </si>
  <si>
    <t>E416HD86</t>
  </si>
  <si>
    <t>OX425DECO</t>
  </si>
  <si>
    <t>PEL2006</t>
  </si>
  <si>
    <t>LF16351</t>
  </si>
  <si>
    <t>P550905</t>
  </si>
  <si>
    <t>26.063.00</t>
  </si>
  <si>
    <t>MAN; CASE IH; NEW HOLLAND; MASSEY FERGUSON; LIEBHERR; AYATS; CASE CONSTRUCTION; TEMSA; DAIMLER</t>
  </si>
  <si>
    <t>PU89</t>
  </si>
  <si>
    <t>E0530K01</t>
  </si>
  <si>
    <t>KX336</t>
  </si>
  <si>
    <t>CH6132ECO</t>
  </si>
  <si>
    <t>FS1081</t>
  </si>
  <si>
    <t>P954554</t>
  </si>
  <si>
    <t>27.B30.C0</t>
  </si>
  <si>
    <t>27.C38.00</t>
  </si>
  <si>
    <t>HYUNDAI CONSTRUCTION: HL Series, R Series Robex.</t>
  </si>
  <si>
    <t>AF26286</t>
  </si>
  <si>
    <t>27.C39.00</t>
  </si>
  <si>
    <t>AF26285K</t>
  </si>
  <si>
    <t>27.D13.00</t>
  </si>
  <si>
    <t>CATERPILLAR/ MASSEY FERGUSON / PERKINS</t>
  </si>
  <si>
    <t>CATERPILLAR: 2335182</t>
  </si>
  <si>
    <t>E1508L</t>
  </si>
  <si>
    <t>LX3027</t>
  </si>
  <si>
    <t>AF27942</t>
  </si>
  <si>
    <t>P633607</t>
  </si>
  <si>
    <t>27.F14.B0</t>
  </si>
  <si>
    <t>Filtro Spin-on Secador Do Ar</t>
  </si>
  <si>
    <t>DAF: CF85410; XF105140; XF105460; XF105510; XF105560 - (2006- &gt;)</t>
  </si>
  <si>
    <t>DAF: 1821580; 1527755</t>
  </si>
  <si>
    <t>TB1394/6x</t>
  </si>
  <si>
    <t>T260W</t>
  </si>
  <si>
    <t>AL25</t>
  </si>
  <si>
    <t>DSF2462</t>
  </si>
  <si>
    <t>DAF715</t>
  </si>
  <si>
    <t>AD27746</t>
  </si>
  <si>
    <t>P951411</t>
  </si>
  <si>
    <t>27.H75.00</t>
  </si>
  <si>
    <t>KOMATSU: D Series, GD Series, PC Series.</t>
  </si>
  <si>
    <t>AF4159</t>
  </si>
  <si>
    <t>P145704</t>
  </si>
  <si>
    <t>27.H95.00</t>
  </si>
  <si>
    <t xml:space="preserve">DYNAPAC: CC Series. </t>
  </si>
  <si>
    <t>AF25890</t>
  </si>
  <si>
    <t>P782299</t>
  </si>
  <si>
    <t>27.H96.00</t>
  </si>
  <si>
    <t>AF25889</t>
  </si>
  <si>
    <t>P782300</t>
  </si>
  <si>
    <t>30.785.00</t>
  </si>
  <si>
    <t>TOYOTA: Land Cruiser; LEXUS: LX Serie 450d.</t>
  </si>
  <si>
    <t>E1763L</t>
  </si>
  <si>
    <t>CA11270</t>
  </si>
  <si>
    <t>P506035</t>
  </si>
  <si>
    <t>54.387.00</t>
  </si>
  <si>
    <t>JOHN DEERE Serie 4000, 7000, 8000 a 9000.</t>
  </si>
  <si>
    <t>AKX4608/C</t>
  </si>
  <si>
    <t>AF55834</t>
  </si>
  <si>
    <t>EPM3202NFC</t>
  </si>
  <si>
    <t>6740457130</t>
  </si>
  <si>
    <t>HF35340</t>
  </si>
  <si>
    <t>P575039</t>
  </si>
  <si>
    <t>ERA43NFC</t>
  </si>
  <si>
    <t>JCB: 8000 Series; TEREX: TDS Series V20; FINLAY /  SANDVIK</t>
  </si>
  <si>
    <t>ERB22NFC</t>
  </si>
  <si>
    <t>934204</t>
  </si>
  <si>
    <t>ERB22NME</t>
  </si>
  <si>
    <t>DEUTZ-FAHR: Agroton K Serie 410 K</t>
  </si>
  <si>
    <t>ERB23NCC</t>
  </si>
  <si>
    <t>ERS15NFD</t>
  </si>
  <si>
    <t>SANDVIK: LH Series, TORO Series 007, 400, 500, TH 430 e TH 551.</t>
  </si>
  <si>
    <t>937982Q</t>
  </si>
  <si>
    <t>P763185</t>
  </si>
  <si>
    <t>ETA23NFD</t>
  </si>
  <si>
    <t>EY1074H</t>
  </si>
  <si>
    <t>IRF22NFB</t>
  </si>
  <si>
    <t>937848Q</t>
  </si>
  <si>
    <t>IRF32NFD</t>
  </si>
  <si>
    <t xml:space="preserve">VOLVO: L Series 110/120/60/70/90; KOMATSU: 800 e 900 Series. </t>
  </si>
  <si>
    <t>HD13007</t>
  </si>
  <si>
    <t>EY1067H</t>
  </si>
  <si>
    <t>HF29136</t>
  </si>
  <si>
    <t>937869Q</t>
  </si>
  <si>
    <t>IRF34NFC</t>
  </si>
  <si>
    <t>KOMATSU: 800 Series e 900 Series; VOLVO: L Series L; TEREX; Series TA 27 e 45; Series TC 210, 225, 240 e 260; KALMAR; EPIROC; ROTTNE.</t>
  </si>
  <si>
    <t>HD13110</t>
  </si>
  <si>
    <t>937859Q</t>
  </si>
  <si>
    <t>P172467</t>
  </si>
  <si>
    <t>IRF34NFD</t>
  </si>
  <si>
    <t>KOMATSU: 800 Series 840.2; 890.1; 911.4; TEREX: TFC Serie 45; IMER.</t>
  </si>
  <si>
    <t>937868Q</t>
  </si>
  <si>
    <t>27.D41.00</t>
  </si>
  <si>
    <t>27.347.C0</t>
  </si>
  <si>
    <t>27.B29.C0</t>
  </si>
  <si>
    <t>25.710.00</t>
  </si>
  <si>
    <t>DYNAPAC: LH, LG e PL series; HATZ: B Series e Supra (1D); BOMAG; AUSA; AMMANN; HATZ</t>
  </si>
  <si>
    <t>DYNAPAC: 92410579</t>
  </si>
  <si>
    <t>H432</t>
  </si>
  <si>
    <t>E1050H</t>
  </si>
  <si>
    <t>LF3794</t>
  </si>
  <si>
    <t>26.720.00</t>
  </si>
  <si>
    <t>CUMMINS: QSM Series QSM12; QSX15 Tier4; X Series X15; HITACHI: EH Serie, EX Serie; INTERNATIONAL; FREIGHLINER.</t>
  </si>
  <si>
    <t>FS19763</t>
  </si>
  <si>
    <t>P550849</t>
  </si>
  <si>
    <t>27.I37.00</t>
  </si>
  <si>
    <t>ATLAS COPCO: ROC Series L6, L7 e L8; EPIROC; JENZ; ARJES.</t>
  </si>
  <si>
    <t>AF25124</t>
  </si>
  <si>
    <t>P786197</t>
  </si>
  <si>
    <t>29.013.00</t>
  </si>
  <si>
    <t>VOLVO: VN Series, VHD Series; INTERNATIONAL; FREIGHTLINER</t>
  </si>
  <si>
    <t>WF2127</t>
  </si>
  <si>
    <t>P550867</t>
  </si>
  <si>
    <t>30.698.00</t>
  </si>
  <si>
    <t>PORSCHE: 911 (992).</t>
  </si>
  <si>
    <t>PORSCHE: 992.129.620</t>
  </si>
  <si>
    <t>CA12843</t>
  </si>
  <si>
    <t>30.699.00</t>
  </si>
  <si>
    <t>PORSCHE: 992.129.620.A</t>
  </si>
  <si>
    <t>53.454.00</t>
  </si>
  <si>
    <t>VOLVO: FM II Serie, FH Serie II, FMX II Series; RENAULT TRUCKS: C Serie, K Serie, T Series.</t>
  </si>
  <si>
    <t>CU31001</t>
  </si>
  <si>
    <t>E3937LI</t>
  </si>
  <si>
    <t>LA1162</t>
  </si>
  <si>
    <t>ACP027</t>
  </si>
  <si>
    <t>AKX4016</t>
  </si>
  <si>
    <t>AF55762</t>
  </si>
  <si>
    <t>P955823</t>
  </si>
  <si>
    <t>54.475.00</t>
  </si>
  <si>
    <t>BMW: 7 (G12); ROLLS ROYCE: Ghost 6.6.</t>
  </si>
  <si>
    <t>E4939LC</t>
  </si>
  <si>
    <t>EPH0240NHB</t>
  </si>
  <si>
    <t>ST1047</t>
  </si>
  <si>
    <t>PR3152</t>
  </si>
  <si>
    <t>ERA33NFD</t>
  </si>
  <si>
    <t>MASSEY FERGUNSON: Series 7000.</t>
  </si>
  <si>
    <t>P171843</t>
  </si>
  <si>
    <t>23.130.03</t>
  </si>
  <si>
    <t>MERCEDES BENZ: Series 190, 200, 230, 260, 300 , E Classe.</t>
  </si>
  <si>
    <t>W719/13</t>
  </si>
  <si>
    <t>H14W40</t>
  </si>
  <si>
    <t>OC110</t>
  </si>
  <si>
    <t>PH4681</t>
  </si>
  <si>
    <t>23.565.00</t>
  </si>
  <si>
    <t>MITSUBISH: I (HA) 660; SMART Fortwo 1.0</t>
  </si>
  <si>
    <t>W6011</t>
  </si>
  <si>
    <t>H310W</t>
  </si>
  <si>
    <t>OC607</t>
  </si>
  <si>
    <t>PH11016</t>
  </si>
  <si>
    <t>25.309.B0</t>
  </si>
  <si>
    <t>Agrale 10000 MWM MAXX Force 4.8 2012 -&gt;; 14000 LX / S MWM MAXX Force 4.8 2012 -&gt;;  MA - 12.0 MWM MAXX Force 4.8 2014 -&gt;; MA - 15.0 MWM MAXX Force 4.8 2014 -&gt;; Agrale Volare W8 / W9 / WL MWM MAXX Force 4.8 2012 -&gt;</t>
  </si>
  <si>
    <t>MWM: 3.0541.21.0.0004
MAN: 941280190056
905411510038</t>
  </si>
  <si>
    <t>HU952X</t>
  </si>
  <si>
    <t>PEL804</t>
  </si>
  <si>
    <t>WOE850</t>
  </si>
  <si>
    <t>REL804</t>
  </si>
  <si>
    <t>26.162.B0</t>
  </si>
  <si>
    <t>CATERPILLAR: 1104A; 1104C; 1104D / BOB CAT: QAS100; T2556; T2566 / MASSEY FERGUNSON: MF2650; MF2660; MF2670 / PERKINS: 1104</t>
  </si>
  <si>
    <t>PERKINS: 26560201
CAT: 1R1804
MASSEY FERGUNSON: 4224811M1</t>
  </si>
  <si>
    <t>E501KPD559</t>
  </si>
  <si>
    <t>PEC3154</t>
  </si>
  <si>
    <t>CE3154</t>
  </si>
  <si>
    <t>FCD0954</t>
  </si>
  <si>
    <t>FS20009</t>
  </si>
  <si>
    <t>REC154</t>
  </si>
  <si>
    <t>26.183.00</t>
  </si>
  <si>
    <t>IVECO: Daily euro 6</t>
  </si>
  <si>
    <t>IVECO: 5803040442</t>
  </si>
  <si>
    <t>27.559.00</t>
  </si>
  <si>
    <t>INGERSOL RAND:; CLAAS; DEMAG; GROOVE.</t>
  </si>
  <si>
    <t>Massey Fergusson: 054708R1; Catterpillar: 2453819</t>
  </si>
  <si>
    <t>CF800/1</t>
  </si>
  <si>
    <t>E631LS</t>
  </si>
  <si>
    <t>ASR470</t>
  </si>
  <si>
    <t>HDS470</t>
  </si>
  <si>
    <t>AF25770</t>
  </si>
  <si>
    <t>AR6343RS</t>
  </si>
  <si>
    <t>P782109</t>
  </si>
  <si>
    <t>27.971.00</t>
  </si>
  <si>
    <t>FORD: TW Serie TW10 e Series 1000, 1400, 500, 6000, 7000, 8000, 9000; SANDERSON: Plantman.</t>
  </si>
  <si>
    <t>C17400</t>
  </si>
  <si>
    <t>LX1675</t>
  </si>
  <si>
    <t>AP4960</t>
  </si>
  <si>
    <t>CA1588</t>
  </si>
  <si>
    <t>WOP110</t>
  </si>
  <si>
    <t>AF1641</t>
  </si>
  <si>
    <t>P181204</t>
  </si>
  <si>
    <t>27.G11.00</t>
  </si>
  <si>
    <t>AUDI: A4, A4 Hybrid, A5, A5 Hybrid, Q5 II, Q5 II Hybrid.</t>
  </si>
  <si>
    <t>C17013</t>
  </si>
  <si>
    <t>E1451L</t>
  </si>
  <si>
    <t>LX4406</t>
  </si>
  <si>
    <t>CA12268</t>
  </si>
  <si>
    <t>WR376</t>
  </si>
  <si>
    <t>27.I26.00</t>
  </si>
  <si>
    <t xml:space="preserve">JOHN DEERE: 9000 Series, 9R Series </t>
  </si>
  <si>
    <t>AR2309</t>
  </si>
  <si>
    <t>P621984</t>
  </si>
  <si>
    <t>30.D13.00</t>
  </si>
  <si>
    <t>MERCEDES BENZ: AMG GT (X290); E Classe, G Classe, GLE Classe, GLE Coupè, GLS Classe, S Classe.</t>
  </si>
  <si>
    <t>C32017</t>
  </si>
  <si>
    <t>LX4943</t>
  </si>
  <si>
    <t>30.D66.00</t>
  </si>
  <si>
    <t>BMW:  5, 6, 7, 8, X3, X4, X5, X6, X7.</t>
  </si>
  <si>
    <t>C28038</t>
  </si>
  <si>
    <t>E1346L</t>
  </si>
  <si>
    <t>LX4635</t>
  </si>
  <si>
    <t>CA12487</t>
  </si>
  <si>
    <t>FAP2419</t>
  </si>
  <si>
    <t>34.131.00</t>
  </si>
  <si>
    <t>MERCEDES BENZ: C Classe, CL Classe, CLK Classe.</t>
  </si>
  <si>
    <t>FP3461</t>
  </si>
  <si>
    <t>E970LB</t>
  </si>
  <si>
    <t>LAO129</t>
  </si>
  <si>
    <t>34.394.00</t>
  </si>
  <si>
    <t>MERCEDES BENZ: CL Classe, S Classe.</t>
  </si>
  <si>
    <t>FP27222</t>
  </si>
  <si>
    <t>E2919LB-2</t>
  </si>
  <si>
    <t>LAO292/S</t>
  </si>
  <si>
    <t>AKX3585/C</t>
  </si>
  <si>
    <t>44.002.B0</t>
  </si>
  <si>
    <t>IVECO: STRALIS, TECTOR E VERTIS - MODELOS COM MOTOR EURO 5 / VOLVO: SÉRIES FH, FM, FMX E VM - MODELOS COM MOTOR EURO 5</t>
  </si>
  <si>
    <t>42561605; 42555073;</t>
  </si>
  <si>
    <t>U630XKIT</t>
  </si>
  <si>
    <t>E100UD160</t>
  </si>
  <si>
    <t>UX2/1D</t>
  </si>
  <si>
    <t>PEA160</t>
  </si>
  <si>
    <t>LEA160</t>
  </si>
  <si>
    <t>WEA006</t>
  </si>
  <si>
    <t>UK176</t>
  </si>
  <si>
    <t>X770734</t>
  </si>
  <si>
    <t>502.0065.6</t>
  </si>
  <si>
    <t>CLAAS</t>
  </si>
  <si>
    <t>502.0066.6</t>
  </si>
  <si>
    <t>53.315.00</t>
  </si>
  <si>
    <t>IVECO Daily 2014 -&gt;, Daily Euro6.</t>
  </si>
  <si>
    <t>CU22029</t>
  </si>
  <si>
    <t>E4926LI</t>
  </si>
  <si>
    <t>LA1225</t>
  </si>
  <si>
    <t>ACP825</t>
  </si>
  <si>
    <t>FAC825</t>
  </si>
  <si>
    <t>AKX1382F</t>
  </si>
  <si>
    <t>53.497.00</t>
  </si>
  <si>
    <t>KOMATSU: WA Series.</t>
  </si>
  <si>
    <t>AF25374</t>
  </si>
  <si>
    <t>P533559</t>
  </si>
  <si>
    <t>53.503.00</t>
  </si>
  <si>
    <t>MASSEY FERGUSON: 5320; 5300; 3690; 5310</t>
  </si>
  <si>
    <t>MASSEY FERGUSON: 3388840M2</t>
  </si>
  <si>
    <t>CU88343</t>
  </si>
  <si>
    <t>LX3011</t>
  </si>
  <si>
    <t>ACP443</t>
  </si>
  <si>
    <t>CF9853</t>
  </si>
  <si>
    <t>AKX4570</t>
  </si>
  <si>
    <t>AF25849</t>
  </si>
  <si>
    <t>54.131.00</t>
  </si>
  <si>
    <t>MERCEDES BENZ: C Classe, CLC Classe, CLK Classe.</t>
  </si>
  <si>
    <t>CUK3461</t>
  </si>
  <si>
    <t>E970LC</t>
  </si>
  <si>
    <t>LAK129</t>
  </si>
  <si>
    <t>AKX35160/C</t>
  </si>
  <si>
    <t>54.141.00</t>
  </si>
  <si>
    <t>MERCEDES BENZ: E Classe, Maybach, S Classe, CL Classe.</t>
  </si>
  <si>
    <t>CUK220002</t>
  </si>
  <si>
    <t>E2973LC2</t>
  </si>
  <si>
    <t>LKK72/S</t>
  </si>
  <si>
    <t>CFA116502</t>
  </si>
  <si>
    <t>AKX3574/C</t>
  </si>
  <si>
    <t>54.480.00</t>
  </si>
  <si>
    <t>TESLA: Model X</t>
  </si>
  <si>
    <t>CUK33007</t>
  </si>
  <si>
    <t>E6946LC</t>
  </si>
  <si>
    <t>77.037.00</t>
  </si>
  <si>
    <t>HD519</t>
  </si>
  <si>
    <t>82.142.00</t>
  </si>
  <si>
    <t>82.143.00</t>
  </si>
  <si>
    <t>22571814</t>
  </si>
  <si>
    <t>82.146.00</t>
  </si>
  <si>
    <t>82.147.00</t>
  </si>
  <si>
    <t>82.150.00</t>
  </si>
  <si>
    <t>CASE IH, NEW HOLLAND</t>
  </si>
  <si>
    <t>192310280011, 47108132</t>
  </si>
  <si>
    <t>HD16003</t>
  </si>
  <si>
    <t>HF35376</t>
  </si>
  <si>
    <t>82.151.00</t>
  </si>
  <si>
    <t>CASE IH, FENDT</t>
  </si>
  <si>
    <t>H1059/2</t>
  </si>
  <si>
    <t>EG84H</t>
  </si>
  <si>
    <t>HF28864</t>
  </si>
  <si>
    <t>P766070</t>
  </si>
  <si>
    <t>83.068.00</t>
  </si>
  <si>
    <t>KOMATSU</t>
  </si>
  <si>
    <t>83.070.00</t>
  </si>
  <si>
    <t>AGCO</t>
  </si>
  <si>
    <t>83.074.00</t>
  </si>
  <si>
    <t>KOMATSU, TEREX</t>
  </si>
  <si>
    <t>22E-60-12212</t>
  </si>
  <si>
    <t>HD14001x</t>
  </si>
  <si>
    <t>EY1059HD613</t>
  </si>
  <si>
    <t>P171574</t>
  </si>
  <si>
    <t>83.089.00</t>
  </si>
  <si>
    <t>FIAT ALLIS SIMIT</t>
  </si>
  <si>
    <t>Z82178, 45017745, 71314572, 1930707</t>
  </si>
  <si>
    <t>83.090.00</t>
  </si>
  <si>
    <t>47127431, 47131183, 5198414, 84226260</t>
  </si>
  <si>
    <t>HD1053</t>
  </si>
  <si>
    <t>EY1016H</t>
  </si>
  <si>
    <t>HF35517</t>
  </si>
  <si>
    <t>P763415</t>
  </si>
  <si>
    <t>84.021.00</t>
  </si>
  <si>
    <t>AUSA</t>
  </si>
  <si>
    <t>33.10602.00</t>
  </si>
  <si>
    <t>85.188.00</t>
  </si>
  <si>
    <t>CASE IH</t>
  </si>
  <si>
    <t>1328276C2</t>
  </si>
  <si>
    <t>HD612/2x</t>
  </si>
  <si>
    <t>85.189.00</t>
  </si>
  <si>
    <t>3224623R2</t>
  </si>
  <si>
    <t>HF35295</t>
  </si>
  <si>
    <t>85.190.00</t>
  </si>
  <si>
    <t>NEW HOLLAND</t>
  </si>
  <si>
    <t>HD722/1</t>
  </si>
  <si>
    <t>E79H</t>
  </si>
  <si>
    <t>HF35320</t>
  </si>
  <si>
    <t>P764554</t>
  </si>
  <si>
    <t>85.194.00</t>
  </si>
  <si>
    <t>CLAAS, JOHN DEERE, RENAULT AGRICULTURE</t>
  </si>
  <si>
    <t>6005003244, RT6005003244, 6005003244</t>
  </si>
  <si>
    <t>EY1062HD616</t>
  </si>
  <si>
    <t>HF28808</t>
  </si>
  <si>
    <t>85.195.00</t>
  </si>
  <si>
    <t>HD513/11</t>
  </si>
  <si>
    <t>HF28811</t>
  </si>
  <si>
    <t>P762860</t>
  </si>
  <si>
    <t>87.027.00</t>
  </si>
  <si>
    <t>HYDRAULIC OIL FILTER</t>
  </si>
  <si>
    <t>CASE IH; CARPILLAR; JOHN DEERE; NEW HOLLAND</t>
  </si>
  <si>
    <t>WH12005</t>
  </si>
  <si>
    <t>HY378W</t>
  </si>
  <si>
    <t>P8463</t>
  </si>
  <si>
    <t>HF6684</t>
  </si>
  <si>
    <t>P170949</t>
  </si>
  <si>
    <t>EPH0280NFC</t>
  </si>
  <si>
    <t>HD751</t>
  </si>
  <si>
    <t>EPM1352NFD</t>
  </si>
  <si>
    <t>MERLO</t>
  </si>
  <si>
    <t>BG477</t>
  </si>
  <si>
    <t>P171739</t>
  </si>
  <si>
    <t>EPX1011NCD</t>
  </si>
  <si>
    <t>LEITNER</t>
  </si>
  <si>
    <t>0047569</t>
  </si>
  <si>
    <t>P567092</t>
  </si>
  <si>
    <t>EPX3111NFC</t>
  </si>
  <si>
    <t>CLAAS, LINDE</t>
  </si>
  <si>
    <t>0047586</t>
  </si>
  <si>
    <t>HD518</t>
  </si>
  <si>
    <t>7680333</t>
  </si>
  <si>
    <t>ST1407</t>
  </si>
  <si>
    <t>G02847</t>
  </si>
  <si>
    <t>P567091</t>
  </si>
  <si>
    <t>ERA31NCDM</t>
  </si>
  <si>
    <t>AEBI, FAI, FASSI, HINOWA, IRIZAR, MANITOU, VALPADANA</t>
  </si>
  <si>
    <t>P171522</t>
  </si>
  <si>
    <t>ERA5ANCDM</t>
  </si>
  <si>
    <t>BENATI, LIEBHERR</t>
  </si>
  <si>
    <t>1813108, 848100001, 5106128, 510612890, 510661208</t>
  </si>
  <si>
    <t>P171558</t>
  </si>
  <si>
    <t>ERH0165NFD</t>
  </si>
  <si>
    <t>PALFINGER</t>
  </si>
  <si>
    <t>M63050024</t>
  </si>
  <si>
    <t>S 3479 C1</t>
  </si>
  <si>
    <t>BYD Tang</t>
  </si>
  <si>
    <t>5B8121211</t>
  </si>
  <si>
    <t>AKX2111</t>
  </si>
  <si>
    <t>S 3559 C1</t>
  </si>
  <si>
    <t xml:space="preserve">BYD Dolphin </t>
  </si>
  <si>
    <t>EM2E-8121211E</t>
  </si>
  <si>
    <t>AKX2112</t>
  </si>
  <si>
    <t>S 3591 C1</t>
  </si>
  <si>
    <t>BYD D1</t>
  </si>
  <si>
    <t>SA2E8121211E</t>
  </si>
  <si>
    <t>S 4416 CA1</t>
  </si>
  <si>
    <t>8105H09DC10001</t>
  </si>
  <si>
    <t>AKX2111/C</t>
  </si>
  <si>
    <t>S 4422 CA1</t>
  </si>
  <si>
    <t>BYD Song</t>
  </si>
  <si>
    <t>S6DM8121211/11957557-00</t>
  </si>
  <si>
    <t>AKX35725/C</t>
  </si>
  <si>
    <t>S 4432 CA1</t>
  </si>
  <si>
    <t>BYD Han</t>
  </si>
  <si>
    <t>HCE8121211FE1</t>
  </si>
  <si>
    <t>S 4433 CA1</t>
  </si>
  <si>
    <t>SA2E8121211B</t>
  </si>
  <si>
    <t>S 4478 CA1</t>
  </si>
  <si>
    <t>Comprou?</t>
  </si>
  <si>
    <t>SIM</t>
  </si>
  <si>
    <t>NÃO</t>
  </si>
  <si>
    <t>23.275.00</t>
  </si>
  <si>
    <t>JOHN DEERE; NEW HOLLAND; LEYLAND.</t>
  </si>
  <si>
    <t>W13145/3</t>
  </si>
  <si>
    <t>H300W01</t>
  </si>
  <si>
    <t>OC234</t>
  </si>
  <si>
    <t>PH5234</t>
  </si>
  <si>
    <t>LF3493</t>
  </si>
  <si>
    <t>P550341</t>
  </si>
  <si>
    <t>24.A00.00</t>
  </si>
  <si>
    <t>CASE CONSTRUCTION: CX e CXB Series; LANDINI: Mistral.</t>
  </si>
  <si>
    <t>WK818/80</t>
  </si>
  <si>
    <t>FF5087</t>
  </si>
  <si>
    <t>P550048</t>
  </si>
  <si>
    <t xml:space="preserve">VW: Constellation 17330/ 24330/ 25390/ 26390/ 31330/ 31390 (2012-&gt;);
         Constellation 25420/ 26420 (2013 -&gt;);
FORD: Cargo  1933 E (2014 -&gt;);
            Cargo 3133 (2014 -&gt;);
</t>
  </si>
  <si>
    <t xml:space="preserve">VW: 2T2127177B
FORD: BG6X9155AA
</t>
  </si>
  <si>
    <t>WK930/6x</t>
  </si>
  <si>
    <t>KC618</t>
  </si>
  <si>
    <t>PSC76</t>
  </si>
  <si>
    <t>FBD76</t>
  </si>
  <si>
    <t>P10275</t>
  </si>
  <si>
    <t>FCD2238</t>
  </si>
  <si>
    <t>FF5488</t>
  </si>
  <si>
    <t>RC380</t>
  </si>
  <si>
    <t>P550774</t>
  </si>
  <si>
    <t>25.683.00</t>
  </si>
  <si>
    <t>KOMATSU: PC Series, WA Series; HITACHI; MITSUBISHI: MS Series.</t>
  </si>
  <si>
    <t>HITACHI: L674 KOMATSU: 0706301054</t>
  </si>
  <si>
    <t>EY888H</t>
  </si>
  <si>
    <t>HF6354</t>
  </si>
  <si>
    <t>P551054</t>
  </si>
  <si>
    <t>25.697.00</t>
  </si>
  <si>
    <t>HITACHI: FR Series.</t>
  </si>
  <si>
    <t>HITACHI: 1930810</t>
  </si>
  <si>
    <t>HF35222</t>
  </si>
  <si>
    <t>P763268</t>
  </si>
  <si>
    <t>26.163.00</t>
  </si>
  <si>
    <t>CATERPILLAR; MASSEY FERGUNSON: 400 Series; MANITOU; LANDINI; LINDNER; URSUS.</t>
  </si>
  <si>
    <t>WK8065</t>
  </si>
  <si>
    <t>FS20088</t>
  </si>
  <si>
    <t>P502655</t>
  </si>
  <si>
    <t>26.609.00</t>
  </si>
  <si>
    <t>Agrale, Case, Dynapac, Fiat Allis, Ford, John Deere, Komatsu, Massey Ferguson, Mercedes Benz, New Holland, Tema Terra, Terex, Valmet, Valtra e Volkswagen.</t>
  </si>
  <si>
    <t>P707</t>
  </si>
  <si>
    <t>E5KP</t>
  </si>
  <si>
    <t>KX35</t>
  </si>
  <si>
    <t>C11860PL</t>
  </si>
  <si>
    <t>FF146</t>
  </si>
  <si>
    <t>P550060</t>
  </si>
  <si>
    <t>26.719.00</t>
  </si>
  <si>
    <t>CATERPILLAR: 900 series; CS Series e D Series; INGERSOLL RAND.</t>
  </si>
  <si>
    <t>CATERPILLAR: 1S8452
1S8453
3I1260
499132341</t>
  </si>
  <si>
    <t>FF234</t>
  </si>
  <si>
    <t>P552341</t>
  </si>
  <si>
    <t>27.020.00</t>
  </si>
  <si>
    <t xml:space="preserve">JOHN DEERE: JD Series; NEW HOLAND;  </t>
  </si>
  <si>
    <t>JOHN DEERE: AT49022</t>
  </si>
  <si>
    <t>CA1569</t>
  </si>
  <si>
    <t>AF901</t>
  </si>
  <si>
    <t>P118211</t>
  </si>
  <si>
    <t>27.021.00</t>
  </si>
  <si>
    <t>CA1569SY</t>
  </si>
  <si>
    <t>AF889</t>
  </si>
  <si>
    <t>P118216</t>
  </si>
  <si>
    <t>27.025.00</t>
  </si>
  <si>
    <t>FIAT ALLIS; HOUGH; INGERSOLL RAND; LIEBHERR; MICHIGAN; POCLAIN; TEREX; VOLVO CONSTRUCTION; WABCO.</t>
  </si>
  <si>
    <t>CA535SY</t>
  </si>
  <si>
    <t>AF821M</t>
  </si>
  <si>
    <t>P109085</t>
  </si>
  <si>
    <t>27.143.00</t>
  </si>
  <si>
    <t>JOHN DEERE: 8000, 9050, JD Series; MASSEY FERGUSON: MF Series; LIEBHERR; ASTRA.</t>
  </si>
  <si>
    <t>JOHN DEERE: AR70106</t>
  </si>
  <si>
    <t>C271318</t>
  </si>
  <si>
    <t>CA2517</t>
  </si>
  <si>
    <t>AF1643</t>
  </si>
  <si>
    <t>P126047</t>
  </si>
  <si>
    <t>27.144.00</t>
  </si>
  <si>
    <t>JOHN DEERE: AR70107
AT70107</t>
  </si>
  <si>
    <t>C16200</t>
  </si>
  <si>
    <t>CA2517SY</t>
  </si>
  <si>
    <t>AF1644</t>
  </si>
  <si>
    <t>P126056</t>
  </si>
  <si>
    <t>27.225.00</t>
  </si>
  <si>
    <t>MASSEY FERGUSON; VALMET; NEW HOLLAND; SAME; LAVERDA; HUERLIMANN.</t>
  </si>
  <si>
    <t>MASSEY FERGUSON: 3389793F12 
NEW HOLLAND: 1930783</t>
  </si>
  <si>
    <t>AF4981M</t>
  </si>
  <si>
    <t>P771520</t>
  </si>
  <si>
    <t>27.226.00</t>
  </si>
  <si>
    <t>AF4761M</t>
  </si>
  <si>
    <t>P770678</t>
  </si>
  <si>
    <t>27.456.00</t>
  </si>
  <si>
    <t>CASE: 21 Series; CASE CONSTRUCTION: 600, 700, 800, 1000 Series; CASE IH: 2000 Series.</t>
  </si>
  <si>
    <t>CASE: A47032</t>
  </si>
  <si>
    <t>C18328</t>
  </si>
  <si>
    <t>CAK6672</t>
  </si>
  <si>
    <t>AF4826K</t>
  </si>
  <si>
    <t>P132935</t>
  </si>
  <si>
    <t>27.457.00</t>
  </si>
  <si>
    <t>CASE: A47033</t>
  </si>
  <si>
    <t>CF1133</t>
  </si>
  <si>
    <t>CA6672SY</t>
  </si>
  <si>
    <t>AF4827</t>
  </si>
  <si>
    <t>P132939</t>
  </si>
  <si>
    <t>27.506.00</t>
  </si>
  <si>
    <t>AGRALE: 7000; 750; 8500; 9200; MA-7.9; MA-8.0; MA-8.5; MA-9.2; série 6000; série BX; Série 8000</t>
  </si>
  <si>
    <t>CASE: 149167AI
AGCO: 055129RI</t>
  </si>
  <si>
    <t>C20500</t>
  </si>
  <si>
    <t>E1900L</t>
  </si>
  <si>
    <t>LX1314</t>
  </si>
  <si>
    <t>ARS3003</t>
  </si>
  <si>
    <t>HD3003</t>
  </si>
  <si>
    <t>CA9352</t>
  </si>
  <si>
    <t>WAP606</t>
  </si>
  <si>
    <t>AF25723</t>
  </si>
  <si>
    <t>AFI5718RSRA</t>
  </si>
  <si>
    <t>P778994</t>
  </si>
  <si>
    <t>27.570.00</t>
  </si>
  <si>
    <t>DAEWOO CONSTRUCTION EQUIPMENT: SOLAR Series, MEGA Series.</t>
  </si>
  <si>
    <t>DAEWOO: 24749051
3243500120
68083046029</t>
  </si>
  <si>
    <t>AF26439</t>
  </si>
  <si>
    <t>P902311</t>
  </si>
  <si>
    <t>27.641.00</t>
  </si>
  <si>
    <t>NEW HOLLAND: CS e CX Series; VAN HOOL; DAF</t>
  </si>
  <si>
    <t>NEW HOLLAND: 84072431</t>
  </si>
  <si>
    <t>C281580</t>
  </si>
  <si>
    <t>E810L</t>
  </si>
  <si>
    <t>AF26214</t>
  </si>
  <si>
    <t>P781199</t>
  </si>
  <si>
    <t>27.680.00</t>
  </si>
  <si>
    <t>NEW HOLLAND: 84072430</t>
  </si>
  <si>
    <t>CF1570</t>
  </si>
  <si>
    <t>AF26215</t>
  </si>
  <si>
    <t>P781203</t>
  </si>
  <si>
    <t>27.964.00</t>
  </si>
  <si>
    <t>JOHN DEERE: 5000 Series; DEUTZ FAHR.</t>
  </si>
  <si>
    <t>JOHN DEERE: RE45828; NEW HOLLAND: 1909117</t>
  </si>
  <si>
    <t>CF9002x</t>
  </si>
  <si>
    <t>CA4360</t>
  </si>
  <si>
    <t>AF4165</t>
  </si>
  <si>
    <t>P124165</t>
  </si>
  <si>
    <t>27.965.00</t>
  </si>
  <si>
    <t>JOHN DEERE: 5000 Series; IVECO OM; FIATAGRI; SAME; IHC.</t>
  </si>
  <si>
    <t>CAK4361</t>
  </si>
  <si>
    <t>AF4164K</t>
  </si>
  <si>
    <t>P124164</t>
  </si>
  <si>
    <t>27.A33.00</t>
  </si>
  <si>
    <t>JOHN DEERE: 300 e 400 Series; CASE CONSTRUCTION: CX Series; CATERPILLAR: 300 Series; HITACHI EX Series; KOBELCO.</t>
  </si>
  <si>
    <t>JOHN DEERE: AT204019 HITACHI: 4283861</t>
  </si>
  <si>
    <t>C21560</t>
  </si>
  <si>
    <t>CA8029</t>
  </si>
  <si>
    <t>AF25384</t>
  </si>
  <si>
    <t>P821883</t>
  </si>
  <si>
    <t>27.A45.00</t>
  </si>
  <si>
    <t>JOHN DEERE: AT204029 HITACHI: 4287060</t>
  </si>
  <si>
    <t>CF1313</t>
  </si>
  <si>
    <t>CA8029SY</t>
  </si>
  <si>
    <t>AF25413</t>
  </si>
  <si>
    <t>P821908</t>
  </si>
  <si>
    <t>27.B66.00</t>
  </si>
  <si>
    <t>CATERPILLAR: F Series.</t>
  </si>
  <si>
    <t>CATERPILLAR: 211-2661</t>
  </si>
  <si>
    <t>AF27911</t>
  </si>
  <si>
    <t>P627028</t>
  </si>
  <si>
    <t>27.H72.00</t>
  </si>
  <si>
    <t>JOHN DEERE: Series 100, 200, 300 e 400; MASSEY FERGUNSON: MF Series; NEW HOLLAND: E Serie E.</t>
  </si>
  <si>
    <t>JOHN DEERE: 332909</t>
  </si>
  <si>
    <t>ASR419</t>
  </si>
  <si>
    <t>WAP913/S</t>
  </si>
  <si>
    <t>AF4182</t>
  </si>
  <si>
    <t>P611189</t>
  </si>
  <si>
    <t>27.I54.C0</t>
  </si>
  <si>
    <t>JCB: Respiro maq JCB.</t>
  </si>
  <si>
    <t>C6006</t>
  </si>
  <si>
    <t>AF26675</t>
  </si>
  <si>
    <t>P502563</t>
  </si>
  <si>
    <t>30.E88.B0</t>
  </si>
  <si>
    <t>Air FIlter</t>
  </si>
  <si>
    <t xml:space="preserve">GM: Onix 1.0  flex - Plus / Turbo / LT / LTZ / Premier / Hatch / Sedan (2019-2022);
         Onix 1.0 flex - Plus / LT / LTZ / Premier / Hatch / Sedan - (2023 -&gt;);
         Tracker 1.0 flex turbo- LT / MT (2020-2022);
         Tracker 1.2 flex turbo- LT / MT (2020-2022);
         Montana 1.2 Tubo flex - LT / LTZ (2023-&gt;);
</t>
  </si>
  <si>
    <t>GM: 26241944</t>
  </si>
  <si>
    <t>53.189.00</t>
  </si>
  <si>
    <t>VOLKSWAGEN: AMAROK 2.0 TDI (01/10-), TOUAREG 3.2 6CIL. (01/05-12/06), 4.2 8V (01/03-12/05)</t>
  </si>
  <si>
    <t>CU2842</t>
  </si>
  <si>
    <t>E1910LI</t>
  </si>
  <si>
    <t>CF9881</t>
  </si>
  <si>
    <t>AKX1140</t>
  </si>
  <si>
    <t>AF55716</t>
  </si>
  <si>
    <t>53.383.B0</t>
  </si>
  <si>
    <t>AB3919N619AA</t>
  </si>
  <si>
    <t>CU24006/1</t>
  </si>
  <si>
    <t>ACP212</t>
  </si>
  <si>
    <t>53.499.00</t>
  </si>
  <si>
    <t>MASSEY FERGUSON Serie 8600; VALTRA serie S.</t>
  </si>
  <si>
    <t>CU49100</t>
  </si>
  <si>
    <t>53.505.00</t>
  </si>
  <si>
    <t>JOHN DEERE: 8000 e 9000 Series</t>
  </si>
  <si>
    <t>JOHN DEERE: RE70742</t>
  </si>
  <si>
    <t>P618644</t>
  </si>
  <si>
    <t>80.042.00</t>
  </si>
  <si>
    <t>AGCO: 4650, 5650, 6670, 7630; LAMBORGHINI: C600, C700, Crono, R1000, R1100, R1300, R500, R600, R700, R800, R900, Runner Series; SAME; HUERLIMANN; CARRARO.</t>
  </si>
  <si>
    <t>AGCO: 72257931</t>
  </si>
  <si>
    <t>WD11002</t>
  </si>
  <si>
    <t>PH4481</t>
  </si>
  <si>
    <t>HF6350</t>
  </si>
  <si>
    <t>P763987</t>
  </si>
  <si>
    <t>EPH0060NFD</t>
  </si>
  <si>
    <t>LIEBHERR: Serie R e A.</t>
  </si>
  <si>
    <t>PR3059</t>
  </si>
  <si>
    <t>P173190</t>
  </si>
  <si>
    <t>EPO12NFD</t>
  </si>
  <si>
    <t>John Deere: 240; 250; 270; 315; 317, 318; 320; 325; 326; 332</t>
  </si>
  <si>
    <t>JOHN DEERE: M124541
NEW HOLLAND: L9842392</t>
  </si>
  <si>
    <t>WH9011</t>
  </si>
  <si>
    <t>HF35368</t>
  </si>
  <si>
    <t>P174552</t>
  </si>
  <si>
    <t>ERF24NCC</t>
  </si>
  <si>
    <t>JCB: 437 ZX</t>
  </si>
  <si>
    <t>HF6309</t>
  </si>
  <si>
    <t>937727</t>
  </si>
  <si>
    <t>P171814</t>
  </si>
  <si>
    <t>Código Cliente</t>
  </si>
  <si>
    <t>Cliente</t>
  </si>
  <si>
    <t>Cidade</t>
  </si>
  <si>
    <t>UF</t>
  </si>
  <si>
    <t>Data Pedido</t>
  </si>
  <si>
    <t>Nº Pedido</t>
  </si>
  <si>
    <t>Código Item</t>
  </si>
  <si>
    <t>Status</t>
  </si>
  <si>
    <t>Preço Unitário Líquido 
(PIS e COFINS)</t>
  </si>
  <si>
    <t>Qtde</t>
  </si>
  <si>
    <t>Preço Total Líquido 
(PIS e COFINS)</t>
  </si>
  <si>
    <t>FERNANDO DE MELLO MUNIZ</t>
  </si>
  <si>
    <t>Frederico Westphalen</t>
  </si>
  <si>
    <t>RS</t>
  </si>
  <si>
    <t>Setembro</t>
  </si>
  <si>
    <t>Outubro</t>
  </si>
  <si>
    <t>Novembro</t>
  </si>
  <si>
    <t>TURBO DIESEL</t>
  </si>
  <si>
    <t>Preço Antes Reajuste</t>
  </si>
  <si>
    <t>% Aumento</t>
  </si>
  <si>
    <t>% AUMENTO MENSAL</t>
  </si>
  <si>
    <t>ITEM</t>
  </si>
  <si>
    <t>Com ST</t>
  </si>
  <si>
    <t>TOTAL</t>
  </si>
  <si>
    <t>Agosto</t>
  </si>
  <si>
    <t>APLICAÇÃO</t>
  </si>
  <si>
    <t>23.409.C0</t>
  </si>
  <si>
    <t>CUMMINS; VOLVO; KOMATSU; LIEBHERR; TEREX; FORD; HITACHI; INGERSOLL RAND; MANITOWOC; KAWASAKI; ALLIS CHALMERS; AVELING BARFORD; BOMAG; DRESSER; EUCLID; FODEN; GROVE; PERLINI</t>
  </si>
  <si>
    <t>W12106</t>
  </si>
  <si>
    <t>H240W</t>
  </si>
  <si>
    <t>OC531</t>
  </si>
  <si>
    <t>PSL270</t>
  </si>
  <si>
    <t>PH3612</t>
  </si>
  <si>
    <t>WO774</t>
  </si>
  <si>
    <t>LF670</t>
  </si>
  <si>
    <t>PER116</t>
  </si>
  <si>
    <t>P551670</t>
  </si>
  <si>
    <t>23.808.B0</t>
  </si>
  <si>
    <t>Oil FIlter</t>
  </si>
  <si>
    <t xml:space="preserve">Ford: Cargo - 814 (1996 -&gt;)
           Cargo - 815 (2000 -&gt;)
           Cargo -815S (1996 -&gt;)
           F4000 (1996 -&gt;)
Case: Retro-Escavadeira (  todos com motor Cummins 4B):
            480E-LL;
             570LXT;
             580 H/L;
             590 SUper L;
</t>
  </si>
  <si>
    <t>CUMMINS: 3903324, 3903224, 5290489, 3890709, 3908616</t>
  </si>
  <si>
    <t>W940/34</t>
  </si>
  <si>
    <t>H17W19</t>
  </si>
  <si>
    <t>OC333</t>
  </si>
  <si>
    <t>PSL282</t>
  </si>
  <si>
    <t>LB282</t>
  </si>
  <si>
    <t>PH3900</t>
  </si>
  <si>
    <t>WO670</t>
  </si>
  <si>
    <t>LF3805</t>
  </si>
  <si>
    <t>RL398</t>
  </si>
  <si>
    <t>P558616</t>
  </si>
  <si>
    <t>23.809.B0</t>
  </si>
  <si>
    <t>Hitachi : Escavadora - Série ZX / EX; John Deere: Escavadora - Série 100/ 200/ 400/ 600/ 800</t>
  </si>
  <si>
    <t>CASE: 51441635
JOHN DEERE:AT308576</t>
  </si>
  <si>
    <t>W1223</t>
  </si>
  <si>
    <t>WO905</t>
  </si>
  <si>
    <t>LF16045</t>
  </si>
  <si>
    <t>P550596</t>
  </si>
  <si>
    <t>24.378.B0</t>
  </si>
  <si>
    <t>MAN TRUCK: 36.604 DF (E2000) -  (2008 - &gt;); 40.604 DF (E/F2000) -  (1997 - &gt;); 41.604 DF (E2000) - (1997- &gt;); 50.604 VF (E2000) - (1999- &gt;)</t>
  </si>
  <si>
    <t>H70WDK14</t>
  </si>
  <si>
    <t>KC102</t>
  </si>
  <si>
    <t>P550498</t>
  </si>
  <si>
    <t>24.A56.00</t>
  </si>
  <si>
    <t>CUMMINS: ISM Serie - ISX Serie; VOLVO: VHD Serie - VN Serie - VNL Serie</t>
  </si>
  <si>
    <t xml:space="preserve">VOLVO: 85114047
</t>
  </si>
  <si>
    <t xml:space="preserve">FF2200 </t>
  </si>
  <si>
    <t xml:space="preserve">P552200 </t>
  </si>
  <si>
    <t>25.111.B0</t>
  </si>
  <si>
    <t>25.206.01</t>
  </si>
  <si>
    <t>MERCEDES BENZ: Actros Euro 6</t>
  </si>
  <si>
    <t>MBB: A0001806965; A4711840825; A4711840925</t>
  </si>
  <si>
    <t>25.712.00</t>
  </si>
  <si>
    <t>ALLIS CHALMERS: 200 Serie - 400 Serie; KOMATSU: D Serie</t>
  </si>
  <si>
    <t xml:space="preserve">H10007 </t>
  </si>
  <si>
    <t xml:space="preserve">HF6111 </t>
  </si>
  <si>
    <t xml:space="preserve">P167425 </t>
  </si>
  <si>
    <t>26.001.B0</t>
  </si>
  <si>
    <t>26.008.B0</t>
  </si>
  <si>
    <t>26.011.B0</t>
  </si>
  <si>
    <t>26.017.B0</t>
  </si>
  <si>
    <t>27.429.B0</t>
  </si>
  <si>
    <t>27.691.B0</t>
  </si>
  <si>
    <t>TOYOTA: NOVA HILUX - H 3.0 L4 8V (05-) e SW4</t>
  </si>
  <si>
    <t>C23107</t>
  </si>
  <si>
    <t>E1114L</t>
  </si>
  <si>
    <t>LX2125</t>
  </si>
  <si>
    <t>ARS7065</t>
  </si>
  <si>
    <t>HD7065</t>
  </si>
  <si>
    <t>CA9916</t>
  </si>
  <si>
    <t>JFA0292/2</t>
  </si>
  <si>
    <t>AF26501</t>
  </si>
  <si>
    <t>P902609</t>
  </si>
  <si>
    <t>27.A21.00</t>
  </si>
  <si>
    <t>MERCEDES BENZ: OC Series; WIRTGEN; IRISBUS</t>
  </si>
  <si>
    <t xml:space="preserve">C301530 </t>
  </si>
  <si>
    <t xml:space="preserve">AF4185 </t>
  </si>
  <si>
    <t>P630489</t>
  </si>
  <si>
    <t>27.B13.00</t>
  </si>
  <si>
    <t>PORSCHE: Boxster, Cayman</t>
  </si>
  <si>
    <t xml:space="preserve">C31002 </t>
  </si>
  <si>
    <t xml:space="preserve">E1178L </t>
  </si>
  <si>
    <t xml:space="preserve">LX1009/6 </t>
  </si>
  <si>
    <t>27.B51.00</t>
  </si>
  <si>
    <t>ATLAS COPCO: GA Series</t>
  </si>
  <si>
    <t>ATLAS COPCO: 1621737600; 1621737699</t>
  </si>
  <si>
    <t xml:space="preserve">C281275/1 </t>
  </si>
  <si>
    <t>30.733.B0</t>
  </si>
  <si>
    <t xml:space="preserve">HONDA City 1.5 16V i-VTEC Flex (Hatch / Sedan) 11.2021-&gt;; HR-V 1.5 16V i-VTEC Flex 07.2022-&gt; </t>
  </si>
  <si>
    <t>172205R0008</t>
  </si>
  <si>
    <t>C20033</t>
  </si>
  <si>
    <t xml:space="preserve">	E1331L</t>
  </si>
  <si>
    <t>LX4424</t>
  </si>
  <si>
    <t>ARL1047</t>
  </si>
  <si>
    <t>CA11949</t>
  </si>
  <si>
    <t>JFA0444</t>
  </si>
  <si>
    <t>30.B12.00</t>
  </si>
  <si>
    <t>PORSCHE: Boxster (986)</t>
  </si>
  <si>
    <t xml:space="preserve">C2558/5 </t>
  </si>
  <si>
    <t xml:space="preserve">E458L </t>
  </si>
  <si>
    <t xml:space="preserve">LX566/1 </t>
  </si>
  <si>
    <t xml:space="preserve">CA10443 </t>
  </si>
  <si>
    <t>FAP9050</t>
  </si>
  <si>
    <t>30.B16.00</t>
  </si>
  <si>
    <t>PORSCHE: 911 (996) - 911 (997)</t>
  </si>
  <si>
    <t xml:space="preserve">LX696/1 </t>
  </si>
  <si>
    <t>30.B42.00</t>
  </si>
  <si>
    <t>MERCEDES BENZ: SLK Classe</t>
  </si>
  <si>
    <t xml:space="preserve">C28612 </t>
  </si>
  <si>
    <t xml:space="preserve">E734L </t>
  </si>
  <si>
    <t xml:space="preserve">LX1137/S </t>
  </si>
  <si>
    <t>FAP3232</t>
  </si>
  <si>
    <t>30.E56.00</t>
  </si>
  <si>
    <t xml:space="preserve">CITROËN: Jumpy III - Spacetourer;  FIAT: Doblò - Scudo; PEUGEOT: Expert III - Partner III </t>
  </si>
  <si>
    <t xml:space="preserve">C24036 </t>
  </si>
  <si>
    <t xml:space="preserve">E1623L </t>
  </si>
  <si>
    <t xml:space="preserve">LX4729 </t>
  </si>
  <si>
    <t xml:space="preserve">CA12464 </t>
  </si>
  <si>
    <t>FAP4064</t>
  </si>
  <si>
    <t>30.E59.00</t>
  </si>
  <si>
    <t>JEEP: Compass II - Renegade</t>
  </si>
  <si>
    <t xml:space="preserve">C31028 </t>
  </si>
  <si>
    <t>LX5847</t>
  </si>
  <si>
    <t>ARL4162</t>
  </si>
  <si>
    <t xml:space="preserve">CA12639 </t>
  </si>
  <si>
    <t>FAP2834</t>
  </si>
  <si>
    <t>30.E61.00</t>
  </si>
  <si>
    <t>LEXUS: GS Serie - SC 430</t>
  </si>
  <si>
    <t xml:space="preserve">LX1613 </t>
  </si>
  <si>
    <t>JFA0294</t>
  </si>
  <si>
    <t>31.A33.00</t>
  </si>
  <si>
    <t>BMW: 2, 3, 4, 5, 6, 7, 8, X3, X4, X5, X6, X7.</t>
  </si>
  <si>
    <t xml:space="preserve">WK5017 </t>
  </si>
  <si>
    <t xml:space="preserve">H600WK </t>
  </si>
  <si>
    <t xml:space="preserve">KL872/7 </t>
  </si>
  <si>
    <t>FCI1744</t>
  </si>
  <si>
    <t>53.028.00</t>
  </si>
  <si>
    <t>PEUGEOT: 406 (1997&gt;2004)</t>
  </si>
  <si>
    <t>CU3360</t>
  </si>
  <si>
    <t>E2961LI</t>
  </si>
  <si>
    <t>LA32</t>
  </si>
  <si>
    <t>CF5846</t>
  </si>
  <si>
    <t>AKX35154</t>
  </si>
  <si>
    <t>53.599.00</t>
  </si>
  <si>
    <t>BOBCAT: A Serie - E Serie - S Serie - T Serie</t>
  </si>
  <si>
    <t>53.618.00</t>
  </si>
  <si>
    <t>J.C.B.: 500 Serie</t>
  </si>
  <si>
    <t>P647958</t>
  </si>
  <si>
    <t>80.146.00</t>
  </si>
  <si>
    <t>NEW HOLLAND: TS Serie</t>
  </si>
  <si>
    <t xml:space="preserve">HF6115 </t>
  </si>
  <si>
    <t xml:space="preserve">P552409 </t>
  </si>
  <si>
    <t>T360W</t>
  </si>
  <si>
    <t>PEL684</t>
  </si>
  <si>
    <t>Dezembro</t>
  </si>
  <si>
    <t>23.243.C0</t>
  </si>
  <si>
    <t>PSL131</t>
  </si>
  <si>
    <t>PH2849</t>
  </si>
  <si>
    <t>JFO301</t>
  </si>
  <si>
    <t>23.273.C0</t>
  </si>
  <si>
    <t>HITACHI; DAEWOO; SANY; HYUNDAI - Motores ISUZU 4JG1</t>
  </si>
  <si>
    <t>4650205，8-97049708-0，A222100000569</t>
  </si>
  <si>
    <t>LF3786</t>
  </si>
  <si>
    <t>P502039</t>
  </si>
  <si>
    <t>23.412.C0</t>
  </si>
  <si>
    <t>H300WD01</t>
  </si>
  <si>
    <t>23.469.C0</t>
  </si>
  <si>
    <t>23.502.C0</t>
  </si>
  <si>
    <t>CASE ESCAVADEIRA 1088 6T5.9 / COLHEITADEIRA A2000 MWM 229-3 / PA CARREGADEIRA 1150E / KOMATSU PA CARREGADEIRA - SERIE WA - 180-1LC / MOTONIVELADORA - GD530-2 (A / B / C / E) / JCB PA CARREGADEIRA - 416S - CUMMINS 6BTAA 5.9 2004 --&gt; / CAMINHAO FORA DE ESTRADA - 718 - CUMMINS 6BTAA 5.9 2004 --&gt;</t>
  </si>
  <si>
    <t>LF3349</t>
  </si>
  <si>
    <t>23.672.C0</t>
  </si>
  <si>
    <t>HINO; CASE; NEW HOLLAND</t>
  </si>
  <si>
    <t>VH156072190D</t>
  </si>
  <si>
    <t>23.691.C0</t>
  </si>
  <si>
    <t>SERIE 13T - 13210 ---88 -- 92 SERIE 14T - 14210 ---88 -- 92 SERIE 16T - 16210 --1988 --&gt; SERIE 22T - 22210 --	1988 --&gt;</t>
  </si>
  <si>
    <t>W12205</t>
  </si>
  <si>
    <t>23.692.C0</t>
  </si>
  <si>
    <t>KOMATSU Series D e PC</t>
  </si>
  <si>
    <t>VA3424011101，60176476P</t>
  </si>
  <si>
    <t>W1150/7</t>
  </si>
  <si>
    <t>H29W01</t>
  </si>
  <si>
    <t>P552452</t>
  </si>
  <si>
    <t>23.693.C0</t>
  </si>
  <si>
    <t>BOB CAT; HITACHI; ISUZU; JOHN DEERE; KOMATSU; KUBOTA; VOLVO; YANMAR</t>
  </si>
  <si>
    <t>P550162</t>
  </si>
  <si>
    <t>W87</t>
  </si>
  <si>
    <t>LF3462</t>
  </si>
  <si>
    <t>23.694.C0</t>
  </si>
  <si>
    <t>CATERPILLAR; KOMATSU; JCB</t>
  </si>
  <si>
    <t>VA32G4001100</t>
  </si>
  <si>
    <t>P502410</t>
  </si>
  <si>
    <t>23.734.C0</t>
  </si>
  <si>
    <t>CUMMINS,VOLVO,HYUNDAI,KOMATSU</t>
  </si>
  <si>
    <t>4367100,85114044,11NB70110,6002111340</t>
  </si>
  <si>
    <t>WO906</t>
  </si>
  <si>
    <t>DBL7900</t>
  </si>
  <si>
    <t>23.735.C0</t>
  </si>
  <si>
    <t xml:space="preserve">New Holland E Series E; KOBELCO; HINO; </t>
  </si>
  <si>
    <t>15607-2190</t>
  </si>
  <si>
    <t>23.739.00</t>
  </si>
  <si>
    <t>FORD: Transit Custom, Transit MY:2014</t>
  </si>
  <si>
    <t xml:space="preserve">W7034 </t>
  </si>
  <si>
    <t>H14W43</t>
  </si>
  <si>
    <t xml:space="preserve">OC1414 </t>
  </si>
  <si>
    <t xml:space="preserve">PH12177 </t>
  </si>
  <si>
    <t xml:space="preserve">LF16446 </t>
  </si>
  <si>
    <t>23.793.C0</t>
  </si>
  <si>
    <t>HINO; KOBELCO; MITSUBISHI; SANY</t>
  </si>
  <si>
    <t>B222100000551,ME074013;ME130968</t>
  </si>
  <si>
    <t>LF3586</t>
  </si>
  <si>
    <t>P552562</t>
  </si>
  <si>
    <t>24.031.C0</t>
  </si>
  <si>
    <t>IVECO: Euroclass 389; RENAULT TRUCKS: Midlum, Premium, Puncher, Kerax.</t>
  </si>
  <si>
    <t>5001853860;5010505337</t>
  </si>
  <si>
    <t>WK940/20</t>
  </si>
  <si>
    <t>H18WDK02</t>
  </si>
  <si>
    <t>KC197</t>
  </si>
  <si>
    <t>P9450</t>
  </si>
  <si>
    <t>FF5470</t>
  </si>
  <si>
    <t>P550004</t>
  </si>
  <si>
    <t>24.038.C0</t>
  </si>
  <si>
    <t>SCANIA 111/112/113/141/142</t>
  </si>
  <si>
    <t>WK 716/2 x</t>
  </si>
  <si>
    <t>FF5052</t>
  </si>
  <si>
    <t>P550440</t>
  </si>
  <si>
    <t>24.056.C0</t>
  </si>
  <si>
    <t>DAF CAMINHOES; GINAF X-SERIES; DAF-ONIBUS</t>
  </si>
  <si>
    <t>PL420</t>
  </si>
  <si>
    <t>R010017</t>
  </si>
  <si>
    <t>24.167.C0</t>
  </si>
  <si>
    <t>D12 , 6K; FOTON; SINOTRUK</t>
  </si>
  <si>
    <t xml:space="preserve">VG1540080211 ,G5800-1105240C </t>
  </si>
  <si>
    <t>FS36235</t>
  </si>
  <si>
    <t>R010053</t>
  </si>
  <si>
    <t>24.168.C0</t>
  </si>
  <si>
    <t>KOBELCO; SANY; SINOTRUCK; SY195,205,215;SK210,250,260;</t>
  </si>
  <si>
    <t>60310823,VH23390E0020,VG1540080110,G5800-1105140A</t>
  </si>
  <si>
    <t>P502466</t>
  </si>
  <si>
    <t>24.178.C0</t>
  </si>
  <si>
    <t>CONSTELLATION - 24.250 03 -- 13 / WORKER - 24.250 2003 --&gt; / IVECO VERTIS - 90V18 10 -- 12 / VERTIS - 130V19 10 -- 12</t>
  </si>
  <si>
    <t>1000442956;612600081334</t>
  </si>
  <si>
    <t xml:space="preserve">R010021 </t>
  </si>
  <si>
    <t>24.179.C0</t>
  </si>
  <si>
    <t>SANY: SY385,405,425,465; MITSUBISHI</t>
  </si>
  <si>
    <t>60146149,ME150631</t>
  </si>
  <si>
    <t>FF5375</t>
  </si>
  <si>
    <t>P502233</t>
  </si>
  <si>
    <t>24.225.C0</t>
  </si>
  <si>
    <t>CATERPILLAR SERIE CT - CT660 CAMINHAO / ISUZU SERIE C - CXY415 / CXY52 CAMINHAO / SERIE C - CXZ415 / CXZ52</t>
  </si>
  <si>
    <t>C4988297；C5300516</t>
  </si>
  <si>
    <t>FCD30151</t>
  </si>
  <si>
    <t>FS19816</t>
  </si>
  <si>
    <t>24.228.C0</t>
  </si>
  <si>
    <t>CATERPILLAR SERIE 300 - 320 C ESCAVADEIRA CAT 3066 / SERIE 900 - 928 G TRATOR CAT 3116 T 1998 --&gt; / 960 F TRATOR CAT 3116 / SERIE 120 - 120 H MOTONIVELADORAS CAT 3116TA 1994 --&gt;</t>
  </si>
  <si>
    <t>1R0751</t>
  </si>
  <si>
    <t>FF5324</t>
  </si>
  <si>
    <t>CATERPILAR MAQUINAS E EQUIPAMENTOS SERIE 300 - 322C ESCAVADORA / 325C ESCAVADORA / 330C ESCAVADORA / 345D ESCAVADORA / 365CL ESCAVADORA / 385C ESCAVADORA / SERIE 600 - 627G RASPADORA / 638G RASPADORA / SERIE 700 - 772 CAMINHAO ARTICULADO / SERIE 900 - 924HZ CARREGADORA / 930H CARREGADORA / 950G CARREGADORA / 988H CARREGADORA / SERIE D - D5N LGP TRATOR / D7R XR TRATOR / SERIE W - W345C ESCAVADORA</t>
  </si>
  <si>
    <t>FCD3094</t>
  </si>
  <si>
    <t>24.231.C0</t>
  </si>
  <si>
    <t>HITACHI; KOBELCO; MITSUBISHI</t>
  </si>
  <si>
    <t>WK10022</t>
  </si>
  <si>
    <t>H511WK</t>
  </si>
  <si>
    <t>FF5367</t>
  </si>
  <si>
    <t>P550391</t>
  </si>
  <si>
    <t>24.232.C0</t>
  </si>
  <si>
    <t>CATERPILLAR MAQUINAS E EQUIPAMENTOS SERIE 700 - 793F CAMINHAO / SERIE 700 - 794 CAMINHAO / SERIE 700 - 795F CAMINHAO / SERIE 900 - 966K CARREGADORA / 313D2 LGP ESCAVADEIRA / 323D2 L ESCAVADEIRA / 336D2 ESCAVADEIRA / 336E ESCAVADEIRA / 336E L ESCAVADEIRA</t>
  </si>
  <si>
    <t>FCD30150</t>
  </si>
  <si>
    <t>FS20131</t>
  </si>
  <si>
    <t>P501108</t>
  </si>
  <si>
    <t>24.244.C0</t>
  </si>
  <si>
    <t>8003453803312</t>
  </si>
  <si>
    <t>KOMATSU: PC400; 450</t>
  </si>
  <si>
    <t>600-311-3520，600-311-3550</t>
  </si>
  <si>
    <t>FF5611</t>
  </si>
  <si>
    <t>P553500</t>
  </si>
  <si>
    <t>24.247.C0</t>
  </si>
  <si>
    <t>8003453803343</t>
  </si>
  <si>
    <t>326-1643，1R-0771</t>
  </si>
  <si>
    <t>FS20007</t>
  </si>
  <si>
    <t>P551110</t>
  </si>
  <si>
    <t>24.268.C0</t>
  </si>
  <si>
    <t>NEW HOLAND TRATORES - SERIE TJ - TJ330 E TJ280 2006 --&gt; / SERIE TG - TG305A, TG275A, TG245A, TG215A 2006 --&gt; / SERIE T - T8020, T8030, T8040, T8050, T9020 2006 --&gt; HYUNDAI EQUIPAMENTOS E MAQUINAS - HL780-9, HL770-9, HL770-7A, HL760-7A, HL757TM-7A, HL757-7A, HL740-9 (PA CARREGADEIRA) CUMMINS 2007 --&gt; CUMMINS - MODELOS QSL9, QSB4.5, QSB7-G3NR3, QSL-C, QSL, QSC-C, QSC, QSB6.7, QSB4, ISF3.8, ISBE EURO 4, ISB6.7 EURO 5, ISB4.5 EURO 5 - TODOS 2009 --&gt; CASE TRATORES - STEIGER 280, 330, 280 2006 --&gt; / M</t>
  </si>
  <si>
    <t>3973233/LG9704550070</t>
  </si>
  <si>
    <t>FCD2277</t>
  </si>
  <si>
    <t>FS19732</t>
  </si>
  <si>
    <t>P550848</t>
  </si>
  <si>
    <t>24.283.C0</t>
  </si>
  <si>
    <t>FORD CARGO - 2628E CUMMINS 6 ISBE 5.9 / CARGO - 2628E CUMMINS 6 ISBE 5.9 / CARGO - 2622E CUMMINS 6 ISBE 5.9 / VOLKSWAGEN 23.250 E CUMMINS 6 ISBE / IVECO EURO CARGO - 230E22 IVECO FPT / EURO CARGO - 170E22 IVECO FPT</t>
  </si>
  <si>
    <t>FF5951</t>
  </si>
  <si>
    <t>24.310.C0</t>
  </si>
  <si>
    <t>ATLAS; CASE; CATERPILLAR; DYNAPAC; KOMATSU; KT Serie,L 10 Serie,NH Serie,NT Serie,V Serie,VT Serie;</t>
  </si>
  <si>
    <t>252811,3315844,154709,</t>
  </si>
  <si>
    <t>24.323.B0</t>
  </si>
  <si>
    <t>24.323.C0</t>
  </si>
  <si>
    <t>24.326.C0</t>
  </si>
  <si>
    <t>8003453803299</t>
  </si>
  <si>
    <t>P4766</t>
  </si>
  <si>
    <t>24.350.01</t>
  </si>
  <si>
    <t>DAILY 35.10 - IVECO FPT  3.0L - // 2002 --&gt; / DAILY 49.10 - IVECO  8140.43S - // 2002 --&gt; / DAILY 59.12 - IVECO  8140.43S - // 2005 --&gt;</t>
  </si>
  <si>
    <t>WK 842</t>
  </si>
  <si>
    <t>FF5046</t>
  </si>
  <si>
    <t>24.465.00</t>
  </si>
  <si>
    <t>MITSUBISHI:  ASX, Lancer, Eclipse Cross, Outlander II e III; CITROEN: C4 Aircross HDI; PEUGEOT: 4008 HDI</t>
  </si>
  <si>
    <t xml:space="preserve">WK9057Z </t>
  </si>
  <si>
    <t>H509WK</t>
  </si>
  <si>
    <t xml:space="preserve">KC510D </t>
  </si>
  <si>
    <t>24.472.C0</t>
  </si>
  <si>
    <t>24.510.C0</t>
  </si>
  <si>
    <t>XCMG - CAMINHOES XDM80 CAMINHOES ARTICULADOS YUCHAI YC6K480-GT30 / XDM90 CAMINHOES ARTICULADOS YUCHAI YC6K / FOTON - CAMINHOES AUMAN 6 WEICHAI WP10 /  AUMAN 9 WEICHAI WP10 /  AUMAN BJ4215 WEICHAI WP12 /  KUNLUN 8X4 WEICHAI WP10 / FORD - CAMINHOES OTOSAN CARGO / NEW CARGO / F-MAX ECOTORQ NHDD 2003 --&gt;</t>
  </si>
  <si>
    <t>1000422382，160604020018</t>
  </si>
  <si>
    <t>WDK11102/4</t>
  </si>
  <si>
    <t>FCD2306</t>
  </si>
  <si>
    <t>FF5740</t>
  </si>
  <si>
    <t>R010018</t>
  </si>
  <si>
    <t>24.A27.C0</t>
  </si>
  <si>
    <t>HINO 700</t>
  </si>
  <si>
    <t>S2340-11222，234011580</t>
  </si>
  <si>
    <t>P552251</t>
  </si>
  <si>
    <t>24.A44.C0</t>
  </si>
  <si>
    <t>DAF NEW CF / CF85 FT 360 / CF85 FT 410 / CF85 FTT 460 MOTORES PACCAR MX-13 2021 --&gt;</t>
  </si>
  <si>
    <t>3406889 ,4070801</t>
  </si>
  <si>
    <t>FCD2304</t>
  </si>
  <si>
    <t>FS1003</t>
  </si>
  <si>
    <t>P551103</t>
  </si>
  <si>
    <t>24.A58.C0</t>
  </si>
  <si>
    <t>SANY: SY55; 60; 65; 75; ISUZU; XCMG</t>
  </si>
  <si>
    <t>B222100000730，60220063，8-94132947-1</t>
  </si>
  <si>
    <t>P505951</t>
  </si>
  <si>
    <t>24.A59.C0</t>
  </si>
  <si>
    <t>SANY: SY135; 155; 365; 475; 485; XE225DK</t>
  </si>
  <si>
    <t>60282117，800159690， 8983129180，YA00033486</t>
  </si>
  <si>
    <t>R011619</t>
  </si>
  <si>
    <t>24.A63.C0</t>
  </si>
  <si>
    <t>YANMAR; LIUGONG; SANY; XCMG</t>
  </si>
  <si>
    <t>129907-55810，53C0303，60273110，RXL00601</t>
  </si>
  <si>
    <t>R010002</t>
  </si>
  <si>
    <t>24.A76.C0</t>
  </si>
  <si>
    <t>SANY: Y85,SY95;XE75D;CLG910E; XCMG; KUBOTA; KOMATSU</t>
  </si>
  <si>
    <t>60212876,800159523,53C0504</t>
  </si>
  <si>
    <t>P502163</t>
  </si>
  <si>
    <t>25.141.00</t>
  </si>
  <si>
    <t>AUDI: A4, A5. A6, A7, A8, Q5, Q7 TDI; PORSCHE: Cayenne, Macan, Panamera Diesel; VW: Touareg II.</t>
  </si>
  <si>
    <t xml:space="preserve">HU8005Z </t>
  </si>
  <si>
    <t>E816HD236</t>
  </si>
  <si>
    <t xml:space="preserve">OX420D </t>
  </si>
  <si>
    <t>CH11490ECO</t>
  </si>
  <si>
    <t>25.229.C0</t>
  </si>
  <si>
    <t>CATERPILLAR MAQUINAS E EQUIPAMENTOS 2384C / 312E / 314E CR / 316E L / 320D2 / 320E / 324E / 329E / 559C / 324E L</t>
  </si>
  <si>
    <t>PEL2015</t>
  </si>
  <si>
    <t>WOE842</t>
  </si>
  <si>
    <t>25.235.B0</t>
  </si>
  <si>
    <t>MAN TRUCK: TGX 26.480 D 2676 | 353 KW / 480 HP | 10.2007 - 07.2016;</t>
  </si>
  <si>
    <t>HU1291/1Z</t>
  </si>
  <si>
    <t>E831HD275</t>
  </si>
  <si>
    <t>OX1028D</t>
  </si>
  <si>
    <t>LF17529</t>
  </si>
  <si>
    <t>25.240.00</t>
  </si>
  <si>
    <t>DAF CF e XF; IIRIZAR; TATRA; BDL BUS</t>
  </si>
  <si>
    <t xml:space="preserve">HU11003Y </t>
  </si>
  <si>
    <t>E830HD253</t>
  </si>
  <si>
    <t xml:space="preserve">OX1059D </t>
  </si>
  <si>
    <t xml:space="preserve">LF17527 </t>
  </si>
  <si>
    <t>25.287.C0</t>
  </si>
  <si>
    <t>S156072281L</t>
  </si>
  <si>
    <t>P502390</t>
  </si>
  <si>
    <t>25.406.C1</t>
  </si>
  <si>
    <t>FORD / SCANIA / ZF / MERCEDES BENZ: ( 000 184 22 25 ) - ( CAIXA NACIONAL )</t>
  </si>
  <si>
    <t>H601</t>
  </si>
  <si>
    <t>WEO0512</t>
  </si>
  <si>
    <t>HF6162</t>
  </si>
  <si>
    <t>P550309</t>
  </si>
  <si>
    <t>25.626.C0</t>
  </si>
  <si>
    <t>SANY: SY385,SY465; MITSUBISHI; KOBELCO; KATO; FURUKAWA</t>
  </si>
  <si>
    <t>60146150, ME 064356</t>
  </si>
  <si>
    <t>LF3432+LF3447</t>
  </si>
  <si>
    <t>P550065</t>
  </si>
  <si>
    <t>25.643.C0</t>
  </si>
  <si>
    <t>KOMATSU - MAQUINAS E EQUIPAMENTOS PC160LC-7 / PC200-7 / PC200-8 / PC200LC-7 / PC200LC-8 / PC200LL-7 / PC210-8 / PC210-8K / PC220-7 / PC220LC-7 / PC220LL-7 / PC220-8 / PC220L8 / PC220LC-8 / PC228US-1 / PC240LC-8 / PC240LC-8K / PC270-7 / PC270-8 / PC270LC-7 / PC270LC-7MH / PC270LC-8 / PC290LC-8K / PC290NLC-7K</t>
  </si>
  <si>
    <t>HD15001</t>
  </si>
  <si>
    <t>WEH030</t>
  </si>
  <si>
    <t>HF35360</t>
  </si>
  <si>
    <t>P550787</t>
  </si>
  <si>
    <t>25.645.C0</t>
  </si>
  <si>
    <t>KOMATSU: PC200-8; KOBELCO</t>
  </si>
  <si>
    <t>20Y9701820</t>
  </si>
  <si>
    <t>HF35530</t>
  </si>
  <si>
    <t>25.646.C0</t>
  </si>
  <si>
    <t>KOMATSU: D Series, PC Series.</t>
  </si>
  <si>
    <t>20Y6251691 - KOMATSU</t>
  </si>
  <si>
    <t>HD5007</t>
  </si>
  <si>
    <t>ST1659</t>
  </si>
  <si>
    <t>P502540</t>
  </si>
  <si>
    <t>P502244</t>
  </si>
  <si>
    <t>25.654.C0</t>
  </si>
  <si>
    <t>CATERPILLAR: 300 / 500 / 5000 / M300</t>
  </si>
  <si>
    <t>HD15006</t>
  </si>
  <si>
    <t>EY895H</t>
  </si>
  <si>
    <t>PH177/1</t>
  </si>
  <si>
    <t>HF35440</t>
  </si>
  <si>
    <t>P571271</t>
  </si>
  <si>
    <t>25.656.C0</t>
  </si>
  <si>
    <t>HITACHI: ZX200LC-3; JOHN DEERE</t>
  </si>
  <si>
    <t>HD14002x</t>
  </si>
  <si>
    <t>EY1125HD663</t>
  </si>
  <si>
    <t>HF7679</t>
  </si>
  <si>
    <t>P502441</t>
  </si>
  <si>
    <t>25.657.C0</t>
  </si>
  <si>
    <t>CATERPILLAR - MAQUINAS E EQUIPAMENTOS SERIE 300 - 320 ESCAVADORA CATERPILLAR 3066T / SERIE 300 - 320L ESCAVADORA CATERPILLAR 3116T / SERIE 300 - 320N ESCAVADORA CATERPILLAR 3116T / SERIE 300 - 320S ESCAVADORA CATERPILLAR 3116T / SERIE 300 - 322 ESCAVADORA CATERPILLAR 3116TA / SERIE 300 - 322L ESCAVADORA CATERPILLAR 3116T / SERIE 300 - 325 ESCAVADORA CATERPILLAR 3116TA</t>
  </si>
  <si>
    <t>HD15174x</t>
  </si>
  <si>
    <t>WEH024</t>
  </si>
  <si>
    <t>HF6319</t>
  </si>
  <si>
    <t>P551210</t>
  </si>
  <si>
    <t>25.658.C0</t>
  </si>
  <si>
    <t>HF35511</t>
  </si>
  <si>
    <t>P502269</t>
  </si>
  <si>
    <t>P502270</t>
  </si>
  <si>
    <t>25.686.C0</t>
  </si>
  <si>
    <t>HINO; SANY</t>
  </si>
  <si>
    <t>S1560-72430</t>
  </si>
  <si>
    <t>P550379</t>
  </si>
  <si>
    <t>25.692.00</t>
  </si>
  <si>
    <t>CATERPILLAR: AP Series, V Series.</t>
  </si>
  <si>
    <t xml:space="preserve">H10006 </t>
  </si>
  <si>
    <t xml:space="preserve">HF6110 </t>
  </si>
  <si>
    <t>P163910</t>
  </si>
  <si>
    <t>25.716.C0</t>
  </si>
  <si>
    <t>SANY ESCAVADORA - SY135 MOTOR ISUZU BB4BG1TRP / SY200C MOTOR CUMMINS 6BTA5.9 / SY230C MOTOR ISUZU / SY360 MOTOR ISUZU 6HK1</t>
  </si>
  <si>
    <t>A222100000119</t>
  </si>
  <si>
    <t>WEH029</t>
  </si>
  <si>
    <t>R010051</t>
  </si>
  <si>
    <t>25.905.00</t>
  </si>
  <si>
    <t>DAF: CF86 e XF106 series; IRIZAR; SOLARIS; TATRA; VDL BUS.</t>
  </si>
  <si>
    <t xml:space="preserve">ZR9007 </t>
  </si>
  <si>
    <t>Z830F</t>
  </si>
  <si>
    <t xml:space="preserve">OZ10 </t>
  </si>
  <si>
    <t>25.912.C0</t>
  </si>
  <si>
    <t>SCANIA-IRIZAR/SCANIA-BUS; Citywide LE/LF; DC09</t>
  </si>
  <si>
    <t>1733658，H962</t>
  </si>
  <si>
    <t>H962</t>
  </si>
  <si>
    <t>EY834H</t>
  </si>
  <si>
    <t>HX89</t>
  </si>
  <si>
    <t>PH962</t>
  </si>
  <si>
    <t>25.935.C0</t>
  </si>
  <si>
    <t>PC210LC-11,PC300-8</t>
  </si>
  <si>
    <t>207-60-71183</t>
  </si>
  <si>
    <t>P502644</t>
  </si>
  <si>
    <t>26.135.C0</t>
  </si>
  <si>
    <t>SCANIA CAMINHOES SERIE P - P-250 A 4X2 EURO 5 2019 --&gt; / P-250 B 4X2 EURO 5 2019 --&gt; / P-250 B 6X2 EURO 5 2019 --&gt; / P-250 B 6X4 EURO 5 2019 --&gt; / P-250 B 8X2 EURO 5 2019 --&gt; / P-250 B 8X4 EURO 5 2019 --&gt; / P-280 A 4X2 EURO5 2019 --&gt; / P-280 B 4X2 EURO 5 2019 --&gt; / P-280 B 8X2 EURO 5 2019 --&gt; / P-320 A 4X2 EURO 5 2019 --&gt; / P-320 B 4X2 EURO 5 2019 --&gt; / P-320 B 6X2 EURO 5 2019 --&gt; / P-320 B 8X2 EURO 5 2019 --&gt; / SERIE G - G-410 A 4X2 EURO 5 2019 --&gt; / G-410 A 6X2 EURO 5 2019 --&gt; / SERIE R - R-56</t>
  </si>
  <si>
    <t>1794863，1865227</t>
  </si>
  <si>
    <t>PU10003-2x</t>
  </si>
  <si>
    <t>E103KP01D197-2</t>
  </si>
  <si>
    <t>FCD0972+FCD0973</t>
  </si>
  <si>
    <t>MK13301</t>
  </si>
  <si>
    <t>26.142.C0</t>
  </si>
  <si>
    <t>CASE IH - MAQUINAS E EQUIPAMENTOS CX130 - ESCAVADORA / HITACHI - MAQUINAS E EQUIPAMENTOS ISUZU 4HK1 SCX550-3 - GUINDASTE  / SCX700C-3 - GUINDASTE / ZX200-3 - ESCAVADORA / ZX200LC-3 - ESCAVADORA / ZX210-3 - ESCAVADORA / ZX210H-3 - ESCAVADORA / ZX210K-3 - ESCAVADORA / ZX210LC-3 - ESCAVADORA / ZX210LCH-3 - ESCAVADORA / ZX210LCK-3 - ESCAVADORA /  ZX225US-3 - ESCAVADORA / ZX225USLC-3 - ESCAVADORA / ZX225USR-3 - ESCAVADORA / ZX225USRK-3 - ESCAVADORA / ZX225USRKLC-3 - ESCAVADORA / ZX240-3 - ESCAVADORA</t>
  </si>
  <si>
    <t>PU10005x</t>
  </si>
  <si>
    <t>FCD0984</t>
  </si>
  <si>
    <t>FF5795</t>
  </si>
  <si>
    <t>P502422</t>
  </si>
  <si>
    <t>26.143.C0</t>
  </si>
  <si>
    <t>CATERPILLAR EQUIPAMENTOS COMMOTOR PERKINS 1104 A, C E D PERKINS 1104</t>
  </si>
  <si>
    <t>P551354</t>
  </si>
  <si>
    <t>26.144.C0</t>
  </si>
  <si>
    <t>PERKINS 1103C PERKINS 3CC / 1103A PERKINS 3CC / 1103D PERKINS 3CC</t>
  </si>
  <si>
    <t>FCD0950</t>
  </si>
  <si>
    <t>26.149.00</t>
  </si>
  <si>
    <t>MITSUBISHI-FUSO; NISSAN; FREIGHTLINER</t>
  </si>
  <si>
    <t>ME222133，ME222135，16403-WK900</t>
  </si>
  <si>
    <t>PU10004Z</t>
  </si>
  <si>
    <t>FF5797</t>
  </si>
  <si>
    <t>P502378</t>
  </si>
  <si>
    <t>26.171.00</t>
  </si>
  <si>
    <t>MERCEDES BENZ: Atego e Axor BR900 Motor, MAN: D28, TGA Series; NEOPLAN.</t>
  </si>
  <si>
    <t>A0000901351 - MERCEDES</t>
  </si>
  <si>
    <t>P954601</t>
  </si>
  <si>
    <t>26.197.C0</t>
  </si>
  <si>
    <t>S234011730L</t>
  </si>
  <si>
    <t>P502426</t>
  </si>
  <si>
    <t>26.198.C0</t>
  </si>
  <si>
    <t>HINO 700; ISUZU</t>
  </si>
  <si>
    <t>S234011690L，23304EV110</t>
  </si>
  <si>
    <t>P502391</t>
  </si>
  <si>
    <t>26.214.C0</t>
  </si>
  <si>
    <t>SANY: SY195; 205; 215; ZX210; 250; ISUZU: 4HK1; XE210; 225; 370; XCMG; SUNDWARD; HITACHI; LOVOL</t>
  </si>
  <si>
    <t>60201220，60151839，4679981，8-98074288-1，800157595</t>
  </si>
  <si>
    <t>P502424</t>
  </si>
  <si>
    <t>26.217.00</t>
  </si>
  <si>
    <t>Freightliner 108SD 2014-2020;114SD 2012-2018;122SD 2018;Cascadia 2008-2019; M2 2017-2022; MT 2018-2019
Freightliner Cascadia, Cascadia Evolution Trucks with Detroit DD15 Engine</t>
  </si>
  <si>
    <t>Detroit Diese: DDER61709
Racor: R61709</t>
  </si>
  <si>
    <t>FS20176</t>
  </si>
  <si>
    <t>P552709</t>
  </si>
  <si>
    <t>26.693.00</t>
  </si>
  <si>
    <t>NISSAN: Interstar, Primastar; RENAULT: Master, Trafic II DCI; OPEL; VAUXHALL</t>
  </si>
  <si>
    <t xml:space="preserve">PU731X </t>
  </si>
  <si>
    <t>E65KPD95</t>
  </si>
  <si>
    <t xml:space="preserve">KX183D </t>
  </si>
  <si>
    <t xml:space="preserve">C9678 </t>
  </si>
  <si>
    <t>27.286.C0</t>
  </si>
  <si>
    <t>27.346.00</t>
  </si>
  <si>
    <t>KOMATSU: D Series, PC Series, WA Series; JOY; HITACHI</t>
  </si>
  <si>
    <t>6001814401 - KOMATSU</t>
  </si>
  <si>
    <t>AF4504M</t>
  </si>
  <si>
    <t>P145702</t>
  </si>
  <si>
    <t>27.407.C0</t>
  </si>
  <si>
    <t>8003453802483</t>
  </si>
  <si>
    <t>LXS256</t>
  </si>
  <si>
    <t>27.408.C0</t>
  </si>
  <si>
    <t>27.412.C0</t>
  </si>
  <si>
    <t>633E,637G,638G,D8L,D9N,D9R</t>
  </si>
  <si>
    <t>6I2508</t>
  </si>
  <si>
    <t>AF25289M</t>
  </si>
  <si>
    <t>P532508</t>
  </si>
  <si>
    <t>27.416.C0</t>
  </si>
  <si>
    <t>E736L</t>
  </si>
  <si>
    <t>LX1777</t>
  </si>
  <si>
    <t>27.417.C0</t>
  </si>
  <si>
    <t>LXS343</t>
  </si>
  <si>
    <t>27.421.C0</t>
  </si>
  <si>
    <t>27.422.C0</t>
  </si>
  <si>
    <t>27.423.C0</t>
  </si>
  <si>
    <t>SANY,XCMG,HITACHI,CATERPILLAR</t>
  </si>
  <si>
    <t>60207265;800151039,4459543,1421339</t>
  </si>
  <si>
    <t>27.430.C0</t>
  </si>
  <si>
    <t>8003453809574</t>
  </si>
  <si>
    <t>SANY,XCMG,KOMATSU,CATERPILLAR, EMPILHADEIRA DIVERSAS; CASE; MASSEY FERGUSON; FENDT;</t>
  </si>
  <si>
    <t>B222100000591,800155506,YM11916012570,2310168</t>
  </si>
  <si>
    <t>P829332</t>
  </si>
  <si>
    <t>27.552.C0</t>
  </si>
  <si>
    <t>SANY, XCMG, KOMATSU, CATERPILLAR</t>
  </si>
  <si>
    <t>60123505,803172000,YM12905112530,1467473</t>
  </si>
  <si>
    <t>LXS302</t>
  </si>
  <si>
    <t>27.566.C0</t>
  </si>
  <si>
    <t>27.567.C0</t>
  </si>
  <si>
    <t>27.650.00</t>
  </si>
  <si>
    <t>DAF: LF45 e LF55 Series</t>
  </si>
  <si>
    <t xml:space="preserve">C26025 </t>
  </si>
  <si>
    <t>E765L</t>
  </si>
  <si>
    <t xml:space="preserve">LX2741 </t>
  </si>
  <si>
    <t xml:space="preserve">AF27878 </t>
  </si>
  <si>
    <t xml:space="preserve">P954411 </t>
  </si>
  <si>
    <t>27.A05.C0</t>
  </si>
  <si>
    <t>8003453809536</t>
  </si>
  <si>
    <t>ARS6673</t>
  </si>
  <si>
    <t>WAP753</t>
  </si>
  <si>
    <t>27.A18.C0</t>
  </si>
  <si>
    <t>8003453809567</t>
  </si>
  <si>
    <t>27.A28.C0</t>
  </si>
  <si>
    <t>8003453809581</t>
  </si>
  <si>
    <t>SANY,XCMG,KOMATSU,CATERPILLAR, CASE MX 110/ 135, KOMATSU PC160, CAT, J.DEERE, ETC</t>
  </si>
  <si>
    <t>60222812;800151033,6001852520,2065235</t>
  </si>
  <si>
    <t>WAP244/S</t>
  </si>
  <si>
    <t>27.A31.C0</t>
  </si>
  <si>
    <t>8003453802452</t>
  </si>
  <si>
    <t>LXS303</t>
  </si>
  <si>
    <t>CA9246SY</t>
  </si>
  <si>
    <t>27.A35.C0</t>
  </si>
  <si>
    <t>WAP940</t>
  </si>
  <si>
    <t>27.A36.C0</t>
  </si>
  <si>
    <t>CF23398</t>
  </si>
  <si>
    <t>27.A59.00</t>
  </si>
  <si>
    <t>DAF: 95XF Series. 75CF series; GINAF; SOLARIS; TEMSA</t>
  </si>
  <si>
    <t xml:space="preserve">C291366/1 </t>
  </si>
  <si>
    <t>E702L</t>
  </si>
  <si>
    <t xml:space="preserve">AF25623 </t>
  </si>
  <si>
    <t>27.A66.C0</t>
  </si>
  <si>
    <t>VOLVO: FH13, NH13, FM13 (2008-&gt;)MBB: ACTROS - OM 501LA / OM541LA IVECO: Tector (2016-&gt;)/ MERCEDES BENZ: Actos (2012- &gt;)</t>
  </si>
  <si>
    <t>AD27747</t>
  </si>
  <si>
    <t>RAD30011</t>
  </si>
  <si>
    <t>27.B80.C0</t>
  </si>
  <si>
    <t xml:space="preserve">SHACMAN DE LONG; KING LONG; LIUGONG; </t>
  </si>
  <si>
    <t>AF25812</t>
  </si>
  <si>
    <t>R000171</t>
  </si>
  <si>
    <t>27.B81.C0</t>
  </si>
  <si>
    <t>AF25813</t>
  </si>
  <si>
    <t>R000172</t>
  </si>
  <si>
    <t>27.C40.C0</t>
  </si>
  <si>
    <t>8003453809543</t>
  </si>
  <si>
    <t>CA9248SY</t>
  </si>
  <si>
    <t>27.C41.C0</t>
  </si>
  <si>
    <t>CASE, CATERPILLAR, KOMATSU</t>
  </si>
  <si>
    <t>C21630/4</t>
  </si>
  <si>
    <t>E672L</t>
  </si>
  <si>
    <t>LX1775</t>
  </si>
  <si>
    <t>AF25964</t>
  </si>
  <si>
    <t>P781039</t>
  </si>
  <si>
    <t>27.C81.C0</t>
  </si>
  <si>
    <t>HINO 700; ISUZU; NISSAN</t>
  </si>
  <si>
    <t>17801-3450L</t>
  </si>
  <si>
    <t>P536577</t>
  </si>
  <si>
    <t>27.E98.C0</t>
  </si>
  <si>
    <t>JOHN DEERE MAQUINA E EQUIPAMENTOS SERIE 100 - 160D LC ESCAVADORA / SERIE 200 - 210LJ CARREGADORA / SERIE 300 - 310J - RETROESCAVADEIRA / 310K - RETROESCAVADEIRA / 326D - MINICARREGADEIRA / SERIE 400 - 410J - RETROESCAVADEIRA / NEW HOLLAND MAQUINA E EQUIPAMENTOS SERIE E - E135B - ESCAVADORAS COM ESTEIRA / E135BSR - ESCAVADORAS COM ESTEIRA</t>
  </si>
  <si>
    <t>YY11P00008S003</t>
  </si>
  <si>
    <t>P611190</t>
  </si>
  <si>
    <t>27.F26.00</t>
  </si>
  <si>
    <t>SCANIA G, L, P, R Series</t>
  </si>
  <si>
    <t xml:space="preserve">C25024 </t>
  </si>
  <si>
    <t>E1568L</t>
  </si>
  <si>
    <t>WAP387</t>
  </si>
  <si>
    <t xml:space="preserve">AF4319 </t>
  </si>
  <si>
    <t>27.G02.C0</t>
  </si>
  <si>
    <t>SHACMAN DE LONG</t>
  </si>
  <si>
    <t xml:space="preserve">SZ919000918 </t>
  </si>
  <si>
    <t>AA2958</t>
  </si>
  <si>
    <t>R000173</t>
  </si>
  <si>
    <t>29.006.C0</t>
  </si>
  <si>
    <t>VOLVO; MACK</t>
  </si>
  <si>
    <t>WA940/9</t>
  </si>
  <si>
    <t>H28WF</t>
  </si>
  <si>
    <t>WFC17</t>
  </si>
  <si>
    <t>PR9592</t>
  </si>
  <si>
    <t>WF2096</t>
  </si>
  <si>
    <t>P552096</t>
  </si>
  <si>
    <t>30.325.00</t>
  </si>
  <si>
    <t>HONDA: CIVIC 1.8 (01/07-); 1.8 16V (01/07-); 1.8 16V FLEX (01/07-)</t>
  </si>
  <si>
    <t>C2240</t>
  </si>
  <si>
    <t>E1177L</t>
  </si>
  <si>
    <t>LX1645</t>
  </si>
  <si>
    <t>ARL1034</t>
  </si>
  <si>
    <t>HLP1034</t>
  </si>
  <si>
    <t>CA10165</t>
  </si>
  <si>
    <t>JFA0429</t>
  </si>
  <si>
    <t>30.373.C0</t>
  </si>
  <si>
    <t>CA9568</t>
  </si>
  <si>
    <t>30.D84.00</t>
  </si>
  <si>
    <t>FORD: Transit TDCI</t>
  </si>
  <si>
    <t xml:space="preserve">C28050 </t>
  </si>
  <si>
    <t>E1447L</t>
  </si>
  <si>
    <t xml:space="preserve">LX935/3 </t>
  </si>
  <si>
    <t xml:space="preserve">CA12613 </t>
  </si>
  <si>
    <t>FAP4879</t>
  </si>
  <si>
    <t xml:space="preserve">AF4354 </t>
  </si>
  <si>
    <t>44.008.C0</t>
  </si>
  <si>
    <t>Urea filter</t>
  </si>
  <si>
    <t>M. BENZ SERIE - ACCELO - 1016 	EURO 5		2012 --&gt; SERIE - ACCELO - 815	EURO 5		2012 --&gt; SERIE - ACTROS - 2546 LS 	EURO 5		2012 --&gt; SERIE - ACTROS - 2646 LS 	EURO 5		2012 --&gt; SERIE - ACTROS - 4844 LS	EURO 5		2012 --&gt; SERIE - ATEGO - 1419	EURO 5		2012 --&gt; SERIE - ATEGO - 1719	EURO 5		2012 --&gt; SERIE - ATEGO - 1726	EURO 5		2012 --&gt; SERIE - ATEGO - 1729S	EURO 5		2012 --&gt; SERIE - ATEGO - 2426	EURO 5		2011 --&gt; SERIE - ATEGO - 2429	EURO 5		2011 --&gt; SERIE - ATEGO - 2430	EURO 5		2014 --&gt; SERIE - ATRON - 131</t>
  </si>
  <si>
    <t>U58/1</t>
  </si>
  <si>
    <t>WEA007</t>
  </si>
  <si>
    <t>UF104</t>
  </si>
  <si>
    <t>53.042.B0</t>
  </si>
  <si>
    <t>53.147.B0</t>
  </si>
  <si>
    <t>TOYOTA: Yaris 1.3 (18-); 1.5 (18-); Corolla 1.8 16V Flex (09-); Corolla, 1.8 Híbrido (19-); 2.0 Flex (19-); RAV 2.0 16V Gasolina (06-); Fielder 1.8 16V Flex (07-); Hilux 3.0 16V SRV Diesel (01-); 2.5 16V Diesel (05-); 3.0 16V Diesel (05-)</t>
  </si>
  <si>
    <t>CU1919/2</t>
  </si>
  <si>
    <t>LA395</t>
  </si>
  <si>
    <t>ACP887</t>
  </si>
  <si>
    <t>AKX1965</t>
  </si>
  <si>
    <t>53.161.B0</t>
  </si>
  <si>
    <t>53.189.B0</t>
  </si>
  <si>
    <t>53.215.B0</t>
  </si>
  <si>
    <t>53.221.C0</t>
  </si>
  <si>
    <t>MERCEDES BENZ: Actros I, Actros II, Zetro.</t>
  </si>
  <si>
    <t>A0008301218</t>
  </si>
  <si>
    <t>CU3855</t>
  </si>
  <si>
    <t>AKX4012</t>
  </si>
  <si>
    <t>AF55722</t>
  </si>
  <si>
    <t>P784473</t>
  </si>
  <si>
    <t>53.233.B0</t>
  </si>
  <si>
    <t>VOLKSWAGEN: UP! 1.0 12V TOTAL FLEX (02/14-)</t>
  </si>
  <si>
    <t>CU26006</t>
  </si>
  <si>
    <t>E2988LI</t>
  </si>
  <si>
    <t>LA1101</t>
  </si>
  <si>
    <t>ACP367</t>
  </si>
  <si>
    <t>FAC367</t>
  </si>
  <si>
    <t>CF11464</t>
  </si>
  <si>
    <t>AKX35280</t>
  </si>
  <si>
    <t>53.243.00</t>
  </si>
  <si>
    <t>BMW: X5 e X6.</t>
  </si>
  <si>
    <t>E3951LI</t>
  </si>
  <si>
    <t xml:space="preserve">LA918 </t>
  </si>
  <si>
    <t xml:space="preserve">CF11505 </t>
  </si>
  <si>
    <t>AKX1512F</t>
  </si>
  <si>
    <t>53.315.B0</t>
  </si>
  <si>
    <t>53.387.B0</t>
  </si>
  <si>
    <t>HYUNDAI: Creta 1.0 12V Turbo 120cv (2021- &gt;); Creta 1.6 (2017- &gt;); Creta 2.0 16V 166cv (2017- &gt;); New Tucson 2.0 16V 166cv (2017- &gt;) / KIA:  Sportage 2.0 16V 157cv (2016- &gt;)</t>
  </si>
  <si>
    <t>CU23019/1</t>
  </si>
  <si>
    <t>E4961LI</t>
  </si>
  <si>
    <t>LA1505</t>
  </si>
  <si>
    <t>ACP983</t>
  </si>
  <si>
    <t>FAC983</t>
  </si>
  <si>
    <t>CF12160</t>
  </si>
  <si>
    <t>AKX1998</t>
  </si>
  <si>
    <t>53.419.C0</t>
  </si>
  <si>
    <t>XCMG XE215BR ESCAVADEIRA / XE150BR ESCAVADEIRA / XE370BR ESCAVADEIRA / LIUGONG 922 ESCAVADEIRA</t>
  </si>
  <si>
    <t>17M9113530</t>
  </si>
  <si>
    <t>AKX4613</t>
  </si>
  <si>
    <t>AF25573</t>
  </si>
  <si>
    <t>P500138</t>
  </si>
  <si>
    <t>53.421.C0</t>
  </si>
  <si>
    <t>NEW HOLLAND ESCAVADEIRAS E135 / E140CSR / E160CBR / E175B / E215B / E225B SR / E225B SRLC / KOBELCO 140SR</t>
  </si>
  <si>
    <t>LQ50V01009P1</t>
  </si>
  <si>
    <t>AKX4604</t>
  </si>
  <si>
    <t>AF56014</t>
  </si>
  <si>
    <t>53.428.C0</t>
  </si>
  <si>
    <t>YN50V01014P1P</t>
  </si>
  <si>
    <t>53.429.C0</t>
  </si>
  <si>
    <t>YN50V01015P3P</t>
  </si>
  <si>
    <t>AKX4603</t>
  </si>
  <si>
    <t>53.430.C0</t>
  </si>
  <si>
    <t>JOHN DEERE; HITACHI.</t>
  </si>
  <si>
    <t>4S00686R - JOHN DEERE</t>
  </si>
  <si>
    <t>AF55754</t>
  </si>
  <si>
    <t>P500248</t>
  </si>
  <si>
    <t>53.455.00</t>
  </si>
  <si>
    <t>VOLVO: FMX II, FM II e FH Series; RENAULT TRUCKS: C, K e T Series</t>
  </si>
  <si>
    <t xml:space="preserve">CU27004 </t>
  </si>
  <si>
    <t>E3938LI</t>
  </si>
  <si>
    <t xml:space="preserve">LA1178 </t>
  </si>
  <si>
    <t>ACP028</t>
  </si>
  <si>
    <t>AKX4015</t>
  </si>
  <si>
    <t xml:space="preserve">AF55827 </t>
  </si>
  <si>
    <t xml:space="preserve">P955737 </t>
  </si>
  <si>
    <t>53.511.00</t>
  </si>
  <si>
    <t>VOLVO: FH Series, FM II Series, FMX Series II</t>
  </si>
  <si>
    <t xml:space="preserve">CU27003 </t>
  </si>
  <si>
    <t xml:space="preserve">AF55817 </t>
  </si>
  <si>
    <t>53.523.00</t>
  </si>
  <si>
    <t>MERCEDES BENZ: GLE Classe Hybrid</t>
  </si>
  <si>
    <t xml:space="preserve">CU19014 </t>
  </si>
  <si>
    <t>E5954LI</t>
  </si>
  <si>
    <t>53.531.00</t>
  </si>
  <si>
    <t>MERCEDES BENZ: Actros, Antos, Arocs Bluetec 5/6/EEV.</t>
  </si>
  <si>
    <t xml:space="preserve">CU32011/1 </t>
  </si>
  <si>
    <t>E2986LI01</t>
  </si>
  <si>
    <t>53.554.00</t>
  </si>
  <si>
    <t>DAF: XF II Series; XG XG+ Series.</t>
  </si>
  <si>
    <t xml:space="preserve">CU17009-2 </t>
  </si>
  <si>
    <t>E6962LI-2</t>
  </si>
  <si>
    <t>54.430.00</t>
  </si>
  <si>
    <t>JAGUAR: E-Pace; LAND ROVER: Discovery Sport, Range Rover Evoque</t>
  </si>
  <si>
    <t xml:space="preserve">CUK28016 </t>
  </si>
  <si>
    <t>E5979LC</t>
  </si>
  <si>
    <t xml:space="preserve">LAK1137 </t>
  </si>
  <si>
    <t>76.244.C0</t>
  </si>
  <si>
    <t>HITACHI: ZX200; ZX210; SANY; JOHN DEERE;</t>
  </si>
  <si>
    <t>60980004262，4448402</t>
  </si>
  <si>
    <t>77.039.C0</t>
  </si>
  <si>
    <t>HYUNDAI; VOLVO</t>
  </si>
  <si>
    <t>31MH-20520</t>
  </si>
  <si>
    <t>R010088</t>
  </si>
  <si>
    <t>80.043.C0</t>
  </si>
  <si>
    <t xml:space="preserve">KOMATSU ; KOBELCO；YUCHAI </t>
  </si>
  <si>
    <t xml:space="preserve"> M3000-1012240A/640-1012240/M33Y1-1012240B</t>
  </si>
  <si>
    <t>80.154.C0</t>
  </si>
  <si>
    <t>CATERPILLAR SERIE 300 - 320B/ L / SERIE 300 - 325C / SERIE 300 - 330C / SERIE 500 - 554 / SERIE M - M325B ESCAVADORAS COM RODAS / SERIE M - M330D ESCAVADORAS COM RODAS / SERIE W - W330B / SERIE W - W345C</t>
  </si>
  <si>
    <t>60277731，C45702411</t>
  </si>
  <si>
    <t>W935/2</t>
  </si>
  <si>
    <t>PSH305</t>
  </si>
  <si>
    <t>WOH217</t>
  </si>
  <si>
    <t>HF35018</t>
  </si>
  <si>
    <t>P551348</t>
  </si>
  <si>
    <t>82.153.C0</t>
  </si>
  <si>
    <t>STRONG HITACHI</t>
  </si>
  <si>
    <t>4210224，MS1808</t>
  </si>
  <si>
    <t>87.031.C0</t>
  </si>
  <si>
    <t>CATERPILLAR ESCAVADORA SERIE 300 - 307 MOTOR MITSUBISHI 4D32 / 308C MOTOR MITSUBISHI 4M40 / 312 MOTOR CATERPILLAR 3064T / 320D MOTOR CATERPILLAR C6.4</t>
  </si>
  <si>
    <t>KHJ10950，5I-8670X</t>
  </si>
  <si>
    <t>WOH302</t>
  </si>
  <si>
    <t>HF35519</t>
  </si>
  <si>
    <t>P573481</t>
  </si>
  <si>
    <t>87.032.C0</t>
  </si>
  <si>
    <t>HITACHI MAQUINAS E EQUIPAMENTOS ZX450 ZX450LC MOTOR ISUZU 6WG1TQA / ZX200-3 / ZX270-3 / ZX280LCH MOTOR ISUZU 2006 --&gt; / ZX520LCH MOTOR ISUZU 2006 --&gt; / ZX470LC MOTOR ISUZU 2015 --&gt;</t>
  </si>
  <si>
    <t>WOH223</t>
  </si>
  <si>
    <t>Preço c/ ICMS, Pis e Cofins</t>
  </si>
  <si>
    <t>Preço c/ ICMS, Pis, Cofins e IPI</t>
  </si>
  <si>
    <t>WK8100</t>
  </si>
  <si>
    <t>RC910FM</t>
  </si>
  <si>
    <t>AKX4016F</t>
  </si>
  <si>
    <t>muti</t>
  </si>
  <si>
    <t>Valor TOTAL C/ IPI</t>
  </si>
  <si>
    <t xml:space="preserve">HU612/1X </t>
  </si>
  <si>
    <t xml:space="preserve">E146HD108 </t>
  </si>
  <si>
    <t xml:space="preserve">OX382D </t>
  </si>
  <si>
    <t xml:space="preserve">CH10054ECO </t>
  </si>
  <si>
    <t>25.188.C0</t>
  </si>
  <si>
    <t xml:space="preserve">HU6014/1Z </t>
  </si>
  <si>
    <t xml:space="preserve">E362HD313   </t>
  </si>
  <si>
    <t xml:space="preserve">OX813/1D </t>
  </si>
  <si>
    <t xml:space="preserve">CH11913ECO </t>
  </si>
  <si>
    <t>25.311.B0</t>
  </si>
  <si>
    <t>John Deere: 1270D, 1710D, 4920, 8120, 8220, 8320, 8420T, 8520, 9120, 9750ST - N. Original J. Deere: RE509672</t>
  </si>
  <si>
    <t>JOHN DEERE RE509672</t>
  </si>
  <si>
    <t>HU12015X</t>
  </si>
  <si>
    <t>E714HD561</t>
  </si>
  <si>
    <t>OX972D</t>
  </si>
  <si>
    <t>PEL2005</t>
  </si>
  <si>
    <t>LE2005</t>
  </si>
  <si>
    <t>CH10857</t>
  </si>
  <si>
    <t>WOE815</t>
  </si>
  <si>
    <t>LF16043</t>
  </si>
  <si>
    <t>REL812</t>
  </si>
  <si>
    <t>P550938</t>
  </si>
  <si>
    <t>25.708.00</t>
  </si>
  <si>
    <t>CATERPILLAR: 400 Series, 500 Series, 900 Series, IT Series e V Series.</t>
  </si>
  <si>
    <t>H8012</t>
  </si>
  <si>
    <t>EY909H</t>
  </si>
  <si>
    <t>LF3733</t>
  </si>
  <si>
    <t>P550927</t>
  </si>
  <si>
    <t>25.909.00</t>
  </si>
  <si>
    <t>CATERPILLAR: 300 Series, M Series.</t>
  </si>
  <si>
    <t>EY893HD395</t>
  </si>
  <si>
    <t>WEH020</t>
  </si>
  <si>
    <t>HF35195</t>
  </si>
  <si>
    <t>P550577</t>
  </si>
  <si>
    <t>26.010.C0</t>
  </si>
  <si>
    <t>KX182D</t>
  </si>
  <si>
    <t>FF5463</t>
  </si>
  <si>
    <t>P550653</t>
  </si>
  <si>
    <t>26.226.B0</t>
  </si>
  <si>
    <t xml:space="preserve">VOLVO: VM 330, 220 e 270Motores MWM </t>
  </si>
  <si>
    <t>160603020055A,GLQ009186865,SFS0032</t>
  </si>
  <si>
    <t>FCD0818</t>
  </si>
  <si>
    <t>RE120J30MAQII</t>
  </si>
  <si>
    <t>26.H2O.07</t>
  </si>
  <si>
    <t>FIAT: Ducato 2.2 Multijet</t>
  </si>
  <si>
    <t>27.351.00</t>
  </si>
  <si>
    <t>CATERPILLAR: 3000 Series, G Series.</t>
  </si>
  <si>
    <t>E583L</t>
  </si>
  <si>
    <t>CA7490</t>
  </si>
  <si>
    <t>AF4609</t>
  </si>
  <si>
    <t>P181126</t>
  </si>
  <si>
    <t>27.A16.00</t>
  </si>
  <si>
    <t>DAF: 65CF, 75CF Series; GINAF: X Series.</t>
  </si>
  <si>
    <t>C27998/3</t>
  </si>
  <si>
    <t>E542L</t>
  </si>
  <si>
    <t>LX1278</t>
  </si>
  <si>
    <t>AF25976</t>
  </si>
  <si>
    <t>P785353</t>
  </si>
  <si>
    <t>27.C68.00</t>
  </si>
  <si>
    <t>AF4874</t>
  </si>
  <si>
    <t>P523048</t>
  </si>
  <si>
    <t>27.J64.B0</t>
  </si>
  <si>
    <t>Caterpillar (416 - Serie F - 420F / 430F) CLASS ARION(410-460 FPT) FENDT 500 VARIO-SERIE(512,513,514,516 VARIOSCR)</t>
  </si>
  <si>
    <t>3466688 / CATERPILLAR</t>
  </si>
  <si>
    <t>CF2631</t>
  </si>
  <si>
    <t>WAP175/S</t>
  </si>
  <si>
    <t>27.J65.B0</t>
  </si>
  <si>
    <t>CARTEPILLAR - N. ORIGINAL CATERPILLAR: 2277449</t>
  </si>
  <si>
    <t xml:space="preserve">CATERPILLAR 2277449 ; </t>
  </si>
  <si>
    <t>CF2135</t>
  </si>
  <si>
    <t>AR7449</t>
  </si>
  <si>
    <t>AF26248</t>
  </si>
  <si>
    <t>P785965</t>
  </si>
  <si>
    <t>30.629.00</t>
  </si>
  <si>
    <t>IVECO: Daily (MY 2011 e MY2014)</t>
  </si>
  <si>
    <t>C40001</t>
  </si>
  <si>
    <t>E1128L</t>
  </si>
  <si>
    <t>LX3583</t>
  </si>
  <si>
    <t>ARL7096</t>
  </si>
  <si>
    <t>CA11813</t>
  </si>
  <si>
    <t>FAP7001</t>
  </si>
  <si>
    <t>30.E57.00</t>
  </si>
  <si>
    <t>MERCEDES BENZ: C Classe, CLS Classe, E Cabrio, E Classe, GL Classe, M Classe, R Classe.</t>
  </si>
  <si>
    <t>C29035-2</t>
  </si>
  <si>
    <t>E1328L2</t>
  </si>
  <si>
    <t>LX3885/S</t>
  </si>
  <si>
    <t>JFA0W11-2</t>
  </si>
  <si>
    <t>30.E58.00</t>
  </si>
  <si>
    <t>RENAULT: Duster, Kaptur, Arkana 1.3.</t>
  </si>
  <si>
    <t>LX5867</t>
  </si>
  <si>
    <t>CA12656</t>
  </si>
  <si>
    <t>FAP9306</t>
  </si>
  <si>
    <t>53.253.C0</t>
  </si>
  <si>
    <t xml:space="preserve">CU1721-2 </t>
  </si>
  <si>
    <t xml:space="preserve">LA873/S </t>
  </si>
  <si>
    <t xml:space="preserve">CF11532-2 </t>
  </si>
  <si>
    <t>53.635.B0</t>
  </si>
  <si>
    <t>JCB: 3CX 4T 4CX</t>
  </si>
  <si>
    <t>CU4330</t>
  </si>
  <si>
    <t>E5978LI</t>
  </si>
  <si>
    <t>ACP629</t>
  </si>
  <si>
    <t>AKX4618</t>
  </si>
  <si>
    <t>AF55767</t>
  </si>
  <si>
    <t>54.227.00</t>
  </si>
  <si>
    <t>RENAULT: Captur, Clio IV.</t>
  </si>
  <si>
    <t>272779683R</t>
  </si>
  <si>
    <t>CUK22011</t>
  </si>
  <si>
    <t>DPX0250NFC</t>
  </si>
  <si>
    <t>PALL</t>
  </si>
  <si>
    <t>HC0162FDS10H</t>
  </si>
  <si>
    <t>ST2123</t>
  </si>
  <si>
    <t>P571375</t>
  </si>
  <si>
    <t>EPB13NFB</t>
  </si>
  <si>
    <t>JCB: Fastrac Series.</t>
  </si>
  <si>
    <t>9313222</t>
  </si>
  <si>
    <t>HF30062</t>
  </si>
  <si>
    <t>933246Q</t>
  </si>
  <si>
    <t>P165043</t>
  </si>
  <si>
    <t>ERA21NFD</t>
  </si>
  <si>
    <t>SCHILTRAC; JYDELAND; ALMAC ITALIA</t>
  </si>
  <si>
    <t>ERA5ANCD</t>
  </si>
  <si>
    <t>HF7911</t>
  </si>
  <si>
    <t>ESC81XMF</t>
  </si>
  <si>
    <t>FINLAY</t>
  </si>
  <si>
    <t>P171697</t>
  </si>
  <si>
    <t>24.A77.B0</t>
  </si>
  <si>
    <t>RC907FM</t>
  </si>
  <si>
    <t xml:space="preserve">JOHN DEERE: 7720 MOTOR 6068H - S430, S440, S550  6.8 LITROS </t>
  </si>
  <si>
    <t>WK8187</t>
  </si>
  <si>
    <t>RC908FM</t>
  </si>
  <si>
    <t xml:space="preserve">JOHN DEERE: 1165 (COLHEITADEIRA SÉRIE 45026) JD6068T </t>
  </si>
  <si>
    <t>WK8102</t>
  </si>
  <si>
    <t>RC911FM</t>
  </si>
  <si>
    <t xml:space="preserve">JOHN DEERE: 3100 MOTOR 4039DRT65 (96-&gt;98) </t>
  </si>
  <si>
    <t>WK8118</t>
  </si>
  <si>
    <t>RC909FM</t>
  </si>
  <si>
    <t>Disponível</t>
  </si>
  <si>
    <t>CFW0771B</t>
  </si>
  <si>
    <t>W 712/83</t>
  </si>
  <si>
    <t>P551864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</si>
</sst>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00000000"/>
    <numFmt numFmtId="166" formatCode="_-* #,##0.000_-;\-* #,##0.000_-;_-* &quot;-&quot;??_-;_-@_-"/>
    <numFmt numFmtId="167" formatCode="[$-416]mmm\,\ yy;@"/>
    <numFmt numFmtId="168" formatCode="_(* #,##0.0000_);_(* \(#,##0.0000\);_(* &quot;-&quot;??_);_(@_)"/>
  </numFmts>
  <fonts count="21" x14ac:knownFonts="1">
    <font>
      <sz val="12"/>
      <color theme="1"/>
      <name val="Calibri"/>
      <family val="2"/>
      <scheme val="minor"/>
    </font>
    <font>
      <sz val="11"/>
      <color theme="1"/>
      <name val="Calibri"/>
      <family val="2"/>
      <scheme val="minor"/>
    </font>
    <font>
      <sz val="12"/>
      <color theme="1"/>
      <name val="Calibri"/>
      <family val="2"/>
      <scheme val="minor"/>
    </font>
    <font>
      <sz val="10"/>
      <color theme="1"/>
      <name val="Calibri"/>
      <family val="2"/>
      <scheme val="minor"/>
    </font>
    <font>
      <sz val="12"/>
      <color theme="0"/>
      <name val="Calibri"/>
      <family val="2"/>
      <scheme val="minor"/>
    </font>
    <font>
      <sz val="11"/>
      <color theme="1"/>
      <name val="Calibri"/>
      <family val="2"/>
      <scheme val="minor"/>
    </font>
    <font>
      <b/>
      <sz val="12"/>
      <color theme="1"/>
      <name val="Calibri"/>
      <family val="2"/>
      <scheme val="minor"/>
    </font>
    <font>
      <b/>
      <sz val="10"/>
      <color theme="0"/>
      <name val="Avenir Next LT Pro"/>
      <family val="2"/>
    </font>
    <font>
      <b/>
      <sz val="14"/>
      <color theme="1"/>
      <name val="Calibri"/>
      <family val="2"/>
      <scheme val="minor"/>
    </font>
    <font>
      <b/>
      <sz val="8"/>
      <color theme="1"/>
      <name val="Calibri"/>
      <family val="2"/>
      <scheme val="minor"/>
    </font>
    <font>
      <b/>
      <sz val="10"/>
      <color theme="1"/>
      <name val="Calibri"/>
      <family val="2"/>
      <scheme val="minor"/>
    </font>
    <font>
      <b/>
      <sz val="10"/>
      <color theme="0"/>
      <name val="Calibri"/>
      <family val="2"/>
      <scheme val="minor"/>
    </font>
    <font>
      <b/>
      <sz val="11"/>
      <color theme="1"/>
      <name val="Calibri"/>
      <family val="2"/>
      <scheme val="minor"/>
    </font>
    <font>
      <b/>
      <sz val="9"/>
      <color theme="0"/>
      <name val="Roboto"/>
    </font>
    <font>
      <b/>
      <sz val="9"/>
      <color theme="1"/>
      <name val="Roboto"/>
      <family val="2"/>
    </font>
    <font>
      <b/>
      <sz val="9"/>
      <color rgb="FFFF0000"/>
      <name val="Roboto"/>
    </font>
    <font>
      <b/>
      <sz val="12"/>
      <color theme="0"/>
      <name val="Calibri"/>
      <family val="2"/>
      <scheme val="minor"/>
    </font>
    <font>
      <sz val="12"/>
      <name val="Calibri"/>
      <family val="2"/>
      <scheme val="minor"/>
    </font>
    <font>
      <b/>
      <sz val="10"/>
      <name val="Avenir Next LT Pro"/>
      <family val="2"/>
    </font>
    <font>
      <b/>
      <sz val="12"/>
      <name val="Calibri"/>
      <family val="2"/>
      <scheme val="minor"/>
    </font>
    <font>
      <sz val="9"/>
      <color theme="1"/>
      <name val="Calibri"/>
      <family val="2"/>
      <scheme val="minor"/>
    </font>
  </fonts>
  <fills count="9">
    <fill>
      <patternFill patternType="none"/>
    </fill>
    <fill>
      <patternFill patternType="gray125"/>
    </fill>
    <fill>
      <patternFill patternType="solid">
        <fgColor rgb="FF001489"/>
        <bgColor indexed="64"/>
      </patternFill>
    </fill>
    <fill>
      <patternFill patternType="solid">
        <fgColor rgb="FFCCFFFF"/>
        <bgColor indexed="64"/>
      </patternFill>
    </fill>
    <fill>
      <patternFill patternType="solid">
        <fgColor rgb="FFCDCCE4"/>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C00000"/>
        <bgColor indexed="64"/>
      </patternFill>
    </fill>
    <fill>
      <patternFill patternType="solid">
        <fgColor theme="5"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right style="hair">
        <color rgb="FF001489"/>
      </right>
      <top style="hair">
        <color rgb="FF001489"/>
      </top>
      <bottom style="hair">
        <color rgb="FF00148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bottom/>
      <diagonal/>
    </border>
    <border>
      <left style="thin">
        <color theme="0"/>
      </left>
      <right/>
      <top style="thin">
        <color theme="0"/>
      </top>
      <bottom/>
      <diagonal/>
    </border>
    <border>
      <left style="thin">
        <color theme="1"/>
      </left>
      <right/>
      <top style="thin">
        <color theme="1"/>
      </top>
      <bottom style="thin">
        <color theme="1"/>
      </bottom>
      <diagonal/>
    </border>
  </borders>
  <cellStyleXfs count="10">
    <xf numFmtId="0" fontId="0" fillId="0" borderId="0"/>
    <xf numFmtId="9" fontId="2" fillId="0" borderId="0" applyFont="0" applyFill="0" applyBorder="0" applyAlignment="0" applyProtection="0"/>
    <xf numFmtId="164" fontId="2" fillId="0" borderId="0" applyFont="0" applyFill="0" applyBorder="0" applyAlignment="0" applyProtection="0"/>
    <xf numFmtId="0" fontId="5"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68">
    <xf numFmtId="0" fontId="0" fillId="0" borderId="0" xfId="0"/>
    <xf numFmtId="0" fontId="4" fillId="0" borderId="0" xfId="0" applyFont="1"/>
    <xf numFmtId="0" fontId="7" fillId="2" borderId="2" xfId="0" applyFont="1" applyFill="1" applyBorder="1" applyAlignment="1">
      <alignment vertical="center"/>
    </xf>
    <xf numFmtId="0" fontId="7" fillId="2" borderId="3" xfId="0" applyFont="1" applyFill="1" applyBorder="1" applyAlignment="1">
      <alignment vertical="center"/>
    </xf>
    <xf numFmtId="0" fontId="7" fillId="2" borderId="4" xfId="0" applyFont="1" applyFill="1" applyBorder="1" applyAlignment="1">
      <alignmen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4" fontId="6" fillId="3" borderId="1" xfId="0" applyNumberFormat="1" applyFont="1" applyFill="1" applyBorder="1" applyAlignment="1">
      <alignment horizontal="center" vertical="center"/>
    </xf>
    <xf numFmtId="164" fontId="8" fillId="3" borderId="1" xfId="2" applyFont="1" applyFill="1" applyBorder="1" applyAlignment="1">
      <alignment horizontal="center" vertical="center"/>
    </xf>
    <xf numFmtId="0" fontId="3" fillId="0" borderId="7" xfId="0" applyFont="1" applyBorder="1" applyAlignment="1">
      <alignment horizontal="center" vertical="center"/>
    </xf>
    <xf numFmtId="0" fontId="6" fillId="3" borderId="7" xfId="0" applyFont="1" applyFill="1" applyBorder="1" applyAlignment="1">
      <alignment horizontal="center" vertical="center"/>
    </xf>
    <xf numFmtId="0" fontId="3" fillId="0" borderId="7" xfId="0" quotePrefix="1" applyFont="1" applyBorder="1" applyAlignment="1">
      <alignment horizontal="center" vertical="center"/>
    </xf>
    <xf numFmtId="10" fontId="3" fillId="0" borderId="7" xfId="1" applyNumberFormat="1" applyFont="1" applyBorder="1" applyAlignment="1">
      <alignment horizontal="center" vertical="center"/>
    </xf>
    <xf numFmtId="165" fontId="3" fillId="0" borderId="7" xfId="0" applyNumberFormat="1" applyFont="1" applyBorder="1" applyAlignment="1">
      <alignment horizontal="center" vertical="center"/>
    </xf>
    <xf numFmtId="166" fontId="3" fillId="0" borderId="7" xfId="2"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9" fontId="0" fillId="0" borderId="0" xfId="1" applyFont="1"/>
    <xf numFmtId="0" fontId="7" fillId="2" borderId="0" xfId="0" applyFont="1" applyFill="1" applyAlignment="1">
      <alignment vertical="center"/>
    </xf>
    <xf numFmtId="0" fontId="9" fillId="4" borderId="8" xfId="0" applyFont="1" applyFill="1" applyBorder="1" applyAlignment="1" applyProtection="1">
      <alignment horizontal="center" vertical="center"/>
      <protection locked="0"/>
    </xf>
    <xf numFmtId="9" fontId="0" fillId="0" borderId="0" xfId="0" applyNumberFormat="1"/>
    <xf numFmtId="0" fontId="10" fillId="5" borderId="1" xfId="0" applyFont="1" applyFill="1" applyBorder="1" applyAlignment="1">
      <alignment horizontal="center" vertical="center" wrapText="1"/>
    </xf>
    <xf numFmtId="14" fontId="10" fillId="5" borderId="1" xfId="0" applyNumberFormat="1" applyFont="1" applyFill="1" applyBorder="1" applyAlignment="1">
      <alignment horizontal="center" vertical="center" wrapText="1"/>
    </xf>
    <xf numFmtId="164" fontId="10" fillId="5" borderId="1" xfId="2" applyFont="1" applyFill="1" applyBorder="1" applyAlignment="1">
      <alignment horizontal="center" vertical="center" wrapText="1"/>
    </xf>
    <xf numFmtId="0" fontId="11" fillId="2" borderId="1" xfId="0" applyFont="1" applyFill="1" applyBorder="1" applyAlignment="1">
      <alignment horizontal="center" vertical="center" wrapText="1"/>
    </xf>
    <xf numFmtId="164" fontId="12" fillId="5" borderId="12" xfId="2" applyFont="1" applyFill="1" applyBorder="1" applyAlignment="1">
      <alignment horizontal="center" vertical="center" wrapText="1"/>
    </xf>
    <xf numFmtId="0" fontId="12" fillId="5" borderId="15" xfId="0" applyFont="1" applyFill="1" applyBorder="1" applyAlignment="1">
      <alignment horizontal="center" vertical="center"/>
    </xf>
    <xf numFmtId="164" fontId="12" fillId="5" borderId="15" xfId="2"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 xfId="0" applyFont="1" applyFill="1" applyBorder="1" applyAlignment="1">
      <alignment horizontal="center" vertical="center" wrapText="1"/>
    </xf>
    <xf numFmtId="164" fontId="0" fillId="0" borderId="1" xfId="2" applyFont="1" applyBorder="1"/>
    <xf numFmtId="10" fontId="15" fillId="0" borderId="1" xfId="1" applyNumberFormat="1" applyFont="1" applyBorder="1"/>
    <xf numFmtId="10" fontId="0" fillId="0" borderId="1" xfId="1" applyNumberFormat="1" applyFont="1" applyBorder="1" applyAlignment="1">
      <alignment horizontal="center"/>
    </xf>
    <xf numFmtId="0" fontId="12" fillId="5" borderId="12" xfId="0" applyFont="1" applyFill="1" applyBorder="1" applyAlignment="1">
      <alignment horizontal="center" vertical="center"/>
    </xf>
    <xf numFmtId="0" fontId="14" fillId="0" borderId="1" xfId="0" applyFont="1" applyBorder="1" applyAlignment="1">
      <alignment horizontal="center"/>
    </xf>
    <xf numFmtId="0" fontId="0" fillId="0" borderId="0" xfId="0" applyAlignment="1">
      <alignment horizontal="center"/>
    </xf>
    <xf numFmtId="10" fontId="13" fillId="6" borderId="1" xfId="1" applyNumberFormat="1" applyFont="1" applyFill="1" applyBorder="1" applyAlignment="1">
      <alignment horizontal="center"/>
    </xf>
    <xf numFmtId="0" fontId="16" fillId="7" borderId="7" xfId="0" applyFont="1" applyFill="1" applyBorder="1" applyAlignment="1">
      <alignment horizontal="center" vertical="center"/>
    </xf>
    <xf numFmtId="0" fontId="7" fillId="2" borderId="0" xfId="0" applyFont="1" applyFill="1" applyAlignment="1">
      <alignment horizontal="center" vertical="center" wrapText="1"/>
    </xf>
    <xf numFmtId="0" fontId="7" fillId="2" borderId="17" xfId="0" applyFont="1" applyFill="1" applyBorder="1" applyAlignment="1">
      <alignment horizontal="center" vertical="center" wrapText="1"/>
    </xf>
    <xf numFmtId="2" fontId="6" fillId="3" borderId="18" xfId="0" applyNumberFormat="1" applyFont="1" applyFill="1" applyBorder="1" applyAlignment="1">
      <alignment horizontal="center" vertical="center"/>
    </xf>
    <xf numFmtId="2" fontId="6" fillId="8" borderId="18" xfId="0" applyNumberFormat="1" applyFont="1" applyFill="1" applyBorder="1" applyAlignment="1">
      <alignment horizontal="center" vertical="center"/>
    </xf>
    <xf numFmtId="3" fontId="8" fillId="3" borderId="11" xfId="0" applyNumberFormat="1" applyFont="1" applyFill="1" applyBorder="1" applyAlignment="1">
      <alignment horizontal="center" vertical="center"/>
    </xf>
    <xf numFmtId="0" fontId="3" fillId="0" borderId="11" xfId="0" applyFont="1" applyBorder="1" applyAlignment="1">
      <alignment horizontal="center" vertical="center"/>
    </xf>
    <xf numFmtId="0" fontId="17" fillId="0" borderId="16" xfId="0" applyFont="1" applyBorder="1"/>
    <xf numFmtId="0" fontId="18" fillId="0" borderId="16" xfId="0" applyFont="1" applyBorder="1" applyAlignment="1">
      <alignment vertical="center"/>
    </xf>
    <xf numFmtId="0" fontId="18" fillId="0" borderId="16" xfId="0" applyFont="1" applyBorder="1" applyAlignment="1">
      <alignment horizontal="center" vertical="center" wrapText="1"/>
    </xf>
    <xf numFmtId="0" fontId="19" fillId="0" borderId="16" xfId="0" applyFont="1" applyBorder="1" applyAlignment="1">
      <alignment horizontal="center" vertical="center"/>
    </xf>
    <xf numFmtId="0" fontId="17" fillId="0" borderId="0" xfId="0" applyFont="1"/>
    <xf numFmtId="2" fontId="6" fillId="3"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168" fontId="0" fillId="0" borderId="0" xfId="2" applyNumberFormat="1" applyFont="1"/>
    <xf numFmtId="0" fontId="20" fillId="0" borderId="1" xfId="0" applyFont="1" applyBorder="1" applyAlignment="1">
      <alignment horizontal="center"/>
    </xf>
    <xf numFmtId="0" fontId="20" fillId="0" borderId="1" xfId="0" applyFont="1" applyBorder="1" applyAlignment="1">
      <alignment horizontal="center" vertical="center"/>
    </xf>
    <xf numFmtId="14" fontId="20" fillId="0" borderId="1" xfId="0" applyNumberFormat="1" applyFont="1" applyBorder="1" applyAlignment="1">
      <alignment horizontal="center"/>
    </xf>
    <xf numFmtId="2" fontId="20" fillId="0" borderId="1" xfId="0" applyNumberFormat="1" applyFont="1" applyBorder="1" applyAlignment="1">
      <alignment horizontal="center"/>
    </xf>
    <xf numFmtId="14" fontId="20" fillId="0" borderId="1" xfId="0" applyNumberFormat="1" applyFont="1" applyBorder="1" applyAlignment="1">
      <alignment horizontal="center" vertical="center"/>
    </xf>
    <xf numFmtId="164" fontId="20" fillId="0" borderId="1" xfId="2" applyFont="1" applyBorder="1" applyAlignment="1">
      <alignment horizontal="right"/>
    </xf>
    <xf numFmtId="0" fontId="20" fillId="0" borderId="1" xfId="0" applyFont="1" applyBorder="1" applyAlignment="1">
      <alignment horizontal="right"/>
    </xf>
    <xf numFmtId="164" fontId="20" fillId="0" borderId="1" xfId="2" applyFont="1" applyBorder="1" applyAlignment="1">
      <alignment horizontal="right" vertical="center"/>
    </xf>
    <xf numFmtId="17" fontId="20" fillId="0" borderId="1" xfId="0" applyNumberFormat="1" applyFont="1" applyBorder="1" applyAlignment="1">
      <alignment horizontal="center" vertical="center"/>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13" fillId="2" borderId="13" xfId="0" applyFont="1" applyFill="1" applyBorder="1" applyAlignment="1">
      <alignment horizontal="center" vertical="center" wrapText="1"/>
    </xf>
    <xf numFmtId="0" fontId="13" fillId="2" borderId="14" xfId="0" applyFont="1" applyFill="1" applyBorder="1" applyAlignment="1">
      <alignment horizontal="center" vertical="center" wrapText="1"/>
    </xf>
  </cellXfs>
  <cellStyles count="10">
    <cellStyle name="Normal" xfId="0" builtinId="0"/>
    <cellStyle name="Normal 2" xfId="3" xr:uid="{00000000-0005-0000-0000-000001000000}"/>
    <cellStyle name="Normal 3" xfId="4" xr:uid="{00000000-0005-0000-0000-000002000000}"/>
    <cellStyle name="Porcentagem" xfId="1" builtinId="5"/>
    <cellStyle name="Porcentagem 2" xfId="6" xr:uid="{00000000-0005-0000-0000-000004000000}"/>
    <cellStyle name="Vírgula" xfId="2" builtinId="3"/>
    <cellStyle name="Vírgula 2" xfId="8" xr:uid="{00000000-0005-0000-0000-000006000000}"/>
    <cellStyle name="Vírgula 3" xfId="9" xr:uid="{00000000-0005-0000-0000-000007000000}"/>
    <cellStyle name="Vírgula 4" xfId="7" xr:uid="{00000000-0005-0000-0000-000008000000}"/>
    <cellStyle name="Vírgula 5" xfId="5" xr:uid="{00000000-0005-0000-0000-000009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35"/>
  <sheetViews>
    <sheetView tabSelected="1" zoomScale="85" zoomScaleNormal="85" workbookViewId="0">
      <pane xSplit="4" ySplit="3" topLeftCell="E331" activePane="bottomRight" state="frozen"/>
      <selection pane="topRight" activeCell="F1" sqref="F1"/>
      <selection pane="bottomLeft" activeCell="A4" sqref="A4"/>
      <selection pane="bottomRight" activeCell="U347" sqref="U347"/>
    </sheetView>
  </sheetViews>
  <sheetFormatPr defaultColWidth="8.75" defaultRowHeight="15.75" outlineLevelCol="1" x14ac:dyDescent="0.25"/>
  <cols>
    <col min="1" max="1" width="14.75" bestFit="1" customWidth="1"/>
    <col min="2" max="2" width="41.75" hidden="1" customWidth="1" outlineLevel="1"/>
    <col min="3" max="3" width="17.75" hidden="1" customWidth="1" outlineLevel="1"/>
    <col min="4" max="4" width="17.25" hidden="1" customWidth="1" outlineLevel="1"/>
    <col min="5" max="5" width="7.75" customWidth="1" collapsed="1"/>
    <col min="6" max="6" width="11.25" hidden="1" customWidth="1" outlineLevel="1"/>
    <col min="7" max="7" width="8.375" customWidth="1" collapsed="1"/>
    <col min="8" max="8" width="12.25" hidden="1" customWidth="1" outlineLevel="1"/>
    <col min="9" max="9" width="8.25" hidden="1" customWidth="1" outlineLevel="1"/>
    <col min="10" max="10" width="7.5" hidden="1" customWidth="1" outlineLevel="1"/>
    <col min="11" max="11" width="11.25" hidden="1" customWidth="1" outlineLevel="1"/>
    <col min="12" max="12" width="7" hidden="1" customWidth="1" outlineLevel="1"/>
    <col min="13" max="13" width="20.75" hidden="1" customWidth="1" outlineLevel="1"/>
    <col min="14" max="14" width="11.75" hidden="1" customWidth="1" outlineLevel="1"/>
    <col min="15" max="15" width="9.25" hidden="1" customWidth="1" outlineLevel="1"/>
    <col min="16" max="16" width="14.5" hidden="1" customWidth="1" outlineLevel="1" collapsed="1"/>
    <col min="17" max="17" width="72.75" customWidth="1" collapsed="1"/>
    <col min="18" max="18" width="14.75" customWidth="1"/>
    <col min="19" max="21" width="9.5" customWidth="1"/>
    <col min="22" max="25" width="9.5" hidden="1" customWidth="1" outlineLevel="1"/>
    <col min="26" max="26" width="10.75" customWidth="1" collapsed="1"/>
    <col min="27" max="27" width="9.5" customWidth="1"/>
    <col min="28" max="28" width="10" customWidth="1"/>
    <col min="29" max="29" width="8.5" customWidth="1"/>
    <col min="30" max="30" width="12.375" hidden="1" customWidth="1"/>
    <col min="31" max="31" width="13.75" customWidth="1"/>
    <col min="32" max="32" width="9.25" style="49" customWidth="1"/>
    <col min="33" max="33" width="14.75" bestFit="1" customWidth="1"/>
    <col min="34" max="34" width="14.75" customWidth="1"/>
    <col min="38" max="38" width="10.625" bestFit="1" customWidth="1"/>
  </cols>
  <sheetData>
    <row r="1" spans="1:38" ht="11.45" customHeight="1" x14ac:dyDescent="0.25">
      <c r="AF1" s="45"/>
      <c r="AG1" s="63" t="s">
        <v>0</v>
      </c>
      <c r="AH1" s="63"/>
    </row>
    <row r="2" spans="1:38" ht="16.149999999999999" customHeight="1" x14ac:dyDescent="0.25">
      <c r="A2" s="3"/>
      <c r="B2" s="3"/>
      <c r="C2" s="3"/>
      <c r="D2" s="3"/>
      <c r="E2" s="3"/>
      <c r="F2" s="3"/>
      <c r="G2" s="4"/>
      <c r="H2" s="2" t="s">
        <v>1</v>
      </c>
      <c r="I2" s="3"/>
      <c r="J2" s="3"/>
      <c r="K2" s="3"/>
      <c r="L2" s="3"/>
      <c r="M2" s="2" t="s">
        <v>2</v>
      </c>
      <c r="N2" s="3"/>
      <c r="O2" s="3"/>
      <c r="P2" s="3"/>
      <c r="Q2" s="4"/>
      <c r="R2" s="2" t="s">
        <v>3</v>
      </c>
      <c r="S2" s="3"/>
      <c r="T2" s="3"/>
      <c r="U2" s="3"/>
      <c r="V2" s="3"/>
      <c r="W2" s="3"/>
      <c r="X2" s="3"/>
      <c r="Y2" s="3"/>
      <c r="Z2" s="3"/>
      <c r="AA2" s="3"/>
      <c r="AB2" s="4"/>
      <c r="AC2" s="19"/>
      <c r="AD2" s="1"/>
      <c r="AE2" s="1"/>
      <c r="AF2" s="46"/>
      <c r="AG2" s="43">
        <f>SUBTOTAL(9,AG4:AG1560)</f>
        <v>0</v>
      </c>
      <c r="AH2" s="8">
        <f>SUBTOTAL(9,AH4:AH1560)</f>
        <v>0</v>
      </c>
    </row>
    <row r="3" spans="1:38" ht="60" customHeight="1" x14ac:dyDescent="0.25">
      <c r="A3" s="5" t="s">
        <v>4</v>
      </c>
      <c r="B3" s="5" t="s">
        <v>5</v>
      </c>
      <c r="C3" s="5" t="s">
        <v>6</v>
      </c>
      <c r="D3" s="5" t="s">
        <v>7</v>
      </c>
      <c r="E3" s="5" t="s">
        <v>8</v>
      </c>
      <c r="F3" s="5" t="s">
        <v>9</v>
      </c>
      <c r="G3" s="5" t="s">
        <v>10</v>
      </c>
      <c r="H3" s="5" t="s">
        <v>11</v>
      </c>
      <c r="I3" s="5" t="s">
        <v>12</v>
      </c>
      <c r="J3" s="5" t="s">
        <v>13</v>
      </c>
      <c r="K3" s="5" t="s">
        <v>14</v>
      </c>
      <c r="L3" s="5" t="s">
        <v>15</v>
      </c>
      <c r="M3" s="5" t="s">
        <v>16</v>
      </c>
      <c r="N3" s="5" t="s">
        <v>17</v>
      </c>
      <c r="O3" s="5" t="s">
        <v>18</v>
      </c>
      <c r="P3" s="5" t="s">
        <v>19</v>
      </c>
      <c r="Q3" s="5" t="s">
        <v>9783</v>
      </c>
      <c r="R3" s="5" t="s">
        <v>20</v>
      </c>
      <c r="S3" s="5" t="s">
        <v>21</v>
      </c>
      <c r="T3" s="5" t="s">
        <v>22</v>
      </c>
      <c r="U3" s="5" t="s">
        <v>23</v>
      </c>
      <c r="V3" s="5" t="s">
        <v>24</v>
      </c>
      <c r="W3" s="5" t="s">
        <v>25</v>
      </c>
      <c r="X3" s="5" t="s">
        <v>26</v>
      </c>
      <c r="Y3" s="5" t="s">
        <v>27</v>
      </c>
      <c r="Z3" s="5" t="s">
        <v>28</v>
      </c>
      <c r="AA3" s="5" t="s">
        <v>29</v>
      </c>
      <c r="AB3" s="5" t="s">
        <v>30</v>
      </c>
      <c r="AC3" s="6" t="s">
        <v>9537</v>
      </c>
      <c r="AD3" s="40" t="s">
        <v>10538</v>
      </c>
      <c r="AE3" s="40" t="s">
        <v>10539</v>
      </c>
      <c r="AF3" s="47"/>
      <c r="AG3" s="39" t="s">
        <v>31</v>
      </c>
      <c r="AH3" s="39" t="s">
        <v>10544</v>
      </c>
      <c r="AL3" s="52"/>
    </row>
    <row r="4" spans="1:38" ht="26.65" customHeight="1" x14ac:dyDescent="0.25">
      <c r="A4" s="10" t="s">
        <v>8886</v>
      </c>
      <c r="B4" s="9" t="s">
        <v>8887</v>
      </c>
      <c r="C4" s="9" t="s">
        <v>34</v>
      </c>
      <c r="D4" s="9" t="s">
        <v>8888</v>
      </c>
      <c r="E4" s="9" t="s">
        <v>35</v>
      </c>
      <c r="F4" s="9" t="s">
        <v>36</v>
      </c>
      <c r="G4" s="9">
        <v>1</v>
      </c>
      <c r="H4" s="9">
        <v>84219999</v>
      </c>
      <c r="I4" s="11" t="s">
        <v>37</v>
      </c>
      <c r="J4" s="12">
        <v>1.6500000000000001E-2</v>
      </c>
      <c r="K4" s="12">
        <v>7.5999999999999998E-2</v>
      </c>
      <c r="L4" s="12">
        <v>5.1999999999999998E-2</v>
      </c>
      <c r="M4" s="13" t="s">
        <v>35</v>
      </c>
      <c r="N4" s="14">
        <v>0</v>
      </c>
      <c r="O4" s="14">
        <v>0</v>
      </c>
      <c r="P4" s="15">
        <v>45323</v>
      </c>
      <c r="Q4" s="16" t="s">
        <v>8889</v>
      </c>
      <c r="R4" s="17" t="s">
        <v>35</v>
      </c>
      <c r="S4" s="17" t="s">
        <v>35</v>
      </c>
      <c r="T4" s="17" t="s">
        <v>35</v>
      </c>
      <c r="U4" s="17" t="s">
        <v>35</v>
      </c>
      <c r="V4" s="17" t="s">
        <v>35</v>
      </c>
      <c r="W4" s="17" t="s">
        <v>35</v>
      </c>
      <c r="X4" s="17" t="s">
        <v>35</v>
      </c>
      <c r="Y4" s="17" t="s">
        <v>35</v>
      </c>
      <c r="Z4" s="17" t="s">
        <v>35</v>
      </c>
      <c r="AA4" s="17" t="s">
        <v>35</v>
      </c>
      <c r="AB4" s="17" t="s">
        <v>35</v>
      </c>
      <c r="AC4" s="17" t="s">
        <v>9539</v>
      </c>
      <c r="AD4" s="42">
        <v>20.37</v>
      </c>
      <c r="AE4" s="42">
        <v>21.43</v>
      </c>
      <c r="AF4" s="48"/>
      <c r="AG4" s="44"/>
      <c r="AH4" s="7">
        <f t="shared" ref="AH4:AH67" si="0">AG4*AE4</f>
        <v>0</v>
      </c>
      <c r="AI4" s="18"/>
      <c r="AJ4" s="18"/>
    </row>
    <row r="5" spans="1:38" ht="26.65" customHeight="1" x14ac:dyDescent="0.25">
      <c r="A5" s="10" t="s">
        <v>8890</v>
      </c>
      <c r="B5" s="9" t="s">
        <v>8891</v>
      </c>
      <c r="C5" s="9" t="s">
        <v>34</v>
      </c>
      <c r="D5" s="9" t="s">
        <v>8888</v>
      </c>
      <c r="E5" s="9" t="s">
        <v>35</v>
      </c>
      <c r="F5" s="9" t="s">
        <v>36</v>
      </c>
      <c r="G5" s="9">
        <v>1</v>
      </c>
      <c r="H5" s="9">
        <v>84212990</v>
      </c>
      <c r="I5" s="11" t="s">
        <v>37</v>
      </c>
      <c r="J5" s="12">
        <v>1.6500000000000001E-2</v>
      </c>
      <c r="K5" s="12">
        <v>7.5999999999999998E-2</v>
      </c>
      <c r="L5" s="12">
        <v>0</v>
      </c>
      <c r="M5" s="13">
        <v>8003453600133</v>
      </c>
      <c r="N5" s="14">
        <v>0.1</v>
      </c>
      <c r="O5" s="14">
        <v>0.25</v>
      </c>
      <c r="P5" s="15">
        <v>45352</v>
      </c>
      <c r="Q5" s="16" t="s">
        <v>35</v>
      </c>
      <c r="R5" s="17" t="s">
        <v>35</v>
      </c>
      <c r="S5" s="17" t="s">
        <v>35</v>
      </c>
      <c r="T5" s="17" t="s">
        <v>35</v>
      </c>
      <c r="U5" s="17" t="s">
        <v>35</v>
      </c>
      <c r="V5" s="17" t="s">
        <v>35</v>
      </c>
      <c r="W5" s="17" t="s">
        <v>35</v>
      </c>
      <c r="X5" s="17" t="s">
        <v>35</v>
      </c>
      <c r="Y5" s="17" t="s">
        <v>35</v>
      </c>
      <c r="Z5" s="17" t="s">
        <v>35</v>
      </c>
      <c r="AA5" s="17" t="s">
        <v>8892</v>
      </c>
      <c r="AB5" s="17" t="s">
        <v>35</v>
      </c>
      <c r="AC5" s="17" t="s">
        <v>9539</v>
      </c>
      <c r="AD5" s="42">
        <v>41.35</v>
      </c>
      <c r="AE5" s="42">
        <v>43.5</v>
      </c>
      <c r="AF5" s="48"/>
      <c r="AG5" s="44"/>
      <c r="AH5" s="7">
        <f t="shared" si="0"/>
        <v>0</v>
      </c>
      <c r="AI5" s="18"/>
      <c r="AJ5" s="18"/>
    </row>
    <row r="6" spans="1:38" ht="26.65" customHeight="1" x14ac:dyDescent="0.25">
      <c r="A6" s="10" t="s">
        <v>32</v>
      </c>
      <c r="B6" s="9" t="s">
        <v>33</v>
      </c>
      <c r="C6" s="9" t="s">
        <v>34</v>
      </c>
      <c r="D6" s="9" t="s">
        <v>8140</v>
      </c>
      <c r="E6" s="9" t="s">
        <v>35</v>
      </c>
      <c r="F6" s="9" t="s">
        <v>36</v>
      </c>
      <c r="G6" s="9">
        <v>1</v>
      </c>
      <c r="H6" s="9">
        <v>84212990</v>
      </c>
      <c r="I6" s="11" t="s">
        <v>37</v>
      </c>
      <c r="J6" s="12">
        <v>1.6500000000000001E-2</v>
      </c>
      <c r="K6" s="12">
        <v>7.5999999999999998E-2</v>
      </c>
      <c r="L6" s="12">
        <v>0</v>
      </c>
      <c r="M6" s="13" t="s">
        <v>35</v>
      </c>
      <c r="N6" s="14">
        <v>0.7</v>
      </c>
      <c r="O6" s="14">
        <v>1.03</v>
      </c>
      <c r="P6" s="15">
        <v>44958</v>
      </c>
      <c r="Q6" s="16" t="s">
        <v>35</v>
      </c>
      <c r="R6" s="17" t="s">
        <v>35</v>
      </c>
      <c r="S6" s="17" t="s">
        <v>35</v>
      </c>
      <c r="T6" s="17" t="s">
        <v>35</v>
      </c>
      <c r="U6" s="17" t="s">
        <v>35</v>
      </c>
      <c r="V6" s="17" t="s">
        <v>35</v>
      </c>
      <c r="W6" s="17" t="s">
        <v>35</v>
      </c>
      <c r="X6" s="17" t="s">
        <v>35</v>
      </c>
      <c r="Y6" s="17" t="s">
        <v>35</v>
      </c>
      <c r="Z6" s="17" t="s">
        <v>38</v>
      </c>
      <c r="AA6" s="17" t="s">
        <v>39</v>
      </c>
      <c r="AB6" s="17" t="s">
        <v>40</v>
      </c>
      <c r="AC6" s="17" t="s">
        <v>9539</v>
      </c>
      <c r="AD6" s="41">
        <v>96.63</v>
      </c>
      <c r="AE6" s="41">
        <v>96.63</v>
      </c>
      <c r="AF6" s="48"/>
      <c r="AG6" s="44"/>
      <c r="AH6" s="7">
        <f t="shared" si="0"/>
        <v>0</v>
      </c>
      <c r="AI6" s="18"/>
      <c r="AJ6" s="18"/>
      <c r="AL6" s="18"/>
    </row>
    <row r="7" spans="1:38" ht="26.65" customHeight="1" x14ac:dyDescent="0.25">
      <c r="A7" s="10" t="s">
        <v>8578</v>
      </c>
      <c r="B7" s="9" t="s">
        <v>8139</v>
      </c>
      <c r="C7" s="9" t="s">
        <v>34</v>
      </c>
      <c r="D7" s="9" t="s">
        <v>8140</v>
      </c>
      <c r="E7" s="9" t="s">
        <v>35</v>
      </c>
      <c r="F7" s="9" t="s">
        <v>36</v>
      </c>
      <c r="G7" s="9">
        <v>1</v>
      </c>
      <c r="H7" s="9">
        <v>84219999</v>
      </c>
      <c r="I7" s="11" t="s">
        <v>37</v>
      </c>
      <c r="J7" s="12">
        <v>1.6500000000000001E-2</v>
      </c>
      <c r="K7" s="12">
        <v>7.5999999999999998E-2</v>
      </c>
      <c r="L7" s="12">
        <v>5.1999999999999998E-2</v>
      </c>
      <c r="M7" s="13" t="s">
        <v>8579</v>
      </c>
      <c r="N7" s="14" t="s">
        <v>35</v>
      </c>
      <c r="O7" s="14" t="s">
        <v>35</v>
      </c>
      <c r="P7" s="15">
        <v>45292</v>
      </c>
      <c r="Q7" s="16" t="s">
        <v>35</v>
      </c>
      <c r="R7" s="17" t="s">
        <v>35</v>
      </c>
      <c r="S7" s="17" t="s">
        <v>35</v>
      </c>
      <c r="T7" s="17" t="s">
        <v>35</v>
      </c>
      <c r="U7" s="17" t="s">
        <v>35</v>
      </c>
      <c r="V7" s="17" t="s">
        <v>35</v>
      </c>
      <c r="W7" s="17" t="s">
        <v>35</v>
      </c>
      <c r="X7" s="17" t="s">
        <v>35</v>
      </c>
      <c r="Y7" s="17" t="s">
        <v>35</v>
      </c>
      <c r="Z7" s="17" t="s">
        <v>35</v>
      </c>
      <c r="AA7" s="17" t="s">
        <v>35</v>
      </c>
      <c r="AB7" s="17" t="s">
        <v>8580</v>
      </c>
      <c r="AC7" s="17" t="s">
        <v>9539</v>
      </c>
      <c r="AD7" s="41">
        <v>90.31</v>
      </c>
      <c r="AE7" s="41">
        <v>95.01</v>
      </c>
      <c r="AF7" s="48"/>
      <c r="AG7" s="44"/>
      <c r="AH7" s="7">
        <f t="shared" si="0"/>
        <v>0</v>
      </c>
      <c r="AI7" s="18"/>
      <c r="AJ7" s="18"/>
    </row>
    <row r="8" spans="1:38" ht="26.65" customHeight="1" x14ac:dyDescent="0.25">
      <c r="A8" s="10" t="s">
        <v>9056</v>
      </c>
      <c r="B8" s="9" t="s">
        <v>8139</v>
      </c>
      <c r="C8" s="9" t="s">
        <v>34</v>
      </c>
      <c r="D8" s="9" t="s">
        <v>8140</v>
      </c>
      <c r="E8" s="9" t="s">
        <v>35</v>
      </c>
      <c r="F8" s="9" t="s">
        <v>36</v>
      </c>
      <c r="G8" s="9">
        <v>1</v>
      </c>
      <c r="H8" s="9">
        <v>84219999</v>
      </c>
      <c r="I8" s="11" t="s">
        <v>37</v>
      </c>
      <c r="J8" s="12">
        <v>1.6500000000000001E-2</v>
      </c>
      <c r="K8" s="12">
        <v>7.5999999999999998E-2</v>
      </c>
      <c r="L8" s="12">
        <v>5.1999999999999998E-2</v>
      </c>
      <c r="M8" s="13" t="s">
        <v>35</v>
      </c>
      <c r="N8" s="14" t="s">
        <v>35</v>
      </c>
      <c r="O8" s="14" t="s">
        <v>35</v>
      </c>
      <c r="P8" s="15">
        <v>45383</v>
      </c>
      <c r="Q8" s="16" t="s">
        <v>35</v>
      </c>
      <c r="R8" s="17" t="s">
        <v>35</v>
      </c>
      <c r="S8" s="17" t="s">
        <v>35</v>
      </c>
      <c r="T8" s="17" t="s">
        <v>35</v>
      </c>
      <c r="U8" s="17" t="s">
        <v>35</v>
      </c>
      <c r="V8" s="17" t="s">
        <v>35</v>
      </c>
      <c r="W8" s="17" t="s">
        <v>35</v>
      </c>
      <c r="X8" s="17" t="s">
        <v>35</v>
      </c>
      <c r="Y8" s="17" t="s">
        <v>35</v>
      </c>
      <c r="Z8" s="17" t="s">
        <v>35</v>
      </c>
      <c r="AA8" s="17" t="s">
        <v>35</v>
      </c>
      <c r="AB8" s="17" t="s">
        <v>9057</v>
      </c>
      <c r="AC8" s="17" t="s">
        <v>9539</v>
      </c>
      <c r="AD8" s="41">
        <v>105.79</v>
      </c>
      <c r="AE8" s="41">
        <v>111.29</v>
      </c>
      <c r="AF8" s="48"/>
      <c r="AG8" s="44"/>
      <c r="AH8" s="7">
        <f t="shared" si="0"/>
        <v>0</v>
      </c>
      <c r="AI8" s="18"/>
      <c r="AJ8" s="18"/>
    </row>
    <row r="9" spans="1:38" ht="26.65" customHeight="1" x14ac:dyDescent="0.25">
      <c r="A9" s="38" t="s">
        <v>41</v>
      </c>
      <c r="B9" s="9" t="s">
        <v>42</v>
      </c>
      <c r="C9" s="9" t="s">
        <v>43</v>
      </c>
      <c r="D9" s="9" t="s">
        <v>44</v>
      </c>
      <c r="E9" s="9" t="s">
        <v>35</v>
      </c>
      <c r="F9" s="9" t="s">
        <v>36</v>
      </c>
      <c r="G9" s="9">
        <v>1</v>
      </c>
      <c r="H9" s="9">
        <v>82055900</v>
      </c>
      <c r="I9" s="11" t="s">
        <v>37</v>
      </c>
      <c r="J9" s="12">
        <v>2.1000000000000001E-2</v>
      </c>
      <c r="K9" s="12">
        <v>9.6500000000000002E-2</v>
      </c>
      <c r="L9" s="12">
        <v>5.1999999999999998E-2</v>
      </c>
      <c r="M9" s="13">
        <v>8003453022584</v>
      </c>
      <c r="N9" s="14">
        <v>0</v>
      </c>
      <c r="O9" s="14">
        <v>0</v>
      </c>
      <c r="P9" s="15">
        <v>45170</v>
      </c>
      <c r="Q9" s="16" t="s">
        <v>45</v>
      </c>
      <c r="R9" s="17" t="s">
        <v>35</v>
      </c>
      <c r="S9" s="17" t="s">
        <v>35</v>
      </c>
      <c r="T9" s="17" t="s">
        <v>35</v>
      </c>
      <c r="U9" s="17" t="s">
        <v>35</v>
      </c>
      <c r="V9" s="17" t="s">
        <v>35</v>
      </c>
      <c r="W9" s="17" t="s">
        <v>35</v>
      </c>
      <c r="X9" s="17" t="s">
        <v>35</v>
      </c>
      <c r="Y9" s="17" t="s">
        <v>35</v>
      </c>
      <c r="Z9" s="17" t="s">
        <v>35</v>
      </c>
      <c r="AA9" s="17" t="s">
        <v>35</v>
      </c>
      <c r="AB9" s="17" t="s">
        <v>35</v>
      </c>
      <c r="AC9" s="17" t="s">
        <v>9538</v>
      </c>
      <c r="AD9" s="42">
        <v>302.56</v>
      </c>
      <c r="AE9" s="42">
        <v>318.29000000000002</v>
      </c>
      <c r="AF9" s="48"/>
      <c r="AG9" s="44"/>
      <c r="AH9" s="7">
        <f t="shared" si="0"/>
        <v>0</v>
      </c>
      <c r="AI9" s="18"/>
      <c r="AJ9" s="18"/>
      <c r="AK9" s="21"/>
    </row>
    <row r="10" spans="1:38" ht="26.65" customHeight="1" x14ac:dyDescent="0.25">
      <c r="A10" s="10" t="s">
        <v>8581</v>
      </c>
      <c r="B10" s="9" t="s">
        <v>47</v>
      </c>
      <c r="C10" s="9" t="s">
        <v>8582</v>
      </c>
      <c r="D10" s="9" t="s">
        <v>67</v>
      </c>
      <c r="E10" s="9" t="s">
        <v>35</v>
      </c>
      <c r="F10" s="9" t="s">
        <v>36</v>
      </c>
      <c r="G10" s="9">
        <v>6</v>
      </c>
      <c r="H10" s="9">
        <v>84219999</v>
      </c>
      <c r="I10" s="11" t="s">
        <v>37</v>
      </c>
      <c r="J10" s="12">
        <v>1.6500000000000001E-2</v>
      </c>
      <c r="K10" s="12">
        <v>7.5999999999999998E-2</v>
      </c>
      <c r="L10" s="12">
        <v>5.1999999999999998E-2</v>
      </c>
      <c r="M10" s="13">
        <v>8003453025080</v>
      </c>
      <c r="N10" s="14">
        <v>0.56299999999999994</v>
      </c>
      <c r="O10" s="14">
        <v>0.63500000000000001</v>
      </c>
      <c r="P10" s="15">
        <v>45292</v>
      </c>
      <c r="Q10" s="16" t="s">
        <v>8583</v>
      </c>
      <c r="R10" s="17" t="s">
        <v>35</v>
      </c>
      <c r="S10" s="17" t="s">
        <v>8584</v>
      </c>
      <c r="T10" s="17" t="s">
        <v>8585</v>
      </c>
      <c r="U10" s="17" t="s">
        <v>8586</v>
      </c>
      <c r="V10" s="17" t="s">
        <v>35</v>
      </c>
      <c r="W10" s="17" t="s">
        <v>35</v>
      </c>
      <c r="X10" s="17" t="s">
        <v>8587</v>
      </c>
      <c r="Y10" s="17" t="s">
        <v>35</v>
      </c>
      <c r="Z10" s="17" t="s">
        <v>35</v>
      </c>
      <c r="AA10" s="17" t="s">
        <v>35</v>
      </c>
      <c r="AB10" s="17" t="s">
        <v>8588</v>
      </c>
      <c r="AC10" s="17" t="s">
        <v>9539</v>
      </c>
      <c r="AD10" s="42">
        <v>57.24</v>
      </c>
      <c r="AE10" s="42">
        <v>60.22</v>
      </c>
      <c r="AF10" s="48"/>
      <c r="AG10" s="44"/>
      <c r="AH10" s="7">
        <f t="shared" si="0"/>
        <v>0</v>
      </c>
      <c r="AI10" s="18"/>
      <c r="AJ10" s="18"/>
    </row>
    <row r="11" spans="1:38" ht="26.65" customHeight="1" x14ac:dyDescent="0.25">
      <c r="A11" s="10" t="s">
        <v>46</v>
      </c>
      <c r="B11" s="9" t="s">
        <v>47</v>
      </c>
      <c r="C11" s="9" t="s">
        <v>34</v>
      </c>
      <c r="D11" s="9" t="s">
        <v>48</v>
      </c>
      <c r="E11" s="9" t="s">
        <v>35</v>
      </c>
      <c r="F11" s="9" t="s">
        <v>36</v>
      </c>
      <c r="G11" s="9">
        <v>6</v>
      </c>
      <c r="H11" s="9">
        <v>84219999</v>
      </c>
      <c r="I11" s="11" t="s">
        <v>37</v>
      </c>
      <c r="J11" s="12">
        <v>1.6500000000000001E-2</v>
      </c>
      <c r="K11" s="12">
        <v>7.5999999999999998E-2</v>
      </c>
      <c r="L11" s="12">
        <v>5.1999999999999998E-2</v>
      </c>
      <c r="M11" s="13">
        <v>8003453025103</v>
      </c>
      <c r="N11" s="14">
        <v>0.42599999999999999</v>
      </c>
      <c r="O11" s="14">
        <v>0.47399999999999998</v>
      </c>
      <c r="P11" s="15" t="s">
        <v>35</v>
      </c>
      <c r="Q11" s="16" t="s">
        <v>49</v>
      </c>
      <c r="R11" s="17" t="s">
        <v>35</v>
      </c>
      <c r="S11" s="17" t="s">
        <v>50</v>
      </c>
      <c r="T11" s="17" t="s">
        <v>51</v>
      </c>
      <c r="U11" s="17" t="s">
        <v>52</v>
      </c>
      <c r="V11" s="17" t="s">
        <v>53</v>
      </c>
      <c r="W11" s="17" t="s">
        <v>54</v>
      </c>
      <c r="X11" s="17" t="s">
        <v>55</v>
      </c>
      <c r="Y11" s="17" t="s">
        <v>35</v>
      </c>
      <c r="Z11" s="17" t="s">
        <v>35</v>
      </c>
      <c r="AA11" s="17" t="s">
        <v>35</v>
      </c>
      <c r="AB11" s="17" t="s">
        <v>35</v>
      </c>
      <c r="AC11" s="17" t="s">
        <v>9539</v>
      </c>
      <c r="AD11" s="41">
        <v>74.3</v>
      </c>
      <c r="AE11" s="41">
        <v>78.16</v>
      </c>
      <c r="AF11" s="48"/>
      <c r="AG11" s="44"/>
      <c r="AH11" s="7">
        <f t="shared" si="0"/>
        <v>0</v>
      </c>
      <c r="AI11" s="18"/>
      <c r="AJ11" s="18"/>
      <c r="AL11" s="18"/>
    </row>
    <row r="12" spans="1:38" ht="26.65" customHeight="1" x14ac:dyDescent="0.25">
      <c r="A12" s="10" t="s">
        <v>56</v>
      </c>
      <c r="B12" s="9" t="s">
        <v>57</v>
      </c>
      <c r="C12" s="9" t="s">
        <v>58</v>
      </c>
      <c r="D12" s="9" t="s">
        <v>59</v>
      </c>
      <c r="E12" s="9" t="s">
        <v>35</v>
      </c>
      <c r="F12" s="9" t="s">
        <v>36</v>
      </c>
      <c r="G12" s="9">
        <v>6</v>
      </c>
      <c r="H12" s="9">
        <v>84219999</v>
      </c>
      <c r="I12" s="11" t="s">
        <v>37</v>
      </c>
      <c r="J12" s="12">
        <v>1.6500000000000001E-2</v>
      </c>
      <c r="K12" s="12">
        <v>7.5999999999999998E-2</v>
      </c>
      <c r="L12" s="12">
        <v>5.1999999999999998E-2</v>
      </c>
      <c r="M12" s="13">
        <v>8003453030138</v>
      </c>
      <c r="N12" s="14">
        <v>0.40500000000000003</v>
      </c>
      <c r="O12" s="14">
        <v>0.437</v>
      </c>
      <c r="P12" s="15" t="s">
        <v>35</v>
      </c>
      <c r="Q12" s="16" t="s">
        <v>60</v>
      </c>
      <c r="R12" s="17" t="s">
        <v>35</v>
      </c>
      <c r="S12" s="17" t="s">
        <v>61</v>
      </c>
      <c r="T12" s="17" t="s">
        <v>62</v>
      </c>
      <c r="U12" s="17" t="s">
        <v>35</v>
      </c>
      <c r="V12" s="17" t="s">
        <v>35</v>
      </c>
      <c r="W12" s="17" t="s">
        <v>35</v>
      </c>
      <c r="X12" s="17" t="s">
        <v>63</v>
      </c>
      <c r="Y12" s="17" t="s">
        <v>35</v>
      </c>
      <c r="Z12" s="17" t="s">
        <v>64</v>
      </c>
      <c r="AA12" s="17" t="s">
        <v>35</v>
      </c>
      <c r="AB12" s="17" t="s">
        <v>65</v>
      </c>
      <c r="AC12" s="17" t="s">
        <v>9539</v>
      </c>
      <c r="AD12" s="42">
        <v>49.47</v>
      </c>
      <c r="AE12" s="42">
        <v>52.04</v>
      </c>
      <c r="AF12" s="48"/>
      <c r="AG12" s="44"/>
      <c r="AH12" s="7">
        <f t="shared" si="0"/>
        <v>0</v>
      </c>
      <c r="AI12" s="18"/>
      <c r="AJ12" s="18"/>
    </row>
    <row r="13" spans="1:38" ht="26.65" customHeight="1" x14ac:dyDescent="0.25">
      <c r="A13" s="10" t="s">
        <v>66</v>
      </c>
      <c r="B13" s="9" t="s">
        <v>47</v>
      </c>
      <c r="C13" s="9" t="s">
        <v>58</v>
      </c>
      <c r="D13" s="9" t="s">
        <v>67</v>
      </c>
      <c r="E13" s="9" t="s">
        <v>35</v>
      </c>
      <c r="F13" s="9" t="s">
        <v>36</v>
      </c>
      <c r="G13" s="9">
        <v>6</v>
      </c>
      <c r="H13" s="9">
        <v>84219999</v>
      </c>
      <c r="I13" s="11" t="s">
        <v>37</v>
      </c>
      <c r="J13" s="12">
        <v>1.6500000000000001E-2</v>
      </c>
      <c r="K13" s="12">
        <v>7.5999999999999998E-2</v>
      </c>
      <c r="L13" s="12">
        <v>5.1999999999999998E-2</v>
      </c>
      <c r="M13" s="13">
        <v>8003453035287</v>
      </c>
      <c r="N13" s="14">
        <v>0.19400000000000001</v>
      </c>
      <c r="O13" s="14">
        <v>0.219</v>
      </c>
      <c r="P13" s="15" t="s">
        <v>35</v>
      </c>
      <c r="Q13" s="16" t="s">
        <v>68</v>
      </c>
      <c r="R13" s="17" t="s">
        <v>35</v>
      </c>
      <c r="S13" s="17" t="s">
        <v>69</v>
      </c>
      <c r="T13" s="17" t="s">
        <v>70</v>
      </c>
      <c r="U13" s="17" t="s">
        <v>71</v>
      </c>
      <c r="V13" s="17" t="s">
        <v>35</v>
      </c>
      <c r="W13" s="17" t="s">
        <v>35</v>
      </c>
      <c r="X13" s="17" t="s">
        <v>35</v>
      </c>
      <c r="Y13" s="17" t="s">
        <v>35</v>
      </c>
      <c r="Z13" s="17" t="s">
        <v>72</v>
      </c>
      <c r="AA13" s="17" t="s">
        <v>35</v>
      </c>
      <c r="AB13" s="17" t="s">
        <v>73</v>
      </c>
      <c r="AC13" s="17" t="s">
        <v>9539</v>
      </c>
      <c r="AD13" s="41">
        <v>73.28</v>
      </c>
      <c r="AE13" s="41">
        <v>77.09</v>
      </c>
      <c r="AF13" s="48"/>
      <c r="AG13" s="44"/>
      <c r="AH13" s="7">
        <f t="shared" si="0"/>
        <v>0</v>
      </c>
      <c r="AI13" s="18"/>
      <c r="AJ13" s="18"/>
      <c r="AL13" s="18"/>
    </row>
    <row r="14" spans="1:38" ht="26.65" customHeight="1" x14ac:dyDescent="0.25">
      <c r="A14" s="10" t="s">
        <v>74</v>
      </c>
      <c r="B14" s="9" t="s">
        <v>75</v>
      </c>
      <c r="C14" s="9" t="s">
        <v>34</v>
      </c>
      <c r="D14" s="9" t="s">
        <v>67</v>
      </c>
      <c r="E14" s="9" t="s">
        <v>35</v>
      </c>
      <c r="F14" s="9" t="s">
        <v>36</v>
      </c>
      <c r="G14" s="9">
        <v>6</v>
      </c>
      <c r="H14" s="9">
        <v>84212300</v>
      </c>
      <c r="I14" s="11" t="s">
        <v>37</v>
      </c>
      <c r="J14" s="12">
        <v>2.3E-2</v>
      </c>
      <c r="K14" s="12">
        <v>0.108</v>
      </c>
      <c r="L14" s="12">
        <v>5.1999999999999998E-2</v>
      </c>
      <c r="M14" s="13">
        <v>8003453040038</v>
      </c>
      <c r="N14" s="14">
        <v>0.52</v>
      </c>
      <c r="O14" s="14">
        <v>0.59199999999999997</v>
      </c>
      <c r="P14" s="15" t="s">
        <v>35</v>
      </c>
      <c r="Q14" s="16" t="s">
        <v>76</v>
      </c>
      <c r="R14" s="17" t="s">
        <v>35</v>
      </c>
      <c r="S14" s="17" t="s">
        <v>77</v>
      </c>
      <c r="T14" s="17" t="s">
        <v>78</v>
      </c>
      <c r="U14" s="17" t="s">
        <v>79</v>
      </c>
      <c r="V14" s="17" t="s">
        <v>80</v>
      </c>
      <c r="W14" s="17" t="s">
        <v>81</v>
      </c>
      <c r="X14" s="17" t="s">
        <v>82</v>
      </c>
      <c r="Y14" s="17" t="s">
        <v>83</v>
      </c>
      <c r="Z14" s="17" t="s">
        <v>84</v>
      </c>
      <c r="AA14" s="17" t="s">
        <v>35</v>
      </c>
      <c r="AB14" s="17" t="s">
        <v>85</v>
      </c>
      <c r="AC14" s="17" t="s">
        <v>9539</v>
      </c>
      <c r="AD14" s="42">
        <v>19.16</v>
      </c>
      <c r="AE14" s="42">
        <v>20.16</v>
      </c>
      <c r="AF14" s="48"/>
      <c r="AG14" s="44"/>
      <c r="AH14" s="7">
        <f t="shared" si="0"/>
        <v>0</v>
      </c>
      <c r="AI14" s="18"/>
      <c r="AJ14" s="18"/>
    </row>
    <row r="15" spans="1:38" ht="26.65" customHeight="1" x14ac:dyDescent="0.25">
      <c r="A15" s="10" t="s">
        <v>86</v>
      </c>
      <c r="B15" s="9" t="s">
        <v>75</v>
      </c>
      <c r="C15" s="9" t="s">
        <v>34</v>
      </c>
      <c r="D15" s="9" t="s">
        <v>67</v>
      </c>
      <c r="E15" s="9" t="s">
        <v>35</v>
      </c>
      <c r="F15" s="9" t="s">
        <v>36</v>
      </c>
      <c r="G15" s="9">
        <v>6</v>
      </c>
      <c r="H15" s="9">
        <v>84212300</v>
      </c>
      <c r="I15" s="11" t="s">
        <v>37</v>
      </c>
      <c r="J15" s="12">
        <v>2.3E-2</v>
      </c>
      <c r="K15" s="12">
        <v>0.108</v>
      </c>
      <c r="L15" s="12">
        <v>5.1999999999999998E-2</v>
      </c>
      <c r="M15" s="13">
        <v>8003453040045</v>
      </c>
      <c r="N15" s="14">
        <v>0.59</v>
      </c>
      <c r="O15" s="14">
        <v>0.65200000000000002</v>
      </c>
      <c r="P15" s="15" t="s">
        <v>35</v>
      </c>
      <c r="Q15" s="16" t="s">
        <v>87</v>
      </c>
      <c r="R15" s="17" t="s">
        <v>35</v>
      </c>
      <c r="S15" s="17" t="s">
        <v>88</v>
      </c>
      <c r="T15" s="17" t="s">
        <v>89</v>
      </c>
      <c r="U15" s="17" t="s">
        <v>90</v>
      </c>
      <c r="V15" s="17" t="s">
        <v>91</v>
      </c>
      <c r="W15" s="17" t="s">
        <v>92</v>
      </c>
      <c r="X15" s="17" t="s">
        <v>93</v>
      </c>
      <c r="Y15" s="17" t="s">
        <v>94</v>
      </c>
      <c r="Z15" s="17" t="s">
        <v>95</v>
      </c>
      <c r="AA15" s="17" t="s">
        <v>35</v>
      </c>
      <c r="AB15" s="17" t="s">
        <v>96</v>
      </c>
      <c r="AC15" s="17" t="s">
        <v>9539</v>
      </c>
      <c r="AD15" s="41">
        <v>20.09</v>
      </c>
      <c r="AE15" s="41">
        <v>21.13</v>
      </c>
      <c r="AF15" s="48"/>
      <c r="AG15" s="44"/>
      <c r="AH15" s="7">
        <f t="shared" si="0"/>
        <v>0</v>
      </c>
      <c r="AI15" s="18"/>
      <c r="AJ15" s="18"/>
      <c r="AL15" s="18"/>
    </row>
    <row r="16" spans="1:38" ht="26.65" customHeight="1" x14ac:dyDescent="0.25">
      <c r="A16" s="10" t="s">
        <v>9058</v>
      </c>
      <c r="B16" s="9" t="s">
        <v>75</v>
      </c>
      <c r="C16" s="9" t="s">
        <v>43</v>
      </c>
      <c r="D16" s="9" t="s">
        <v>67</v>
      </c>
      <c r="E16" s="9" t="s">
        <v>35</v>
      </c>
      <c r="F16" s="9" t="s">
        <v>36</v>
      </c>
      <c r="G16" s="9">
        <v>6</v>
      </c>
      <c r="H16" s="9">
        <v>84212300</v>
      </c>
      <c r="I16" s="11" t="s">
        <v>37</v>
      </c>
      <c r="J16" s="12">
        <v>2.3E-2</v>
      </c>
      <c r="K16" s="12">
        <v>0.108</v>
      </c>
      <c r="L16" s="12">
        <v>5.1999999999999998E-2</v>
      </c>
      <c r="M16" s="13">
        <v>8003453040083</v>
      </c>
      <c r="N16" s="14">
        <v>0.3</v>
      </c>
      <c r="O16" s="14">
        <v>0.34</v>
      </c>
      <c r="P16" s="15">
        <v>45383</v>
      </c>
      <c r="Q16" s="16" t="s">
        <v>9059</v>
      </c>
      <c r="R16" s="17" t="s">
        <v>35</v>
      </c>
      <c r="S16" s="17" t="s">
        <v>9060</v>
      </c>
      <c r="T16" s="17" t="s">
        <v>9061</v>
      </c>
      <c r="U16" s="17" t="s">
        <v>9062</v>
      </c>
      <c r="V16" s="17" t="s">
        <v>35</v>
      </c>
      <c r="W16" s="17" t="s">
        <v>35</v>
      </c>
      <c r="X16" s="17" t="s">
        <v>9063</v>
      </c>
      <c r="Y16" s="17" t="s">
        <v>35</v>
      </c>
      <c r="Z16" s="17" t="s">
        <v>9064</v>
      </c>
      <c r="AA16" s="17" t="s">
        <v>35</v>
      </c>
      <c r="AB16" s="17" t="s">
        <v>9065</v>
      </c>
      <c r="AC16" s="17" t="s">
        <v>9539</v>
      </c>
      <c r="AD16" s="42">
        <v>15.71</v>
      </c>
      <c r="AE16" s="42">
        <v>16.53</v>
      </c>
      <c r="AF16" s="48"/>
      <c r="AG16" s="44"/>
      <c r="AH16" s="7">
        <f t="shared" si="0"/>
        <v>0</v>
      </c>
      <c r="AI16" s="18"/>
      <c r="AJ16" s="18"/>
    </row>
    <row r="17" spans="1:38" ht="26.65" customHeight="1" x14ac:dyDescent="0.25">
      <c r="A17" s="10" t="s">
        <v>8893</v>
      </c>
      <c r="B17" s="9" t="s">
        <v>75</v>
      </c>
      <c r="C17" s="9" t="s">
        <v>43</v>
      </c>
      <c r="D17" s="9" t="s">
        <v>67</v>
      </c>
      <c r="E17" s="9" t="s">
        <v>35</v>
      </c>
      <c r="F17" s="9" t="s">
        <v>36</v>
      </c>
      <c r="G17" s="9">
        <v>6</v>
      </c>
      <c r="H17" s="9">
        <v>84212300</v>
      </c>
      <c r="I17" s="11" t="s">
        <v>37</v>
      </c>
      <c r="J17" s="12">
        <v>2.3E-2</v>
      </c>
      <c r="K17" s="12">
        <v>0.108</v>
      </c>
      <c r="L17" s="12">
        <v>5.1999999999999998E-2</v>
      </c>
      <c r="M17" s="13">
        <v>8003453040106</v>
      </c>
      <c r="N17" s="14">
        <v>0.3</v>
      </c>
      <c r="O17" s="14">
        <v>0.32</v>
      </c>
      <c r="P17" s="15">
        <v>45352</v>
      </c>
      <c r="Q17" s="16" t="s">
        <v>8894</v>
      </c>
      <c r="R17" s="17" t="s">
        <v>35</v>
      </c>
      <c r="S17" s="17" t="s">
        <v>8895</v>
      </c>
      <c r="T17" s="17" t="s">
        <v>8896</v>
      </c>
      <c r="U17" s="17" t="s">
        <v>8897</v>
      </c>
      <c r="V17" s="17" t="s">
        <v>35</v>
      </c>
      <c r="W17" s="17" t="s">
        <v>35</v>
      </c>
      <c r="X17" s="17" t="s">
        <v>8898</v>
      </c>
      <c r="Y17" s="17" t="s">
        <v>35</v>
      </c>
      <c r="Z17" s="17" t="s">
        <v>35</v>
      </c>
      <c r="AA17" s="17" t="s">
        <v>35</v>
      </c>
      <c r="AB17" s="17" t="s">
        <v>35</v>
      </c>
      <c r="AC17" s="17" t="s">
        <v>9539</v>
      </c>
      <c r="AD17" s="42">
        <v>14.4</v>
      </c>
      <c r="AE17" s="42">
        <v>15.15</v>
      </c>
      <c r="AF17" s="48"/>
      <c r="AG17" s="44"/>
      <c r="AH17" s="7">
        <f t="shared" si="0"/>
        <v>0</v>
      </c>
      <c r="AI17" s="18"/>
      <c r="AJ17" s="18"/>
    </row>
    <row r="18" spans="1:38" ht="26.65" customHeight="1" x14ac:dyDescent="0.25">
      <c r="A18" s="10" t="s">
        <v>97</v>
      </c>
      <c r="B18" s="9" t="s">
        <v>75</v>
      </c>
      <c r="C18" s="9" t="s">
        <v>34</v>
      </c>
      <c r="D18" s="9" t="s">
        <v>67</v>
      </c>
      <c r="E18" s="9" t="s">
        <v>35</v>
      </c>
      <c r="F18" s="9" t="s">
        <v>36</v>
      </c>
      <c r="G18" s="9">
        <v>6</v>
      </c>
      <c r="H18" s="9">
        <v>84212300</v>
      </c>
      <c r="I18" s="11" t="s">
        <v>37</v>
      </c>
      <c r="J18" s="12">
        <v>2.3E-2</v>
      </c>
      <c r="K18" s="12">
        <v>0.108</v>
      </c>
      <c r="L18" s="12">
        <v>5.1999999999999998E-2</v>
      </c>
      <c r="M18" s="13">
        <v>8003453040120</v>
      </c>
      <c r="N18" s="14">
        <v>0.70199999999999996</v>
      </c>
      <c r="O18" s="14">
        <v>0.749</v>
      </c>
      <c r="P18" s="15">
        <v>44621</v>
      </c>
      <c r="Q18" s="16" t="s">
        <v>98</v>
      </c>
      <c r="R18" s="17" t="s">
        <v>35</v>
      </c>
      <c r="S18" s="17" t="s">
        <v>99</v>
      </c>
      <c r="T18" s="17" t="s">
        <v>100</v>
      </c>
      <c r="U18" s="17" t="s">
        <v>101</v>
      </c>
      <c r="V18" s="17" t="s">
        <v>102</v>
      </c>
      <c r="W18" s="17" t="s">
        <v>103</v>
      </c>
      <c r="X18" s="17" t="s">
        <v>104</v>
      </c>
      <c r="Y18" s="17" t="s">
        <v>105</v>
      </c>
      <c r="Z18" s="17" t="s">
        <v>106</v>
      </c>
      <c r="AA18" s="17" t="s">
        <v>35</v>
      </c>
      <c r="AB18" s="17" t="s">
        <v>35</v>
      </c>
      <c r="AC18" s="17" t="s">
        <v>9539</v>
      </c>
      <c r="AD18" s="42">
        <v>54.59</v>
      </c>
      <c r="AE18" s="42">
        <v>57.43</v>
      </c>
      <c r="AF18" s="48"/>
      <c r="AG18" s="44"/>
      <c r="AH18" s="7">
        <f t="shared" si="0"/>
        <v>0</v>
      </c>
      <c r="AI18" s="18"/>
      <c r="AJ18" s="18"/>
    </row>
    <row r="19" spans="1:38" ht="26.65" customHeight="1" x14ac:dyDescent="0.25">
      <c r="A19" s="10" t="s">
        <v>107</v>
      </c>
      <c r="B19" s="9" t="s">
        <v>75</v>
      </c>
      <c r="C19" s="9" t="s">
        <v>34</v>
      </c>
      <c r="D19" s="9" t="s">
        <v>67</v>
      </c>
      <c r="E19" s="9" t="s">
        <v>35</v>
      </c>
      <c r="F19" s="9" t="s">
        <v>36</v>
      </c>
      <c r="G19" s="9">
        <v>6</v>
      </c>
      <c r="H19" s="9">
        <v>84212300</v>
      </c>
      <c r="I19" s="11" t="s">
        <v>37</v>
      </c>
      <c r="J19" s="12">
        <v>2.3E-2</v>
      </c>
      <c r="K19" s="12">
        <v>0.108</v>
      </c>
      <c r="L19" s="12">
        <v>5.1999999999999998E-2</v>
      </c>
      <c r="M19" s="13">
        <v>8003453040120</v>
      </c>
      <c r="N19" s="14">
        <v>0.70199999999999996</v>
      </c>
      <c r="O19" s="14">
        <v>0.749</v>
      </c>
      <c r="P19" s="15" t="s">
        <v>35</v>
      </c>
      <c r="Q19" s="16" t="s">
        <v>98</v>
      </c>
      <c r="R19" s="17" t="s">
        <v>108</v>
      </c>
      <c r="S19" s="17" t="s">
        <v>99</v>
      </c>
      <c r="T19" s="17" t="s">
        <v>100</v>
      </c>
      <c r="U19" s="17" t="s">
        <v>101</v>
      </c>
      <c r="V19" s="17" t="s">
        <v>102</v>
      </c>
      <c r="W19" s="17" t="s">
        <v>103</v>
      </c>
      <c r="X19" s="17" t="s">
        <v>104</v>
      </c>
      <c r="Y19" s="17" t="s">
        <v>105</v>
      </c>
      <c r="Z19" s="17" t="s">
        <v>106</v>
      </c>
      <c r="AA19" s="17" t="s">
        <v>35</v>
      </c>
      <c r="AB19" s="17" t="s">
        <v>109</v>
      </c>
      <c r="AC19" s="17" t="s">
        <v>9539</v>
      </c>
      <c r="AD19" s="41">
        <v>22.82</v>
      </c>
      <c r="AE19" s="41">
        <v>24.01</v>
      </c>
      <c r="AF19" s="48"/>
      <c r="AG19" s="44"/>
      <c r="AH19" s="7">
        <f t="shared" si="0"/>
        <v>0</v>
      </c>
      <c r="AI19" s="18"/>
      <c r="AJ19" s="18"/>
      <c r="AL19" s="18"/>
    </row>
    <row r="20" spans="1:38" ht="26.65" customHeight="1" x14ac:dyDescent="0.25">
      <c r="A20" s="10" t="s">
        <v>110</v>
      </c>
      <c r="B20" s="9" t="s">
        <v>75</v>
      </c>
      <c r="C20" s="9" t="s">
        <v>34</v>
      </c>
      <c r="D20" s="9" t="s">
        <v>67</v>
      </c>
      <c r="E20" s="9" t="s">
        <v>35</v>
      </c>
      <c r="F20" s="9" t="s">
        <v>36</v>
      </c>
      <c r="G20" s="9">
        <v>6</v>
      </c>
      <c r="H20" s="9">
        <v>84212300</v>
      </c>
      <c r="I20" s="11" t="s">
        <v>37</v>
      </c>
      <c r="J20" s="12">
        <v>2.3E-2</v>
      </c>
      <c r="K20" s="12">
        <v>0.108</v>
      </c>
      <c r="L20" s="12">
        <v>5.1999999999999998E-2</v>
      </c>
      <c r="M20" s="13">
        <v>8003453040144</v>
      </c>
      <c r="N20" s="14">
        <v>0.99</v>
      </c>
      <c r="O20" s="14">
        <v>1.044</v>
      </c>
      <c r="P20" s="15">
        <v>44774</v>
      </c>
      <c r="Q20" s="16" t="s">
        <v>111</v>
      </c>
      <c r="R20" s="17" t="s">
        <v>112</v>
      </c>
      <c r="S20" s="17" t="s">
        <v>113</v>
      </c>
      <c r="T20" s="17" t="s">
        <v>114</v>
      </c>
      <c r="U20" s="17" t="s">
        <v>115</v>
      </c>
      <c r="V20" s="17" t="s">
        <v>116</v>
      </c>
      <c r="W20" s="17" t="s">
        <v>117</v>
      </c>
      <c r="X20" s="17" t="s">
        <v>118</v>
      </c>
      <c r="Y20" s="17" t="s">
        <v>35</v>
      </c>
      <c r="Z20" s="17" t="s">
        <v>119</v>
      </c>
      <c r="AA20" s="17" t="s">
        <v>35</v>
      </c>
      <c r="AB20" s="17" t="s">
        <v>120</v>
      </c>
      <c r="AC20" s="17" t="s">
        <v>9539</v>
      </c>
      <c r="AD20" s="42">
        <v>35.9</v>
      </c>
      <c r="AE20" s="42">
        <v>37.770000000000003</v>
      </c>
      <c r="AF20" s="48"/>
      <c r="AG20" s="44"/>
      <c r="AH20" s="7">
        <f t="shared" si="0"/>
        <v>0</v>
      </c>
      <c r="AI20" s="18"/>
      <c r="AJ20" s="18"/>
    </row>
    <row r="21" spans="1:38" ht="26.65" customHeight="1" x14ac:dyDescent="0.25">
      <c r="A21" s="10" t="s">
        <v>121</v>
      </c>
      <c r="B21" s="9" t="s">
        <v>75</v>
      </c>
      <c r="C21" s="9" t="s">
        <v>34</v>
      </c>
      <c r="D21" s="9" t="s">
        <v>48</v>
      </c>
      <c r="E21" s="9" t="s">
        <v>122</v>
      </c>
      <c r="F21" s="9" t="s">
        <v>36</v>
      </c>
      <c r="G21" s="9">
        <v>6</v>
      </c>
      <c r="H21" s="9">
        <v>84212300</v>
      </c>
      <c r="I21" s="11" t="s">
        <v>37</v>
      </c>
      <c r="J21" s="12">
        <v>2.3E-2</v>
      </c>
      <c r="K21" s="12">
        <v>0.108</v>
      </c>
      <c r="L21" s="12">
        <v>5.1999999999999998E-2</v>
      </c>
      <c r="M21" s="13">
        <v>8003453040168</v>
      </c>
      <c r="N21" s="14">
        <v>0.71399999999999997</v>
      </c>
      <c r="O21" s="14">
        <v>0.75800000000000001</v>
      </c>
      <c r="P21" s="15">
        <v>44348</v>
      </c>
      <c r="Q21" s="16" t="s">
        <v>123</v>
      </c>
      <c r="R21" s="17" t="s">
        <v>124</v>
      </c>
      <c r="S21" s="17" t="s">
        <v>125</v>
      </c>
      <c r="T21" s="17" t="s">
        <v>126</v>
      </c>
      <c r="U21" s="17" t="s">
        <v>35</v>
      </c>
      <c r="V21" s="17" t="s">
        <v>127</v>
      </c>
      <c r="W21" s="17" t="s">
        <v>128</v>
      </c>
      <c r="X21" s="17" t="s">
        <v>129</v>
      </c>
      <c r="Y21" s="17" t="s">
        <v>130</v>
      </c>
      <c r="Z21" s="17" t="s">
        <v>131</v>
      </c>
      <c r="AA21" s="17" t="s">
        <v>35</v>
      </c>
      <c r="AB21" s="17" t="s">
        <v>132</v>
      </c>
      <c r="AC21" s="17" t="s">
        <v>9539</v>
      </c>
      <c r="AD21" s="42">
        <v>60.38</v>
      </c>
      <c r="AE21" s="42">
        <v>63.52</v>
      </c>
      <c r="AF21" s="48"/>
      <c r="AG21" s="44"/>
      <c r="AH21" s="7">
        <f t="shared" si="0"/>
        <v>0</v>
      </c>
      <c r="AI21" s="18"/>
      <c r="AJ21" s="18"/>
    </row>
    <row r="22" spans="1:38" ht="26.65" customHeight="1" x14ac:dyDescent="0.25">
      <c r="A22" s="10" t="s">
        <v>133</v>
      </c>
      <c r="B22" s="9" t="s">
        <v>75</v>
      </c>
      <c r="C22" s="9" t="s">
        <v>34</v>
      </c>
      <c r="D22" s="9" t="s">
        <v>67</v>
      </c>
      <c r="E22" s="9" t="s">
        <v>35</v>
      </c>
      <c r="F22" s="9" t="s">
        <v>36</v>
      </c>
      <c r="G22" s="9">
        <v>6</v>
      </c>
      <c r="H22" s="9">
        <v>84212300</v>
      </c>
      <c r="I22" s="11" t="s">
        <v>37</v>
      </c>
      <c r="J22" s="12">
        <v>2.3E-2</v>
      </c>
      <c r="K22" s="12">
        <v>0.108</v>
      </c>
      <c r="L22" s="12">
        <v>5.1999999999999998E-2</v>
      </c>
      <c r="M22" s="13">
        <v>8003453040199</v>
      </c>
      <c r="N22" s="14">
        <v>0.56000000000000005</v>
      </c>
      <c r="O22" s="14">
        <v>0.622</v>
      </c>
      <c r="P22" s="15" t="s">
        <v>35</v>
      </c>
      <c r="Q22" s="16" t="s">
        <v>134</v>
      </c>
      <c r="R22" s="17" t="s">
        <v>35</v>
      </c>
      <c r="S22" s="17" t="s">
        <v>135</v>
      </c>
      <c r="T22" s="17" t="s">
        <v>136</v>
      </c>
      <c r="U22" s="17" t="s">
        <v>137</v>
      </c>
      <c r="V22" s="17" t="s">
        <v>138</v>
      </c>
      <c r="W22" s="17" t="s">
        <v>139</v>
      </c>
      <c r="X22" s="17" t="s">
        <v>140</v>
      </c>
      <c r="Y22" s="17" t="s">
        <v>141</v>
      </c>
      <c r="Z22" s="17" t="s">
        <v>142</v>
      </c>
      <c r="AA22" s="17" t="s">
        <v>35</v>
      </c>
      <c r="AB22" s="17" t="s">
        <v>143</v>
      </c>
      <c r="AC22" s="17" t="s">
        <v>9539</v>
      </c>
      <c r="AD22" s="42">
        <v>15.6</v>
      </c>
      <c r="AE22" s="42">
        <v>16.41</v>
      </c>
      <c r="AF22" s="48"/>
      <c r="AG22" s="44"/>
      <c r="AH22" s="7">
        <f t="shared" si="0"/>
        <v>0</v>
      </c>
      <c r="AI22" s="18"/>
      <c r="AJ22" s="18"/>
    </row>
    <row r="23" spans="1:38" ht="26.65" customHeight="1" x14ac:dyDescent="0.25">
      <c r="A23" s="10" t="s">
        <v>144</v>
      </c>
      <c r="B23" s="9" t="s">
        <v>75</v>
      </c>
      <c r="C23" s="9" t="s">
        <v>34</v>
      </c>
      <c r="D23" s="9" t="s">
        <v>67</v>
      </c>
      <c r="E23" s="9" t="s">
        <v>35</v>
      </c>
      <c r="F23" s="9" t="s">
        <v>36</v>
      </c>
      <c r="G23" s="9">
        <v>6</v>
      </c>
      <c r="H23" s="9">
        <v>84212300</v>
      </c>
      <c r="I23" s="11" t="s">
        <v>37</v>
      </c>
      <c r="J23" s="12">
        <v>2.3E-2</v>
      </c>
      <c r="K23" s="12">
        <v>0.108</v>
      </c>
      <c r="L23" s="12">
        <v>5.1999999999999998E-2</v>
      </c>
      <c r="M23" s="13">
        <v>8003453040212</v>
      </c>
      <c r="N23" s="14">
        <v>0.57999999999999996</v>
      </c>
      <c r="O23" s="14">
        <v>0.64</v>
      </c>
      <c r="P23" s="15" t="s">
        <v>35</v>
      </c>
      <c r="Q23" s="16" t="s">
        <v>145</v>
      </c>
      <c r="R23" s="17" t="s">
        <v>35</v>
      </c>
      <c r="S23" s="17" t="s">
        <v>146</v>
      </c>
      <c r="T23" s="17" t="s">
        <v>147</v>
      </c>
      <c r="U23" s="17" t="s">
        <v>35</v>
      </c>
      <c r="V23" s="17" t="s">
        <v>148</v>
      </c>
      <c r="W23" s="17" t="s">
        <v>35</v>
      </c>
      <c r="X23" s="17" t="s">
        <v>149</v>
      </c>
      <c r="Y23" s="17" t="s">
        <v>150</v>
      </c>
      <c r="Z23" s="17" t="s">
        <v>151</v>
      </c>
      <c r="AA23" s="17" t="s">
        <v>35</v>
      </c>
      <c r="AB23" s="17" t="s">
        <v>152</v>
      </c>
      <c r="AC23" s="17" t="s">
        <v>9539</v>
      </c>
      <c r="AD23" s="42">
        <v>26.04</v>
      </c>
      <c r="AE23" s="42">
        <v>27.39</v>
      </c>
      <c r="AF23" s="48"/>
      <c r="AG23" s="44"/>
      <c r="AH23" s="7">
        <f t="shared" si="0"/>
        <v>0</v>
      </c>
      <c r="AI23" s="18"/>
      <c r="AJ23" s="18"/>
    </row>
    <row r="24" spans="1:38" ht="26.65" customHeight="1" x14ac:dyDescent="0.25">
      <c r="A24" s="10" t="s">
        <v>153</v>
      </c>
      <c r="B24" s="9" t="s">
        <v>75</v>
      </c>
      <c r="C24" s="9" t="s">
        <v>154</v>
      </c>
      <c r="D24" s="9" t="s">
        <v>67</v>
      </c>
      <c r="E24" s="9" t="s">
        <v>35</v>
      </c>
      <c r="F24" s="9" t="s">
        <v>36</v>
      </c>
      <c r="G24" s="9">
        <v>6</v>
      </c>
      <c r="H24" s="9">
        <v>84212300</v>
      </c>
      <c r="I24" s="11" t="s">
        <v>37</v>
      </c>
      <c r="J24" s="12">
        <v>2.3E-2</v>
      </c>
      <c r="K24" s="12">
        <v>0.108</v>
      </c>
      <c r="L24" s="12">
        <v>5.1999999999999998E-2</v>
      </c>
      <c r="M24" s="13">
        <v>8003453043374</v>
      </c>
      <c r="N24" s="14">
        <v>1.081</v>
      </c>
      <c r="O24" s="14">
        <v>1.1419999999999999</v>
      </c>
      <c r="P24" s="15">
        <v>44927</v>
      </c>
      <c r="Q24" s="16" t="s">
        <v>155</v>
      </c>
      <c r="R24" s="17" t="s">
        <v>156</v>
      </c>
      <c r="S24" s="17" t="s">
        <v>157</v>
      </c>
      <c r="T24" s="17" t="s">
        <v>158</v>
      </c>
      <c r="U24" s="17" t="s">
        <v>159</v>
      </c>
      <c r="V24" s="17" t="s">
        <v>160</v>
      </c>
      <c r="W24" s="17" t="s">
        <v>161</v>
      </c>
      <c r="X24" s="17" t="s">
        <v>35</v>
      </c>
      <c r="Y24" s="17" t="s">
        <v>162</v>
      </c>
      <c r="Z24" s="17" t="s">
        <v>163</v>
      </c>
      <c r="AA24" s="17" t="s">
        <v>164</v>
      </c>
      <c r="AB24" s="17" t="s">
        <v>165</v>
      </c>
      <c r="AC24" s="17" t="s">
        <v>9539</v>
      </c>
      <c r="AD24" s="42">
        <v>88.54</v>
      </c>
      <c r="AE24" s="42">
        <v>93.14</v>
      </c>
      <c r="AF24" s="48"/>
      <c r="AG24" s="44"/>
      <c r="AH24" s="7">
        <f t="shared" si="0"/>
        <v>0</v>
      </c>
      <c r="AI24" s="18"/>
      <c r="AJ24" s="18"/>
    </row>
    <row r="25" spans="1:38" ht="26.65" customHeight="1" x14ac:dyDescent="0.25">
      <c r="A25" s="38" t="s">
        <v>166</v>
      </c>
      <c r="B25" s="9" t="s">
        <v>75</v>
      </c>
      <c r="C25" s="9" t="s">
        <v>34</v>
      </c>
      <c r="D25" s="9" t="s">
        <v>67</v>
      </c>
      <c r="E25" s="9" t="s">
        <v>35</v>
      </c>
      <c r="F25" s="9" t="s">
        <v>36</v>
      </c>
      <c r="G25" s="9">
        <v>6</v>
      </c>
      <c r="H25" s="9">
        <v>84212300</v>
      </c>
      <c r="I25" s="11" t="s">
        <v>37</v>
      </c>
      <c r="J25" s="12">
        <v>2.3E-2</v>
      </c>
      <c r="K25" s="12">
        <v>0.108</v>
      </c>
      <c r="L25" s="12">
        <v>5.1999999999999998E-2</v>
      </c>
      <c r="M25" s="13">
        <v>8003453040397</v>
      </c>
      <c r="N25" s="14">
        <v>0.40400000000000003</v>
      </c>
      <c r="O25" s="14">
        <v>0.443</v>
      </c>
      <c r="P25" s="15">
        <v>44868</v>
      </c>
      <c r="Q25" s="16" t="s">
        <v>167</v>
      </c>
      <c r="R25" s="17" t="s">
        <v>168</v>
      </c>
      <c r="S25" s="17" t="s">
        <v>169</v>
      </c>
      <c r="T25" s="17" t="s">
        <v>170</v>
      </c>
      <c r="U25" s="17" t="s">
        <v>171</v>
      </c>
      <c r="V25" s="17" t="s">
        <v>172</v>
      </c>
      <c r="W25" s="17" t="s">
        <v>173</v>
      </c>
      <c r="X25" s="17" t="s">
        <v>174</v>
      </c>
      <c r="Y25" s="17" t="s">
        <v>175</v>
      </c>
      <c r="Z25" s="17" t="s">
        <v>176</v>
      </c>
      <c r="AA25" s="17" t="s">
        <v>35</v>
      </c>
      <c r="AB25" s="17" t="s">
        <v>177</v>
      </c>
      <c r="AC25" s="17" t="s">
        <v>9538</v>
      </c>
      <c r="AD25" s="42">
        <v>17.91</v>
      </c>
      <c r="AE25" s="42">
        <v>18.84</v>
      </c>
      <c r="AF25" s="48"/>
      <c r="AG25" s="44"/>
      <c r="AH25" s="7">
        <f t="shared" si="0"/>
        <v>0</v>
      </c>
      <c r="AI25" s="18"/>
      <c r="AJ25" s="18"/>
    </row>
    <row r="26" spans="1:38" ht="26.65" customHeight="1" x14ac:dyDescent="0.25">
      <c r="A26" s="10" t="s">
        <v>178</v>
      </c>
      <c r="B26" s="9" t="s">
        <v>75</v>
      </c>
      <c r="C26" s="9" t="s">
        <v>43</v>
      </c>
      <c r="D26" s="9" t="s">
        <v>67</v>
      </c>
      <c r="E26" s="9" t="s">
        <v>35</v>
      </c>
      <c r="F26" s="9" t="s">
        <v>36</v>
      </c>
      <c r="G26" s="9">
        <v>6</v>
      </c>
      <c r="H26" s="9">
        <v>84212300</v>
      </c>
      <c r="I26" s="11" t="s">
        <v>37</v>
      </c>
      <c r="J26" s="12">
        <v>2.3E-2</v>
      </c>
      <c r="K26" s="12">
        <v>0.108</v>
      </c>
      <c r="L26" s="12">
        <v>5.1999999999999998E-2</v>
      </c>
      <c r="M26" s="13">
        <v>8003453040465</v>
      </c>
      <c r="N26" s="14">
        <v>0.26</v>
      </c>
      <c r="O26" s="14">
        <v>0.30099999999999999</v>
      </c>
      <c r="P26" s="15" t="s">
        <v>35</v>
      </c>
      <c r="Q26" s="16" t="s">
        <v>179</v>
      </c>
      <c r="R26" s="17" t="s">
        <v>180</v>
      </c>
      <c r="S26" s="17" t="s">
        <v>181</v>
      </c>
      <c r="T26" s="17" t="s">
        <v>182</v>
      </c>
      <c r="U26" s="17" t="s">
        <v>183</v>
      </c>
      <c r="V26" s="17" t="s">
        <v>184</v>
      </c>
      <c r="W26" s="17" t="s">
        <v>185</v>
      </c>
      <c r="X26" s="17" t="s">
        <v>8589</v>
      </c>
      <c r="Y26" s="17" t="s">
        <v>186</v>
      </c>
      <c r="Z26" s="17" t="s">
        <v>187</v>
      </c>
      <c r="AA26" s="17" t="s">
        <v>35</v>
      </c>
      <c r="AB26" s="17" t="s">
        <v>35</v>
      </c>
      <c r="AC26" s="17" t="s">
        <v>9539</v>
      </c>
      <c r="AD26" s="41">
        <v>7.31</v>
      </c>
      <c r="AE26" s="41">
        <v>7.69</v>
      </c>
      <c r="AF26" s="48"/>
      <c r="AG26" s="44"/>
      <c r="AH26" s="7">
        <f t="shared" si="0"/>
        <v>0</v>
      </c>
      <c r="AI26" s="18"/>
      <c r="AJ26" s="18"/>
      <c r="AL26" s="18"/>
    </row>
    <row r="27" spans="1:38" ht="26.65" customHeight="1" x14ac:dyDescent="0.25">
      <c r="A27" s="10" t="s">
        <v>188</v>
      </c>
      <c r="B27" s="9" t="s">
        <v>75</v>
      </c>
      <c r="C27" s="9" t="s">
        <v>43</v>
      </c>
      <c r="D27" s="9" t="s">
        <v>67</v>
      </c>
      <c r="E27" s="9" t="s">
        <v>35</v>
      </c>
      <c r="F27" s="9" t="s">
        <v>36</v>
      </c>
      <c r="G27" s="9">
        <v>6</v>
      </c>
      <c r="H27" s="9">
        <v>84212300</v>
      </c>
      <c r="I27" s="11" t="s">
        <v>37</v>
      </c>
      <c r="J27" s="12">
        <v>2.3E-2</v>
      </c>
      <c r="K27" s="12">
        <v>0.108</v>
      </c>
      <c r="L27" s="12">
        <v>5.1999999999999998E-2</v>
      </c>
      <c r="M27" s="13">
        <v>8003453040489</v>
      </c>
      <c r="N27" s="14">
        <v>0.4</v>
      </c>
      <c r="O27" s="14">
        <v>0.44800000000000001</v>
      </c>
      <c r="P27" s="15" t="s">
        <v>35</v>
      </c>
      <c r="Q27" s="16" t="s">
        <v>189</v>
      </c>
      <c r="R27" s="17" t="s">
        <v>35</v>
      </c>
      <c r="S27" s="17" t="s">
        <v>190</v>
      </c>
      <c r="T27" s="17" t="s">
        <v>191</v>
      </c>
      <c r="U27" s="17" t="s">
        <v>192</v>
      </c>
      <c r="V27" s="17" t="s">
        <v>193</v>
      </c>
      <c r="W27" s="17" t="s">
        <v>194</v>
      </c>
      <c r="X27" s="17" t="s">
        <v>195</v>
      </c>
      <c r="Y27" s="17" t="s">
        <v>196</v>
      </c>
      <c r="Z27" s="17" t="s">
        <v>197</v>
      </c>
      <c r="AA27" s="17" t="s">
        <v>35</v>
      </c>
      <c r="AB27" s="17" t="s">
        <v>198</v>
      </c>
      <c r="AC27" s="17" t="s">
        <v>9539</v>
      </c>
      <c r="AD27" s="41">
        <v>12.08</v>
      </c>
      <c r="AE27" s="41">
        <v>12.71</v>
      </c>
      <c r="AF27" s="48"/>
      <c r="AG27" s="44"/>
      <c r="AH27" s="7">
        <f t="shared" si="0"/>
        <v>0</v>
      </c>
      <c r="AI27" s="18"/>
      <c r="AJ27" s="18"/>
      <c r="AL27" s="18"/>
    </row>
    <row r="28" spans="1:38" ht="26.65" customHeight="1" x14ac:dyDescent="0.25">
      <c r="A28" s="10" t="s">
        <v>9280</v>
      </c>
      <c r="B28" s="9" t="s">
        <v>75</v>
      </c>
      <c r="C28" s="9" t="s">
        <v>58</v>
      </c>
      <c r="D28" s="9" t="s">
        <v>67</v>
      </c>
      <c r="E28" s="9" t="s">
        <v>35</v>
      </c>
      <c r="F28" s="9" t="s">
        <v>36</v>
      </c>
      <c r="G28" s="9">
        <v>6</v>
      </c>
      <c r="H28" s="9">
        <v>84212300</v>
      </c>
      <c r="I28" s="11" t="s">
        <v>37</v>
      </c>
      <c r="J28" s="12">
        <v>2.3E-2</v>
      </c>
      <c r="K28" s="12">
        <v>0.108</v>
      </c>
      <c r="L28" s="12">
        <v>5.1999999999999998E-2</v>
      </c>
      <c r="M28" s="13" t="s">
        <v>35</v>
      </c>
      <c r="N28" s="14">
        <v>0</v>
      </c>
      <c r="O28" s="14">
        <v>0</v>
      </c>
      <c r="P28" s="15">
        <v>45444</v>
      </c>
      <c r="Q28" s="16" t="s">
        <v>9281</v>
      </c>
      <c r="R28" s="17" t="s">
        <v>35</v>
      </c>
      <c r="S28" s="17" t="s">
        <v>9282</v>
      </c>
      <c r="T28" s="17" t="s">
        <v>9283</v>
      </c>
      <c r="U28" s="17" t="s">
        <v>9284</v>
      </c>
      <c r="V28" s="17" t="s">
        <v>35</v>
      </c>
      <c r="W28" s="17" t="s">
        <v>35</v>
      </c>
      <c r="X28" s="17" t="s">
        <v>9285</v>
      </c>
      <c r="Y28" s="17" t="s">
        <v>35</v>
      </c>
      <c r="Z28" s="17" t="s">
        <v>35</v>
      </c>
      <c r="AA28" s="17" t="s">
        <v>35</v>
      </c>
      <c r="AB28" s="17" t="s">
        <v>206</v>
      </c>
      <c r="AC28" s="17" t="s">
        <v>9539</v>
      </c>
      <c r="AD28" s="42">
        <v>18.579999999999998</v>
      </c>
      <c r="AE28" s="42">
        <v>19.55</v>
      </c>
      <c r="AF28" s="48"/>
      <c r="AG28" s="44"/>
      <c r="AH28" s="7">
        <f t="shared" si="0"/>
        <v>0</v>
      </c>
      <c r="AI28" s="18"/>
      <c r="AJ28" s="18"/>
    </row>
    <row r="29" spans="1:38" ht="26.65" customHeight="1" x14ac:dyDescent="0.25">
      <c r="A29" s="10" t="s">
        <v>199</v>
      </c>
      <c r="B29" s="9" t="s">
        <v>75</v>
      </c>
      <c r="C29" s="9" t="s">
        <v>43</v>
      </c>
      <c r="D29" s="9" t="s">
        <v>67</v>
      </c>
      <c r="E29" s="9" t="s">
        <v>35</v>
      </c>
      <c r="F29" s="9" t="s">
        <v>36</v>
      </c>
      <c r="G29" s="9">
        <v>6</v>
      </c>
      <c r="H29" s="9">
        <v>84212300</v>
      </c>
      <c r="I29" s="11" t="s">
        <v>37</v>
      </c>
      <c r="J29" s="12">
        <v>2.3E-2</v>
      </c>
      <c r="K29" s="12">
        <v>0.108</v>
      </c>
      <c r="L29" s="12">
        <v>5.1999999999999998E-2</v>
      </c>
      <c r="M29" s="13">
        <v>8003453040519</v>
      </c>
      <c r="N29" s="14">
        <v>0.32</v>
      </c>
      <c r="O29" s="14">
        <v>0.36</v>
      </c>
      <c r="P29" s="15" t="s">
        <v>35</v>
      </c>
      <c r="Q29" s="16" t="s">
        <v>8590</v>
      </c>
      <c r="R29" s="17" t="s">
        <v>8591</v>
      </c>
      <c r="S29" s="17" t="s">
        <v>8592</v>
      </c>
      <c r="T29" s="17" t="s">
        <v>200</v>
      </c>
      <c r="U29" s="17" t="s">
        <v>35</v>
      </c>
      <c r="V29" s="17" t="s">
        <v>201</v>
      </c>
      <c r="W29" s="17" t="s">
        <v>202</v>
      </c>
      <c r="X29" s="17" t="s">
        <v>203</v>
      </c>
      <c r="Y29" s="17" t="s">
        <v>204</v>
      </c>
      <c r="Z29" s="17" t="s">
        <v>205</v>
      </c>
      <c r="AA29" s="17" t="s">
        <v>35</v>
      </c>
      <c r="AB29" s="17" t="s">
        <v>206</v>
      </c>
      <c r="AC29" s="17" t="s">
        <v>9539</v>
      </c>
      <c r="AD29" s="42">
        <v>13.14</v>
      </c>
      <c r="AE29" s="42">
        <v>13.82</v>
      </c>
      <c r="AF29" s="48"/>
      <c r="AG29" s="44"/>
      <c r="AH29" s="7">
        <f t="shared" si="0"/>
        <v>0</v>
      </c>
      <c r="AI29" s="18"/>
      <c r="AJ29" s="18"/>
    </row>
    <row r="30" spans="1:38" ht="26.65" customHeight="1" x14ac:dyDescent="0.25">
      <c r="A30" s="10" t="s">
        <v>207</v>
      </c>
      <c r="B30" s="9" t="s">
        <v>75</v>
      </c>
      <c r="C30" s="9" t="s">
        <v>43</v>
      </c>
      <c r="D30" s="9" t="s">
        <v>67</v>
      </c>
      <c r="E30" s="9" t="s">
        <v>35</v>
      </c>
      <c r="F30" s="9" t="s">
        <v>36</v>
      </c>
      <c r="G30" s="9">
        <v>6</v>
      </c>
      <c r="H30" s="9">
        <v>84212300</v>
      </c>
      <c r="I30" s="11" t="s">
        <v>37</v>
      </c>
      <c r="J30" s="12">
        <v>2.3E-2</v>
      </c>
      <c r="K30" s="12">
        <v>0.108</v>
      </c>
      <c r="L30" s="12">
        <v>5.1999999999999998E-2</v>
      </c>
      <c r="M30" s="13">
        <v>8003453040557</v>
      </c>
      <c r="N30" s="14">
        <v>0.26500000000000001</v>
      </c>
      <c r="O30" s="14">
        <v>0.30399999999999999</v>
      </c>
      <c r="P30" s="15" t="s">
        <v>35</v>
      </c>
      <c r="Q30" s="16" t="s">
        <v>208</v>
      </c>
      <c r="R30" s="17" t="s">
        <v>35</v>
      </c>
      <c r="S30" s="17" t="s">
        <v>35</v>
      </c>
      <c r="T30" s="17" t="s">
        <v>35</v>
      </c>
      <c r="U30" s="17" t="s">
        <v>209</v>
      </c>
      <c r="V30" s="17" t="s">
        <v>210</v>
      </c>
      <c r="W30" s="17" t="s">
        <v>211</v>
      </c>
      <c r="X30" s="17" t="s">
        <v>212</v>
      </c>
      <c r="Y30" s="17" t="s">
        <v>35</v>
      </c>
      <c r="Z30" s="17" t="s">
        <v>213</v>
      </c>
      <c r="AA30" s="17" t="s">
        <v>35</v>
      </c>
      <c r="AB30" s="17" t="s">
        <v>35</v>
      </c>
      <c r="AC30" s="17" t="s">
        <v>9539</v>
      </c>
      <c r="AD30" s="42">
        <v>14.84</v>
      </c>
      <c r="AE30" s="42">
        <v>15.61</v>
      </c>
      <c r="AF30" s="48"/>
      <c r="AG30" s="44"/>
      <c r="AH30" s="7">
        <f t="shared" si="0"/>
        <v>0</v>
      </c>
      <c r="AI30" s="18"/>
      <c r="AJ30" s="18"/>
    </row>
    <row r="31" spans="1:38" ht="26.65" customHeight="1" x14ac:dyDescent="0.25">
      <c r="A31" s="10" t="s">
        <v>214</v>
      </c>
      <c r="B31" s="9" t="s">
        <v>75</v>
      </c>
      <c r="C31" s="9" t="s">
        <v>34</v>
      </c>
      <c r="D31" s="9" t="s">
        <v>67</v>
      </c>
      <c r="E31" s="9" t="s">
        <v>35</v>
      </c>
      <c r="F31" s="9" t="s">
        <v>36</v>
      </c>
      <c r="G31" s="9">
        <v>6</v>
      </c>
      <c r="H31" s="9">
        <v>84212300</v>
      </c>
      <c r="I31" s="11" t="s">
        <v>37</v>
      </c>
      <c r="J31" s="12">
        <v>2.3E-2</v>
      </c>
      <c r="K31" s="12">
        <v>0.108</v>
      </c>
      <c r="L31" s="12">
        <v>5.1999999999999998E-2</v>
      </c>
      <c r="M31" s="13">
        <v>8003453040595</v>
      </c>
      <c r="N31" s="14">
        <v>0.35599999999999998</v>
      </c>
      <c r="O31" s="14">
        <v>0.39800000000000002</v>
      </c>
      <c r="P31" s="15" t="s">
        <v>35</v>
      </c>
      <c r="Q31" s="16" t="s">
        <v>215</v>
      </c>
      <c r="R31" s="17" t="s">
        <v>35</v>
      </c>
      <c r="S31" s="17" t="s">
        <v>216</v>
      </c>
      <c r="T31" s="17" t="s">
        <v>217</v>
      </c>
      <c r="U31" s="17" t="s">
        <v>218</v>
      </c>
      <c r="V31" s="17" t="s">
        <v>219</v>
      </c>
      <c r="W31" s="17" t="s">
        <v>220</v>
      </c>
      <c r="X31" s="17" t="s">
        <v>221</v>
      </c>
      <c r="Y31" s="17" t="s">
        <v>222</v>
      </c>
      <c r="Z31" s="17" t="s">
        <v>223</v>
      </c>
      <c r="AA31" s="17" t="s">
        <v>35</v>
      </c>
      <c r="AB31" s="17" t="s">
        <v>224</v>
      </c>
      <c r="AC31" s="17" t="s">
        <v>9539</v>
      </c>
      <c r="AD31" s="42">
        <v>17.600000000000001</v>
      </c>
      <c r="AE31" s="42">
        <v>18.52</v>
      </c>
      <c r="AF31" s="48"/>
      <c r="AG31" s="44"/>
      <c r="AH31" s="7">
        <f t="shared" si="0"/>
        <v>0</v>
      </c>
      <c r="AI31" s="18"/>
      <c r="AJ31" s="18"/>
    </row>
    <row r="32" spans="1:38" ht="26.65" customHeight="1" x14ac:dyDescent="0.25">
      <c r="A32" s="38" t="s">
        <v>225</v>
      </c>
      <c r="B32" s="9" t="s">
        <v>75</v>
      </c>
      <c r="C32" s="9" t="s">
        <v>58</v>
      </c>
      <c r="D32" s="9" t="s">
        <v>67</v>
      </c>
      <c r="E32" s="9" t="s">
        <v>35</v>
      </c>
      <c r="F32" s="9" t="s">
        <v>36</v>
      </c>
      <c r="G32" s="9">
        <v>6</v>
      </c>
      <c r="H32" s="9">
        <v>84212300</v>
      </c>
      <c r="I32" s="11" t="s">
        <v>37</v>
      </c>
      <c r="J32" s="12">
        <v>2.3E-2</v>
      </c>
      <c r="K32" s="12">
        <v>0.108</v>
      </c>
      <c r="L32" s="12">
        <v>5.1999999999999998E-2</v>
      </c>
      <c r="M32" s="13">
        <v>8003453040663</v>
      </c>
      <c r="N32" s="14">
        <v>1.25</v>
      </c>
      <c r="O32" s="14">
        <v>1.3540000000000001</v>
      </c>
      <c r="P32" s="15" t="s">
        <v>35</v>
      </c>
      <c r="Q32" s="16" t="s">
        <v>226</v>
      </c>
      <c r="R32" s="17" t="s">
        <v>227</v>
      </c>
      <c r="S32" s="17" t="s">
        <v>228</v>
      </c>
      <c r="T32" s="17" t="s">
        <v>229</v>
      </c>
      <c r="U32" s="17" t="s">
        <v>230</v>
      </c>
      <c r="V32" s="17" t="s">
        <v>231</v>
      </c>
      <c r="W32" s="17" t="s">
        <v>232</v>
      </c>
      <c r="X32" s="17" t="s">
        <v>233</v>
      </c>
      <c r="Y32" s="17" t="s">
        <v>234</v>
      </c>
      <c r="Z32" s="17" t="s">
        <v>235</v>
      </c>
      <c r="AA32" s="17" t="s">
        <v>35</v>
      </c>
      <c r="AB32" s="17" t="s">
        <v>236</v>
      </c>
      <c r="AC32" s="17" t="s">
        <v>9538</v>
      </c>
      <c r="AD32" s="41">
        <v>31.39</v>
      </c>
      <c r="AE32" s="41">
        <v>33.020000000000003</v>
      </c>
      <c r="AF32" s="48"/>
      <c r="AG32" s="44"/>
      <c r="AH32" s="7">
        <f t="shared" si="0"/>
        <v>0</v>
      </c>
      <c r="AI32" s="18"/>
      <c r="AJ32" s="18"/>
      <c r="AL32" s="18"/>
    </row>
    <row r="33" spans="1:38" ht="26.65" customHeight="1" x14ac:dyDescent="0.25">
      <c r="A33" s="10" t="s">
        <v>237</v>
      </c>
      <c r="B33" s="9" t="s">
        <v>75</v>
      </c>
      <c r="C33" s="9" t="s">
        <v>58</v>
      </c>
      <c r="D33" s="9" t="s">
        <v>67</v>
      </c>
      <c r="E33" s="9" t="s">
        <v>35</v>
      </c>
      <c r="F33" s="9" t="s">
        <v>36</v>
      </c>
      <c r="G33" s="9">
        <v>6</v>
      </c>
      <c r="H33" s="9">
        <v>84212300</v>
      </c>
      <c r="I33" s="11" t="s">
        <v>37</v>
      </c>
      <c r="J33" s="12">
        <v>2.3E-2</v>
      </c>
      <c r="K33" s="12">
        <v>0.108</v>
      </c>
      <c r="L33" s="12">
        <v>5.1999999999999998E-2</v>
      </c>
      <c r="M33" s="13">
        <v>8003453043442</v>
      </c>
      <c r="N33" s="14">
        <v>1.17</v>
      </c>
      <c r="O33" s="14">
        <v>1.2869999999999999</v>
      </c>
      <c r="P33" s="15" t="s">
        <v>35</v>
      </c>
      <c r="Q33" s="16" t="s">
        <v>8593</v>
      </c>
      <c r="R33" s="17" t="s">
        <v>35</v>
      </c>
      <c r="S33" s="17" t="s">
        <v>239</v>
      </c>
      <c r="T33" s="17" t="s">
        <v>240</v>
      </c>
      <c r="U33" s="17" t="s">
        <v>241</v>
      </c>
      <c r="V33" s="17" t="s">
        <v>242</v>
      </c>
      <c r="W33" s="17" t="s">
        <v>243</v>
      </c>
      <c r="X33" s="17" t="s">
        <v>233</v>
      </c>
      <c r="Y33" s="17" t="s">
        <v>244</v>
      </c>
      <c r="Z33" s="17" t="s">
        <v>245</v>
      </c>
      <c r="AA33" s="17" t="s">
        <v>35</v>
      </c>
      <c r="AB33" s="17" t="s">
        <v>246</v>
      </c>
      <c r="AC33" s="17" t="s">
        <v>9539</v>
      </c>
      <c r="AD33" s="41">
        <v>52.89</v>
      </c>
      <c r="AE33" s="41">
        <v>55.64</v>
      </c>
      <c r="AF33" s="48"/>
      <c r="AG33" s="44"/>
      <c r="AH33" s="7">
        <f t="shared" si="0"/>
        <v>0</v>
      </c>
      <c r="AI33" s="18"/>
      <c r="AJ33" s="18"/>
      <c r="AL33" s="18"/>
    </row>
    <row r="34" spans="1:38" ht="26.65" customHeight="1" x14ac:dyDescent="0.25">
      <c r="A34" s="10" t="s">
        <v>8594</v>
      </c>
      <c r="B34" s="9" t="s">
        <v>75</v>
      </c>
      <c r="C34" s="9" t="s">
        <v>58</v>
      </c>
      <c r="D34" s="9" t="s">
        <v>67</v>
      </c>
      <c r="E34" s="9" t="s">
        <v>35</v>
      </c>
      <c r="F34" s="9" t="s">
        <v>36</v>
      </c>
      <c r="G34" s="9">
        <v>6</v>
      </c>
      <c r="H34" s="9">
        <v>84212300</v>
      </c>
      <c r="I34" s="11" t="s">
        <v>37</v>
      </c>
      <c r="J34" s="12">
        <v>2.3E-2</v>
      </c>
      <c r="K34" s="12">
        <v>0.108</v>
      </c>
      <c r="L34" s="12">
        <v>5.1999999999999998E-2</v>
      </c>
      <c r="M34" s="13">
        <v>8003453043442</v>
      </c>
      <c r="N34" s="14">
        <v>1.17</v>
      </c>
      <c r="O34" s="14">
        <v>1.2869999999999999</v>
      </c>
      <c r="P34" s="15">
        <v>45323</v>
      </c>
      <c r="Q34" s="16" t="s">
        <v>238</v>
      </c>
      <c r="R34" s="17" t="s">
        <v>8595</v>
      </c>
      <c r="S34" s="17" t="s">
        <v>239</v>
      </c>
      <c r="T34" s="17" t="s">
        <v>240</v>
      </c>
      <c r="U34" s="17" t="s">
        <v>241</v>
      </c>
      <c r="V34" s="17" t="s">
        <v>242</v>
      </c>
      <c r="W34" s="17" t="s">
        <v>243</v>
      </c>
      <c r="X34" s="17" t="s">
        <v>233</v>
      </c>
      <c r="Y34" s="17" t="s">
        <v>244</v>
      </c>
      <c r="Z34" s="17" t="s">
        <v>245</v>
      </c>
      <c r="AA34" s="17" t="s">
        <v>35</v>
      </c>
      <c r="AB34" s="17" t="s">
        <v>246</v>
      </c>
      <c r="AC34" s="17" t="s">
        <v>9539</v>
      </c>
      <c r="AD34" s="41">
        <v>52.89</v>
      </c>
      <c r="AE34" s="41">
        <v>55.64</v>
      </c>
      <c r="AF34" s="48"/>
      <c r="AG34" s="44"/>
      <c r="AH34" s="7">
        <f t="shared" si="0"/>
        <v>0</v>
      </c>
      <c r="AI34" s="18"/>
      <c r="AJ34" s="18"/>
      <c r="AL34" s="18"/>
    </row>
    <row r="35" spans="1:38" ht="26.65" customHeight="1" x14ac:dyDescent="0.25">
      <c r="A35" s="10" t="s">
        <v>9066</v>
      </c>
      <c r="B35" s="9" t="s">
        <v>9067</v>
      </c>
      <c r="C35" s="9" t="s">
        <v>34</v>
      </c>
      <c r="D35" s="9" t="s">
        <v>48</v>
      </c>
      <c r="E35" s="9" t="s">
        <v>35</v>
      </c>
      <c r="F35" s="9" t="s">
        <v>36</v>
      </c>
      <c r="G35" s="9">
        <v>6</v>
      </c>
      <c r="H35" s="9">
        <v>84212300</v>
      </c>
      <c r="I35" s="11" t="s">
        <v>37</v>
      </c>
      <c r="J35" s="12">
        <v>2.3E-2</v>
      </c>
      <c r="K35" s="12">
        <v>0.108</v>
      </c>
      <c r="L35" s="12">
        <v>5.1999999999999998E-2</v>
      </c>
      <c r="M35" s="13">
        <v>8003453043398</v>
      </c>
      <c r="N35" s="14">
        <v>0.623</v>
      </c>
      <c r="O35" s="14">
        <v>0.68600000000000005</v>
      </c>
      <c r="P35" s="15">
        <v>45383</v>
      </c>
      <c r="Q35" s="16" t="s">
        <v>9068</v>
      </c>
      <c r="R35" s="17" t="s">
        <v>35</v>
      </c>
      <c r="S35" s="17" t="s">
        <v>9069</v>
      </c>
      <c r="T35" s="17" t="s">
        <v>35</v>
      </c>
      <c r="U35" s="17" t="s">
        <v>35</v>
      </c>
      <c r="V35" s="17" t="s">
        <v>35</v>
      </c>
      <c r="W35" s="17" t="s">
        <v>35</v>
      </c>
      <c r="X35" s="17" t="s">
        <v>35</v>
      </c>
      <c r="Y35" s="17" t="s">
        <v>9070</v>
      </c>
      <c r="Z35" s="17" t="s">
        <v>9071</v>
      </c>
      <c r="AA35" s="17" t="s">
        <v>35</v>
      </c>
      <c r="AB35" s="17" t="s">
        <v>9072</v>
      </c>
      <c r="AC35" s="17" t="s">
        <v>9539</v>
      </c>
      <c r="AD35" s="42">
        <v>79.14</v>
      </c>
      <c r="AE35" s="42">
        <v>83.26</v>
      </c>
      <c r="AF35" s="48"/>
      <c r="AG35" s="44"/>
      <c r="AH35" s="7">
        <f t="shared" si="0"/>
        <v>0</v>
      </c>
      <c r="AI35" s="18"/>
      <c r="AJ35" s="18"/>
    </row>
    <row r="36" spans="1:38" ht="26.65" customHeight="1" x14ac:dyDescent="0.25">
      <c r="A36" s="38" t="s">
        <v>247</v>
      </c>
      <c r="B36" s="9" t="s">
        <v>75</v>
      </c>
      <c r="C36" s="9" t="s">
        <v>34</v>
      </c>
      <c r="D36" s="9" t="s">
        <v>67</v>
      </c>
      <c r="E36" s="9" t="s">
        <v>35</v>
      </c>
      <c r="F36" s="9" t="s">
        <v>36</v>
      </c>
      <c r="G36" s="9">
        <v>6</v>
      </c>
      <c r="H36" s="9">
        <v>84212300</v>
      </c>
      <c r="I36" s="11" t="s">
        <v>37</v>
      </c>
      <c r="J36" s="12">
        <v>2.3E-2</v>
      </c>
      <c r="K36" s="12">
        <v>0.108</v>
      </c>
      <c r="L36" s="12">
        <v>5.1999999999999998E-2</v>
      </c>
      <c r="M36" s="13">
        <v>8003453040755</v>
      </c>
      <c r="N36" s="14">
        <v>0.61</v>
      </c>
      <c r="O36" s="14">
        <v>0.67500000000000004</v>
      </c>
      <c r="P36" s="15" t="s">
        <v>35</v>
      </c>
      <c r="Q36" s="16" t="s">
        <v>248</v>
      </c>
      <c r="R36" s="17" t="s">
        <v>35</v>
      </c>
      <c r="S36" s="17" t="s">
        <v>249</v>
      </c>
      <c r="T36" s="17" t="s">
        <v>250</v>
      </c>
      <c r="U36" s="17" t="s">
        <v>251</v>
      </c>
      <c r="V36" s="17" t="s">
        <v>252</v>
      </c>
      <c r="W36" s="17" t="s">
        <v>253</v>
      </c>
      <c r="X36" s="17" t="s">
        <v>254</v>
      </c>
      <c r="Y36" s="17" t="s">
        <v>255</v>
      </c>
      <c r="Z36" s="17" t="s">
        <v>256</v>
      </c>
      <c r="AA36" s="17" t="s">
        <v>35</v>
      </c>
      <c r="AB36" s="17" t="s">
        <v>257</v>
      </c>
      <c r="AC36" s="17" t="s">
        <v>9538</v>
      </c>
      <c r="AD36" s="41">
        <v>20.88</v>
      </c>
      <c r="AE36" s="41">
        <v>21.97</v>
      </c>
      <c r="AF36" s="48"/>
      <c r="AG36" s="44"/>
      <c r="AH36" s="7">
        <f t="shared" si="0"/>
        <v>0</v>
      </c>
      <c r="AI36" s="18"/>
      <c r="AJ36" s="18"/>
      <c r="AL36" s="18"/>
    </row>
    <row r="37" spans="1:38" ht="26.65" customHeight="1" x14ac:dyDescent="0.25">
      <c r="A37" s="10" t="s">
        <v>258</v>
      </c>
      <c r="B37" s="9" t="s">
        <v>75</v>
      </c>
      <c r="C37" s="9" t="s">
        <v>34</v>
      </c>
      <c r="D37" s="9" t="s">
        <v>67</v>
      </c>
      <c r="E37" s="9" t="s">
        <v>35</v>
      </c>
      <c r="F37" s="9" t="s">
        <v>36</v>
      </c>
      <c r="G37" s="9">
        <v>6</v>
      </c>
      <c r="H37" s="9">
        <v>84212300</v>
      </c>
      <c r="I37" s="11" t="s">
        <v>37</v>
      </c>
      <c r="J37" s="12">
        <v>2.3E-2</v>
      </c>
      <c r="K37" s="12">
        <v>0.108</v>
      </c>
      <c r="L37" s="12">
        <v>5.1999999999999998E-2</v>
      </c>
      <c r="M37" s="13">
        <v>8003453043503</v>
      </c>
      <c r="N37" s="14">
        <v>0.65</v>
      </c>
      <c r="O37" s="14">
        <v>0.71899999999999997</v>
      </c>
      <c r="P37" s="15">
        <v>44896</v>
      </c>
      <c r="Q37" s="16" t="s">
        <v>259</v>
      </c>
      <c r="R37" s="17" t="s">
        <v>260</v>
      </c>
      <c r="S37" s="17" t="s">
        <v>261</v>
      </c>
      <c r="T37" s="17" t="s">
        <v>262</v>
      </c>
      <c r="U37" s="17" t="s">
        <v>263</v>
      </c>
      <c r="V37" s="17" t="s">
        <v>35</v>
      </c>
      <c r="W37" s="17" t="s">
        <v>35</v>
      </c>
      <c r="X37" s="17" t="s">
        <v>264</v>
      </c>
      <c r="Y37" s="17" t="s">
        <v>35</v>
      </c>
      <c r="Z37" s="17" t="s">
        <v>265</v>
      </c>
      <c r="AA37" s="17" t="s">
        <v>35</v>
      </c>
      <c r="AB37" s="17" t="s">
        <v>266</v>
      </c>
      <c r="AC37" s="17" t="s">
        <v>9539</v>
      </c>
      <c r="AD37" s="42">
        <v>29.2</v>
      </c>
      <c r="AE37" s="42">
        <v>30.72</v>
      </c>
      <c r="AF37" s="48"/>
      <c r="AG37" s="44"/>
      <c r="AH37" s="7">
        <f t="shared" si="0"/>
        <v>0</v>
      </c>
      <c r="AI37" s="18"/>
      <c r="AJ37" s="18"/>
    </row>
    <row r="38" spans="1:38" ht="26.65" customHeight="1" x14ac:dyDescent="0.25">
      <c r="A38" s="10" t="s">
        <v>267</v>
      </c>
      <c r="B38" s="9" t="s">
        <v>75</v>
      </c>
      <c r="C38" s="9" t="s">
        <v>43</v>
      </c>
      <c r="D38" s="9" t="s">
        <v>48</v>
      </c>
      <c r="E38" s="9" t="s">
        <v>35</v>
      </c>
      <c r="F38" s="9" t="s">
        <v>36</v>
      </c>
      <c r="G38" s="9">
        <v>6</v>
      </c>
      <c r="H38" s="9">
        <v>84212300</v>
      </c>
      <c r="I38" s="11" t="s">
        <v>37</v>
      </c>
      <c r="J38" s="12">
        <v>2.3E-2</v>
      </c>
      <c r="K38" s="12">
        <v>0.108</v>
      </c>
      <c r="L38" s="12">
        <v>5.1999999999999998E-2</v>
      </c>
      <c r="M38" s="13">
        <v>8003453040885</v>
      </c>
      <c r="N38" s="14">
        <v>0.48</v>
      </c>
      <c r="O38" s="14">
        <v>0.51</v>
      </c>
      <c r="P38" s="15" t="s">
        <v>35</v>
      </c>
      <c r="Q38" s="16" t="s">
        <v>268</v>
      </c>
      <c r="R38" s="17" t="s">
        <v>35</v>
      </c>
      <c r="S38" s="17" t="s">
        <v>269</v>
      </c>
      <c r="T38" s="17" t="s">
        <v>35</v>
      </c>
      <c r="U38" s="17" t="s">
        <v>35</v>
      </c>
      <c r="V38" s="17" t="s">
        <v>35</v>
      </c>
      <c r="W38" s="17" t="s">
        <v>35</v>
      </c>
      <c r="X38" s="17" t="s">
        <v>35</v>
      </c>
      <c r="Y38" s="17" t="s">
        <v>35</v>
      </c>
      <c r="Z38" s="17" t="s">
        <v>35</v>
      </c>
      <c r="AA38" s="17" t="s">
        <v>35</v>
      </c>
      <c r="AB38" s="17" t="s">
        <v>35</v>
      </c>
      <c r="AC38" s="17" t="s">
        <v>9539</v>
      </c>
      <c r="AD38" s="41">
        <v>18.079999999999998</v>
      </c>
      <c r="AE38" s="41">
        <v>19.02</v>
      </c>
      <c r="AF38" s="48"/>
      <c r="AG38" s="44"/>
      <c r="AH38" s="7">
        <f t="shared" si="0"/>
        <v>0</v>
      </c>
      <c r="AI38" s="18"/>
      <c r="AJ38" s="18"/>
      <c r="AL38" s="18"/>
    </row>
    <row r="39" spans="1:38" ht="26.65" customHeight="1" x14ac:dyDescent="0.25">
      <c r="A39" s="10" t="s">
        <v>9073</v>
      </c>
      <c r="B39" s="9" t="s">
        <v>9067</v>
      </c>
      <c r="C39" s="9" t="s">
        <v>43</v>
      </c>
      <c r="D39" s="9" t="s">
        <v>67</v>
      </c>
      <c r="E39" s="9" t="s">
        <v>35</v>
      </c>
      <c r="F39" s="9" t="s">
        <v>36</v>
      </c>
      <c r="G39" s="9">
        <v>6</v>
      </c>
      <c r="H39" s="9">
        <v>84212300</v>
      </c>
      <c r="I39" s="11" t="s">
        <v>37</v>
      </c>
      <c r="J39" s="12">
        <v>2.3E-2</v>
      </c>
      <c r="K39" s="12">
        <v>0.108</v>
      </c>
      <c r="L39" s="12">
        <v>5.1999999999999998E-2</v>
      </c>
      <c r="M39" s="13">
        <v>8003453041189</v>
      </c>
      <c r="N39" s="14">
        <v>0.29599999999999999</v>
      </c>
      <c r="O39" s="14"/>
      <c r="P39" s="15">
        <v>45383</v>
      </c>
      <c r="Q39" s="16" t="s">
        <v>9074</v>
      </c>
      <c r="R39" s="17" t="s">
        <v>35</v>
      </c>
      <c r="S39" s="17" t="s">
        <v>9075</v>
      </c>
      <c r="T39" s="17" t="s">
        <v>9076</v>
      </c>
      <c r="U39" s="17" t="s">
        <v>9077</v>
      </c>
      <c r="V39" s="17" t="s">
        <v>9078</v>
      </c>
      <c r="W39" s="17" t="s">
        <v>9079</v>
      </c>
      <c r="X39" s="17" t="s">
        <v>9080</v>
      </c>
      <c r="Y39" s="17" t="s">
        <v>9081</v>
      </c>
      <c r="Z39" s="17" t="s">
        <v>35</v>
      </c>
      <c r="AA39" s="17" t="s">
        <v>35</v>
      </c>
      <c r="AB39" s="17" t="s">
        <v>35</v>
      </c>
      <c r="AC39" s="17" t="s">
        <v>9539</v>
      </c>
      <c r="AD39" s="42">
        <v>9.01</v>
      </c>
      <c r="AE39" s="42">
        <v>9.48</v>
      </c>
      <c r="AF39" s="48"/>
      <c r="AG39" s="44"/>
      <c r="AH39" s="7">
        <f t="shared" si="0"/>
        <v>0</v>
      </c>
      <c r="AI39" s="18"/>
      <c r="AJ39" s="18"/>
    </row>
    <row r="40" spans="1:38" ht="26.65" customHeight="1" x14ac:dyDescent="0.25">
      <c r="A40" s="10" t="s">
        <v>270</v>
      </c>
      <c r="B40" s="9" t="s">
        <v>75</v>
      </c>
      <c r="C40" s="9" t="s">
        <v>34</v>
      </c>
      <c r="D40" s="9" t="s">
        <v>67</v>
      </c>
      <c r="E40" s="9" t="s">
        <v>35</v>
      </c>
      <c r="F40" s="9" t="s">
        <v>36</v>
      </c>
      <c r="G40" s="9">
        <v>6</v>
      </c>
      <c r="H40" s="9">
        <v>84212300</v>
      </c>
      <c r="I40" s="11" t="s">
        <v>37</v>
      </c>
      <c r="J40" s="12">
        <v>2.3E-2</v>
      </c>
      <c r="K40" s="12">
        <v>0.108</v>
      </c>
      <c r="L40" s="12">
        <v>5.1999999999999998E-2</v>
      </c>
      <c r="M40" s="13">
        <v>8003453041202</v>
      </c>
      <c r="N40" s="14">
        <v>0.51300000000000001</v>
      </c>
      <c r="O40" s="14">
        <v>0.54500000000000004</v>
      </c>
      <c r="P40" s="15">
        <v>44896</v>
      </c>
      <c r="Q40" s="16" t="s">
        <v>271</v>
      </c>
      <c r="R40" s="17" t="s">
        <v>272</v>
      </c>
      <c r="S40" s="17" t="s">
        <v>273</v>
      </c>
      <c r="T40" s="17" t="s">
        <v>35</v>
      </c>
      <c r="U40" s="17" t="s">
        <v>274</v>
      </c>
      <c r="V40" s="17" t="s">
        <v>275</v>
      </c>
      <c r="W40" s="17" t="s">
        <v>276</v>
      </c>
      <c r="X40" s="17" t="s">
        <v>277</v>
      </c>
      <c r="Y40" s="17" t="s">
        <v>278</v>
      </c>
      <c r="Z40" s="17" t="s">
        <v>279</v>
      </c>
      <c r="AA40" s="17" t="s">
        <v>35</v>
      </c>
      <c r="AB40" s="17" t="s">
        <v>280</v>
      </c>
      <c r="AC40" s="17" t="s">
        <v>9539</v>
      </c>
      <c r="AD40" s="42">
        <v>26.42</v>
      </c>
      <c r="AE40" s="42">
        <v>27.79</v>
      </c>
      <c r="AF40" s="48"/>
      <c r="AG40" s="44"/>
      <c r="AH40" s="7">
        <f t="shared" si="0"/>
        <v>0</v>
      </c>
      <c r="AI40" s="18"/>
      <c r="AJ40" s="18"/>
    </row>
    <row r="41" spans="1:38" ht="26.65" customHeight="1" x14ac:dyDescent="0.25">
      <c r="A41" s="10" t="s">
        <v>281</v>
      </c>
      <c r="B41" s="9" t="s">
        <v>75</v>
      </c>
      <c r="C41" s="9" t="s">
        <v>34</v>
      </c>
      <c r="D41" s="9" t="s">
        <v>67</v>
      </c>
      <c r="E41" s="9" t="s">
        <v>35</v>
      </c>
      <c r="F41" s="9" t="s">
        <v>36</v>
      </c>
      <c r="G41" s="9">
        <v>6</v>
      </c>
      <c r="H41" s="9">
        <v>84212300</v>
      </c>
      <c r="I41" s="11" t="s">
        <v>37</v>
      </c>
      <c r="J41" s="12">
        <v>2.3E-2</v>
      </c>
      <c r="K41" s="12">
        <v>0.108</v>
      </c>
      <c r="L41" s="12">
        <v>5.1999999999999998E-2</v>
      </c>
      <c r="M41" s="13">
        <v>8003453041325</v>
      </c>
      <c r="N41" s="14">
        <v>0.36399999999999999</v>
      </c>
      <c r="O41" s="14">
        <v>0.40799999999999997</v>
      </c>
      <c r="P41" s="15" t="s">
        <v>35</v>
      </c>
      <c r="Q41" s="16" t="s">
        <v>282</v>
      </c>
      <c r="R41" s="17" t="s">
        <v>35</v>
      </c>
      <c r="S41" s="17" t="s">
        <v>283</v>
      </c>
      <c r="T41" s="17" t="s">
        <v>284</v>
      </c>
      <c r="U41" s="17" t="s">
        <v>285</v>
      </c>
      <c r="V41" s="17" t="s">
        <v>286</v>
      </c>
      <c r="W41" s="17" t="s">
        <v>287</v>
      </c>
      <c r="X41" s="17" t="s">
        <v>288</v>
      </c>
      <c r="Y41" s="17" t="s">
        <v>289</v>
      </c>
      <c r="Z41" s="17" t="s">
        <v>35</v>
      </c>
      <c r="AA41" s="17" t="s">
        <v>35</v>
      </c>
      <c r="AB41" s="17" t="s">
        <v>290</v>
      </c>
      <c r="AC41" s="17" t="s">
        <v>9539</v>
      </c>
      <c r="AD41" s="42">
        <v>17.600000000000001</v>
      </c>
      <c r="AE41" s="42">
        <v>18.52</v>
      </c>
      <c r="AF41" s="48"/>
      <c r="AG41" s="44"/>
      <c r="AH41" s="7">
        <f t="shared" si="0"/>
        <v>0</v>
      </c>
      <c r="AI41" s="18"/>
      <c r="AJ41" s="18"/>
    </row>
    <row r="42" spans="1:38" ht="26.65" customHeight="1" x14ac:dyDescent="0.25">
      <c r="A42" s="10" t="s">
        <v>291</v>
      </c>
      <c r="B42" s="9" t="s">
        <v>75</v>
      </c>
      <c r="C42" s="9" t="s">
        <v>43</v>
      </c>
      <c r="D42" s="9" t="s">
        <v>48</v>
      </c>
      <c r="E42" s="9" t="s">
        <v>35</v>
      </c>
      <c r="F42" s="9" t="s">
        <v>36</v>
      </c>
      <c r="G42" s="9">
        <v>6</v>
      </c>
      <c r="H42" s="9">
        <v>84212300</v>
      </c>
      <c r="I42" s="11" t="s">
        <v>37</v>
      </c>
      <c r="J42" s="12">
        <v>2.3E-2</v>
      </c>
      <c r="K42" s="12">
        <v>0.108</v>
      </c>
      <c r="L42" s="12">
        <v>5.1999999999999998E-2</v>
      </c>
      <c r="M42" s="13">
        <v>8003453041653</v>
      </c>
      <c r="N42" s="14">
        <v>0.64500000000000002</v>
      </c>
      <c r="O42" s="14">
        <v>0.71499999999999997</v>
      </c>
      <c r="P42" s="15" t="s">
        <v>35</v>
      </c>
      <c r="Q42" s="16" t="s">
        <v>292</v>
      </c>
      <c r="R42" s="17" t="s">
        <v>293</v>
      </c>
      <c r="S42" s="17" t="s">
        <v>294</v>
      </c>
      <c r="T42" s="17" t="s">
        <v>35</v>
      </c>
      <c r="U42" s="17" t="s">
        <v>295</v>
      </c>
      <c r="V42" s="17" t="s">
        <v>296</v>
      </c>
      <c r="W42" s="17" t="s">
        <v>297</v>
      </c>
      <c r="X42" s="17" t="s">
        <v>298</v>
      </c>
      <c r="Y42" s="17" t="s">
        <v>299</v>
      </c>
      <c r="Z42" s="17" t="s">
        <v>35</v>
      </c>
      <c r="AA42" s="17" t="s">
        <v>35</v>
      </c>
      <c r="AB42" s="17" t="s">
        <v>35</v>
      </c>
      <c r="AC42" s="17" t="s">
        <v>9539</v>
      </c>
      <c r="AD42" s="42">
        <v>59.96</v>
      </c>
      <c r="AE42" s="42">
        <v>63.08</v>
      </c>
      <c r="AF42" s="48"/>
      <c r="AG42" s="44"/>
      <c r="AH42" s="7">
        <f t="shared" si="0"/>
        <v>0</v>
      </c>
      <c r="AI42" s="18"/>
      <c r="AJ42" s="18"/>
    </row>
    <row r="43" spans="1:38" ht="26.65" customHeight="1" x14ac:dyDescent="0.25">
      <c r="A43" s="10" t="s">
        <v>300</v>
      </c>
      <c r="B43" s="9" t="s">
        <v>75</v>
      </c>
      <c r="C43" s="9" t="s">
        <v>43</v>
      </c>
      <c r="D43" s="9" t="s">
        <v>67</v>
      </c>
      <c r="E43" s="9" t="s">
        <v>35</v>
      </c>
      <c r="F43" s="9" t="s">
        <v>36</v>
      </c>
      <c r="G43" s="9">
        <v>6</v>
      </c>
      <c r="H43" s="9">
        <v>84212300</v>
      </c>
      <c r="I43" s="11" t="s">
        <v>37</v>
      </c>
      <c r="J43" s="12">
        <v>2.3E-2</v>
      </c>
      <c r="K43" s="12">
        <v>0.108</v>
      </c>
      <c r="L43" s="12">
        <v>5.1999999999999998E-2</v>
      </c>
      <c r="M43" s="13">
        <v>8003453041707</v>
      </c>
      <c r="N43" s="14">
        <v>0.77</v>
      </c>
      <c r="O43" s="14">
        <v>0.84299999999999997</v>
      </c>
      <c r="P43" s="15" t="s">
        <v>35</v>
      </c>
      <c r="Q43" s="16" t="s">
        <v>301</v>
      </c>
      <c r="R43" s="17" t="s">
        <v>35</v>
      </c>
      <c r="S43" s="17" t="s">
        <v>302</v>
      </c>
      <c r="T43" s="17" t="s">
        <v>303</v>
      </c>
      <c r="U43" s="17" t="s">
        <v>35</v>
      </c>
      <c r="V43" s="17" t="s">
        <v>304</v>
      </c>
      <c r="W43" s="17" t="s">
        <v>305</v>
      </c>
      <c r="X43" s="17" t="s">
        <v>306</v>
      </c>
      <c r="Y43" s="17" t="s">
        <v>307</v>
      </c>
      <c r="Z43" s="17" t="s">
        <v>308</v>
      </c>
      <c r="AA43" s="17" t="s">
        <v>35</v>
      </c>
      <c r="AB43" s="17" t="s">
        <v>309</v>
      </c>
      <c r="AC43" s="17" t="s">
        <v>9539</v>
      </c>
      <c r="AD43" s="42">
        <v>34.83</v>
      </c>
      <c r="AE43" s="42">
        <v>36.64</v>
      </c>
      <c r="AF43" s="48"/>
      <c r="AG43" s="44"/>
      <c r="AH43" s="7">
        <f t="shared" si="0"/>
        <v>0</v>
      </c>
      <c r="AI43" s="18"/>
      <c r="AJ43" s="18"/>
    </row>
    <row r="44" spans="1:38" ht="26.65" customHeight="1" x14ac:dyDescent="0.25">
      <c r="A44" s="10" t="s">
        <v>310</v>
      </c>
      <c r="B44" s="9" t="s">
        <v>75</v>
      </c>
      <c r="C44" s="9" t="s">
        <v>34</v>
      </c>
      <c r="D44" s="9" t="s">
        <v>67</v>
      </c>
      <c r="E44" s="9" t="s">
        <v>35</v>
      </c>
      <c r="F44" s="9" t="s">
        <v>36</v>
      </c>
      <c r="G44" s="9">
        <v>6</v>
      </c>
      <c r="H44" s="9">
        <v>84212300</v>
      </c>
      <c r="I44" s="11" t="s">
        <v>37</v>
      </c>
      <c r="J44" s="12">
        <v>2.3E-2</v>
      </c>
      <c r="K44" s="12">
        <v>0.108</v>
      </c>
      <c r="L44" s="12">
        <v>5.1999999999999998E-2</v>
      </c>
      <c r="M44" s="13">
        <v>8003453041745</v>
      </c>
      <c r="N44" s="14">
        <v>0.59</v>
      </c>
      <c r="O44" s="14">
        <v>0.65</v>
      </c>
      <c r="P44" s="15" t="s">
        <v>35</v>
      </c>
      <c r="Q44" s="16" t="s">
        <v>311</v>
      </c>
      <c r="R44" s="17" t="s">
        <v>35</v>
      </c>
      <c r="S44" s="17" t="s">
        <v>312</v>
      </c>
      <c r="T44" s="17" t="s">
        <v>313</v>
      </c>
      <c r="U44" s="17" t="s">
        <v>90</v>
      </c>
      <c r="V44" s="17" t="s">
        <v>91</v>
      </c>
      <c r="W44" s="17" t="s">
        <v>92</v>
      </c>
      <c r="X44" s="17" t="s">
        <v>314</v>
      </c>
      <c r="Y44" s="17" t="s">
        <v>315</v>
      </c>
      <c r="Z44" s="17" t="s">
        <v>316</v>
      </c>
      <c r="AA44" s="17" t="s">
        <v>35</v>
      </c>
      <c r="AB44" s="17" t="s">
        <v>317</v>
      </c>
      <c r="AC44" s="17" t="s">
        <v>9539</v>
      </c>
      <c r="AD44" s="42">
        <v>19.68</v>
      </c>
      <c r="AE44" s="42">
        <v>20.7</v>
      </c>
      <c r="AF44" s="48"/>
      <c r="AG44" s="44"/>
      <c r="AH44" s="7">
        <f t="shared" si="0"/>
        <v>0</v>
      </c>
      <c r="AI44" s="18"/>
      <c r="AJ44" s="18"/>
    </row>
    <row r="45" spans="1:38" ht="26.65" customHeight="1" x14ac:dyDescent="0.25">
      <c r="A45" s="10" t="s">
        <v>318</v>
      </c>
      <c r="B45" s="9" t="s">
        <v>75</v>
      </c>
      <c r="C45" s="9" t="s">
        <v>34</v>
      </c>
      <c r="D45" s="9" t="s">
        <v>67</v>
      </c>
      <c r="E45" s="9" t="s">
        <v>35</v>
      </c>
      <c r="F45" s="9" t="s">
        <v>36</v>
      </c>
      <c r="G45" s="9">
        <v>6</v>
      </c>
      <c r="H45" s="9">
        <v>84212300</v>
      </c>
      <c r="I45" s="11" t="s">
        <v>37</v>
      </c>
      <c r="J45" s="12">
        <v>2.3E-2</v>
      </c>
      <c r="K45" s="12">
        <v>0.108</v>
      </c>
      <c r="L45" s="12">
        <v>5.1999999999999998E-2</v>
      </c>
      <c r="M45" s="13">
        <v>8003453041769</v>
      </c>
      <c r="N45" s="14">
        <v>0.311</v>
      </c>
      <c r="O45" s="14">
        <v>0.35</v>
      </c>
      <c r="P45" s="15">
        <v>44896</v>
      </c>
      <c r="Q45" s="16" t="s">
        <v>319</v>
      </c>
      <c r="R45" s="17" t="s">
        <v>320</v>
      </c>
      <c r="S45" s="17" t="s">
        <v>321</v>
      </c>
      <c r="T45" s="17" t="s">
        <v>322</v>
      </c>
      <c r="U45" s="17" t="s">
        <v>209</v>
      </c>
      <c r="V45" s="17" t="s">
        <v>35</v>
      </c>
      <c r="W45" s="17" t="s">
        <v>35</v>
      </c>
      <c r="X45" s="17" t="s">
        <v>35</v>
      </c>
      <c r="Y45" s="17" t="s">
        <v>35</v>
      </c>
      <c r="Z45" s="17" t="s">
        <v>323</v>
      </c>
      <c r="AA45" s="17" t="s">
        <v>35</v>
      </c>
      <c r="AB45" s="17" t="s">
        <v>324</v>
      </c>
      <c r="AC45" s="17" t="s">
        <v>9539</v>
      </c>
      <c r="AD45" s="42">
        <v>19.91</v>
      </c>
      <c r="AE45" s="42">
        <v>20.95</v>
      </c>
      <c r="AF45" s="48"/>
      <c r="AG45" s="44"/>
      <c r="AH45" s="7">
        <f t="shared" si="0"/>
        <v>0</v>
      </c>
      <c r="AI45" s="18"/>
      <c r="AJ45" s="18"/>
    </row>
    <row r="46" spans="1:38" ht="26.65" customHeight="1" x14ac:dyDescent="0.25">
      <c r="A46" s="10" t="s">
        <v>9933</v>
      </c>
      <c r="B46" s="9" t="s">
        <v>75</v>
      </c>
      <c r="C46" s="9" t="s">
        <v>34</v>
      </c>
      <c r="D46" s="9" t="s">
        <v>48</v>
      </c>
      <c r="E46" s="9" t="s">
        <v>35</v>
      </c>
      <c r="F46" s="9" t="s">
        <v>36</v>
      </c>
      <c r="G46" s="9">
        <v>6</v>
      </c>
      <c r="H46" s="9">
        <v>84212300</v>
      </c>
      <c r="I46" s="11" t="s">
        <v>37</v>
      </c>
      <c r="J46" s="12">
        <v>2.3E-2</v>
      </c>
      <c r="K46" s="12">
        <v>0.108</v>
      </c>
      <c r="L46" s="12">
        <v>5.1999999999999998E-2</v>
      </c>
      <c r="M46" s="13">
        <v>8003453810914</v>
      </c>
      <c r="N46" s="14">
        <v>0</v>
      </c>
      <c r="O46" s="14">
        <v>0</v>
      </c>
      <c r="P46" s="15">
        <v>45566</v>
      </c>
      <c r="Q46" s="16" t="s">
        <v>319</v>
      </c>
      <c r="R46" s="17" t="s">
        <v>35</v>
      </c>
      <c r="S46" s="17" t="s">
        <v>321</v>
      </c>
      <c r="T46" s="17" t="s">
        <v>322</v>
      </c>
      <c r="U46" s="17" t="s">
        <v>209</v>
      </c>
      <c r="V46" s="17" t="s">
        <v>9934</v>
      </c>
      <c r="W46" s="17" t="s">
        <v>35</v>
      </c>
      <c r="X46" s="17" t="s">
        <v>9935</v>
      </c>
      <c r="Y46" s="17" t="s">
        <v>9936</v>
      </c>
      <c r="Z46" s="17" t="s">
        <v>323</v>
      </c>
      <c r="AA46" s="17" t="s">
        <v>35</v>
      </c>
      <c r="AB46" s="17" t="s">
        <v>324</v>
      </c>
      <c r="AC46" s="17" t="s">
        <v>9539</v>
      </c>
      <c r="AD46" s="41">
        <v>18.420000000000002</v>
      </c>
      <c r="AE46" s="41">
        <v>19.38</v>
      </c>
      <c r="AF46" s="48"/>
      <c r="AG46" s="44"/>
      <c r="AH46" s="7">
        <f t="shared" si="0"/>
        <v>0</v>
      </c>
      <c r="AI46" s="18"/>
      <c r="AJ46" s="18"/>
    </row>
    <row r="47" spans="1:38" ht="26.65" customHeight="1" x14ac:dyDescent="0.25">
      <c r="A47" s="10" t="s">
        <v>325</v>
      </c>
      <c r="B47" s="9" t="s">
        <v>75</v>
      </c>
      <c r="C47" s="9" t="s">
        <v>43</v>
      </c>
      <c r="D47" s="9" t="s">
        <v>67</v>
      </c>
      <c r="E47" s="9" t="s">
        <v>35</v>
      </c>
      <c r="F47" s="9" t="s">
        <v>36</v>
      </c>
      <c r="G47" s="9">
        <v>6</v>
      </c>
      <c r="H47" s="9">
        <v>84212300</v>
      </c>
      <c r="I47" s="11" t="s">
        <v>37</v>
      </c>
      <c r="J47" s="12">
        <v>2.3E-2</v>
      </c>
      <c r="K47" s="12">
        <v>0.108</v>
      </c>
      <c r="L47" s="12">
        <v>5.1999999999999998E-2</v>
      </c>
      <c r="M47" s="13">
        <v>8003453041813</v>
      </c>
      <c r="N47" s="14">
        <v>0.84599999999999997</v>
      </c>
      <c r="O47" s="14">
        <v>0.875</v>
      </c>
      <c r="P47" s="15" t="s">
        <v>35</v>
      </c>
      <c r="Q47" s="16" t="s">
        <v>326</v>
      </c>
      <c r="R47" s="17" t="s">
        <v>35</v>
      </c>
      <c r="S47" s="17" t="s">
        <v>327</v>
      </c>
      <c r="T47" s="17" t="s">
        <v>328</v>
      </c>
      <c r="U47" s="17" t="s">
        <v>329</v>
      </c>
      <c r="V47" s="17" t="s">
        <v>330</v>
      </c>
      <c r="W47" s="17" t="s">
        <v>331</v>
      </c>
      <c r="X47" s="17" t="s">
        <v>332</v>
      </c>
      <c r="Y47" s="17" t="s">
        <v>333</v>
      </c>
      <c r="Z47" s="17" t="s">
        <v>334</v>
      </c>
      <c r="AA47" s="17" t="s">
        <v>35</v>
      </c>
      <c r="AB47" s="17" t="s">
        <v>35</v>
      </c>
      <c r="AC47" s="17" t="s">
        <v>9539</v>
      </c>
      <c r="AD47" s="42">
        <v>31.33</v>
      </c>
      <c r="AE47" s="42">
        <v>32.96</v>
      </c>
      <c r="AF47" s="48"/>
      <c r="AG47" s="44"/>
      <c r="AH47" s="7">
        <f t="shared" si="0"/>
        <v>0</v>
      </c>
      <c r="AI47" s="18"/>
      <c r="AJ47" s="18"/>
    </row>
    <row r="48" spans="1:38" ht="26.65" customHeight="1" x14ac:dyDescent="0.25">
      <c r="A48" s="10" t="s">
        <v>335</v>
      </c>
      <c r="B48" s="9" t="s">
        <v>75</v>
      </c>
      <c r="C48" s="9" t="s">
        <v>43</v>
      </c>
      <c r="D48" s="9" t="s">
        <v>67</v>
      </c>
      <c r="E48" s="9" t="s">
        <v>35</v>
      </c>
      <c r="F48" s="9" t="s">
        <v>36</v>
      </c>
      <c r="G48" s="9">
        <v>6</v>
      </c>
      <c r="H48" s="9">
        <v>84212300</v>
      </c>
      <c r="I48" s="11" t="s">
        <v>37</v>
      </c>
      <c r="J48" s="12">
        <v>2.3E-2</v>
      </c>
      <c r="K48" s="12">
        <v>0.108</v>
      </c>
      <c r="L48" s="12">
        <v>5.1999999999999998E-2</v>
      </c>
      <c r="M48" s="13">
        <v>8003453041844</v>
      </c>
      <c r="N48" s="14">
        <v>0.21299999999999999</v>
      </c>
      <c r="O48" s="14">
        <v>0.24299999999999999</v>
      </c>
      <c r="P48" s="15" t="s">
        <v>35</v>
      </c>
      <c r="Q48" s="16" t="s">
        <v>336</v>
      </c>
      <c r="R48" s="17" t="s">
        <v>35</v>
      </c>
      <c r="S48" s="17" t="s">
        <v>337</v>
      </c>
      <c r="T48" s="17" t="s">
        <v>338</v>
      </c>
      <c r="U48" s="17" t="s">
        <v>339</v>
      </c>
      <c r="V48" s="17" t="s">
        <v>340</v>
      </c>
      <c r="W48" s="17" t="s">
        <v>341</v>
      </c>
      <c r="X48" s="17" t="s">
        <v>342</v>
      </c>
      <c r="Y48" s="17" t="s">
        <v>343</v>
      </c>
      <c r="Z48" s="17" t="s">
        <v>344</v>
      </c>
      <c r="AA48" s="17" t="s">
        <v>35</v>
      </c>
      <c r="AB48" s="17" t="s">
        <v>345</v>
      </c>
      <c r="AC48" s="17" t="s">
        <v>9539</v>
      </c>
      <c r="AD48" s="42">
        <v>13.86</v>
      </c>
      <c r="AE48" s="42">
        <v>14.58</v>
      </c>
      <c r="AF48" s="48"/>
      <c r="AG48" s="44"/>
      <c r="AH48" s="7">
        <f t="shared" si="0"/>
        <v>0</v>
      </c>
      <c r="AI48" s="18"/>
      <c r="AJ48" s="18"/>
    </row>
    <row r="49" spans="1:38" ht="26.65" customHeight="1" x14ac:dyDescent="0.25">
      <c r="A49" s="38" t="s">
        <v>346</v>
      </c>
      <c r="B49" s="9" t="s">
        <v>75</v>
      </c>
      <c r="C49" s="9" t="s">
        <v>43</v>
      </c>
      <c r="D49" s="9" t="s">
        <v>67</v>
      </c>
      <c r="E49" s="9" t="s">
        <v>35</v>
      </c>
      <c r="F49" s="9" t="s">
        <v>36</v>
      </c>
      <c r="G49" s="9">
        <v>6</v>
      </c>
      <c r="H49" s="9">
        <v>84212300</v>
      </c>
      <c r="I49" s="11" t="s">
        <v>37</v>
      </c>
      <c r="J49" s="12">
        <v>2.3E-2</v>
      </c>
      <c r="K49" s="12">
        <v>0.108</v>
      </c>
      <c r="L49" s="12">
        <v>5.1999999999999998E-2</v>
      </c>
      <c r="M49" s="13">
        <v>8003453041868</v>
      </c>
      <c r="N49" s="14">
        <v>0.25600000000000001</v>
      </c>
      <c r="O49" s="14">
        <v>0.28999999999999998</v>
      </c>
      <c r="P49" s="15" t="s">
        <v>35</v>
      </c>
      <c r="Q49" s="16" t="s">
        <v>347</v>
      </c>
      <c r="R49" s="17" t="s">
        <v>35</v>
      </c>
      <c r="S49" s="17" t="s">
        <v>348</v>
      </c>
      <c r="T49" s="17" t="s">
        <v>349</v>
      </c>
      <c r="U49" s="17" t="s">
        <v>350</v>
      </c>
      <c r="V49" s="17" t="s">
        <v>351</v>
      </c>
      <c r="W49" s="17" t="s">
        <v>352</v>
      </c>
      <c r="X49" s="17" t="s">
        <v>353</v>
      </c>
      <c r="Y49" s="17" t="s">
        <v>354</v>
      </c>
      <c r="Z49" s="17" t="s">
        <v>355</v>
      </c>
      <c r="AA49" s="17" t="s">
        <v>35</v>
      </c>
      <c r="AB49" s="17" t="s">
        <v>356</v>
      </c>
      <c r="AC49" s="17" t="s">
        <v>9538</v>
      </c>
      <c r="AD49" s="42">
        <v>9.5299999999999994</v>
      </c>
      <c r="AE49" s="42">
        <v>10.029999999999999</v>
      </c>
      <c r="AF49" s="48"/>
      <c r="AG49" s="44"/>
      <c r="AH49" s="7">
        <f t="shared" si="0"/>
        <v>0</v>
      </c>
      <c r="AI49" s="18"/>
      <c r="AJ49" s="18"/>
    </row>
    <row r="50" spans="1:38" ht="26.65" customHeight="1" x14ac:dyDescent="0.25">
      <c r="A50" s="10" t="s">
        <v>357</v>
      </c>
      <c r="B50" s="9" t="s">
        <v>75</v>
      </c>
      <c r="C50" s="9" t="s">
        <v>43</v>
      </c>
      <c r="D50" s="9" t="s">
        <v>67</v>
      </c>
      <c r="E50" s="9" t="s">
        <v>35</v>
      </c>
      <c r="F50" s="9" t="s">
        <v>36</v>
      </c>
      <c r="G50" s="9">
        <v>6</v>
      </c>
      <c r="H50" s="9">
        <v>84212300</v>
      </c>
      <c r="I50" s="11" t="s">
        <v>37</v>
      </c>
      <c r="J50" s="12">
        <v>2.3E-2</v>
      </c>
      <c r="K50" s="12">
        <v>0.108</v>
      </c>
      <c r="L50" s="12">
        <v>5.1999999999999998E-2</v>
      </c>
      <c r="M50" s="13">
        <v>8003453041875</v>
      </c>
      <c r="N50" s="14">
        <v>0.32</v>
      </c>
      <c r="O50" s="14">
        <v>0.36099999999999999</v>
      </c>
      <c r="P50" s="15" t="s">
        <v>35</v>
      </c>
      <c r="Q50" s="16" t="s">
        <v>358</v>
      </c>
      <c r="R50" s="17" t="s">
        <v>359</v>
      </c>
      <c r="S50" s="17" t="s">
        <v>360</v>
      </c>
      <c r="T50" s="17" t="s">
        <v>361</v>
      </c>
      <c r="U50" s="17" t="s">
        <v>362</v>
      </c>
      <c r="V50" s="17" t="s">
        <v>363</v>
      </c>
      <c r="W50" s="17" t="s">
        <v>35</v>
      </c>
      <c r="X50" s="17" t="s">
        <v>364</v>
      </c>
      <c r="Y50" s="17" t="s">
        <v>365</v>
      </c>
      <c r="Z50" s="17" t="s">
        <v>35</v>
      </c>
      <c r="AA50" s="17" t="s">
        <v>35</v>
      </c>
      <c r="AB50" s="17" t="s">
        <v>35</v>
      </c>
      <c r="AC50" s="17" t="s">
        <v>9539</v>
      </c>
      <c r="AD50" s="42">
        <v>16.57</v>
      </c>
      <c r="AE50" s="42">
        <v>17.43</v>
      </c>
      <c r="AF50" s="48"/>
      <c r="AG50" s="44"/>
      <c r="AH50" s="7">
        <f t="shared" si="0"/>
        <v>0</v>
      </c>
      <c r="AI50" s="18"/>
      <c r="AJ50" s="18"/>
    </row>
    <row r="51" spans="1:38" ht="26.65" customHeight="1" x14ac:dyDescent="0.25">
      <c r="A51" s="10" t="s">
        <v>366</v>
      </c>
      <c r="B51" s="9" t="s">
        <v>75</v>
      </c>
      <c r="C51" s="9" t="s">
        <v>43</v>
      </c>
      <c r="D51" s="9" t="s">
        <v>67</v>
      </c>
      <c r="E51" s="9" t="s">
        <v>35</v>
      </c>
      <c r="F51" s="9" t="s">
        <v>36</v>
      </c>
      <c r="G51" s="9">
        <v>6</v>
      </c>
      <c r="H51" s="9">
        <v>84212300</v>
      </c>
      <c r="I51" s="11" t="s">
        <v>37</v>
      </c>
      <c r="J51" s="12">
        <v>2.3E-2</v>
      </c>
      <c r="K51" s="12">
        <v>0.108</v>
      </c>
      <c r="L51" s="12">
        <v>5.1999999999999998E-2</v>
      </c>
      <c r="M51" s="13">
        <v>8003453041905</v>
      </c>
      <c r="N51" s="14">
        <v>0.48</v>
      </c>
      <c r="O51" s="14">
        <v>0.51</v>
      </c>
      <c r="P51" s="15" t="s">
        <v>35</v>
      </c>
      <c r="Q51" s="16" t="s">
        <v>367</v>
      </c>
      <c r="R51" s="17" t="s">
        <v>35</v>
      </c>
      <c r="S51" s="17" t="s">
        <v>169</v>
      </c>
      <c r="T51" s="17" t="s">
        <v>170</v>
      </c>
      <c r="U51" s="17" t="s">
        <v>171</v>
      </c>
      <c r="V51" s="17" t="s">
        <v>172</v>
      </c>
      <c r="W51" s="17" t="s">
        <v>35</v>
      </c>
      <c r="X51" s="17" t="s">
        <v>174</v>
      </c>
      <c r="Y51" s="17" t="s">
        <v>175</v>
      </c>
      <c r="Z51" s="17" t="s">
        <v>368</v>
      </c>
      <c r="AA51" s="17" t="s">
        <v>35</v>
      </c>
      <c r="AB51" s="17" t="s">
        <v>369</v>
      </c>
      <c r="AC51" s="17" t="s">
        <v>9539</v>
      </c>
      <c r="AD51" s="41">
        <v>14.34</v>
      </c>
      <c r="AE51" s="41">
        <v>15.09</v>
      </c>
      <c r="AF51" s="48"/>
      <c r="AG51" s="44"/>
      <c r="AH51" s="7">
        <f t="shared" si="0"/>
        <v>0</v>
      </c>
      <c r="AI51" s="18"/>
      <c r="AJ51" s="18"/>
      <c r="AL51" s="18"/>
    </row>
    <row r="52" spans="1:38" ht="26.65" customHeight="1" x14ac:dyDescent="0.25">
      <c r="A52" s="10" t="s">
        <v>370</v>
      </c>
      <c r="B52" s="9" t="s">
        <v>75</v>
      </c>
      <c r="C52" s="9" t="s">
        <v>43</v>
      </c>
      <c r="D52" s="9" t="s">
        <v>67</v>
      </c>
      <c r="E52" s="9" t="s">
        <v>35</v>
      </c>
      <c r="F52" s="9" t="s">
        <v>36</v>
      </c>
      <c r="G52" s="9">
        <v>6</v>
      </c>
      <c r="H52" s="9">
        <v>84212300</v>
      </c>
      <c r="I52" s="11" t="s">
        <v>37</v>
      </c>
      <c r="J52" s="12">
        <v>2.3E-2</v>
      </c>
      <c r="K52" s="12">
        <v>0.108</v>
      </c>
      <c r="L52" s="12">
        <v>5.1999999999999998E-2</v>
      </c>
      <c r="M52" s="13">
        <v>8003453041912</v>
      </c>
      <c r="N52" s="14">
        <v>0.22</v>
      </c>
      <c r="O52" s="14">
        <v>0.248</v>
      </c>
      <c r="P52" s="15" t="s">
        <v>35</v>
      </c>
      <c r="Q52" s="16" t="s">
        <v>371</v>
      </c>
      <c r="R52" s="17" t="s">
        <v>372</v>
      </c>
      <c r="S52" s="17" t="s">
        <v>373</v>
      </c>
      <c r="T52" s="17" t="s">
        <v>374</v>
      </c>
      <c r="U52" s="17" t="s">
        <v>375</v>
      </c>
      <c r="V52" s="17" t="s">
        <v>376</v>
      </c>
      <c r="W52" s="17" t="s">
        <v>377</v>
      </c>
      <c r="X52" s="17" t="s">
        <v>378</v>
      </c>
      <c r="Y52" s="17" t="s">
        <v>379</v>
      </c>
      <c r="Z52" s="17" t="s">
        <v>380</v>
      </c>
      <c r="AA52" s="17" t="s">
        <v>35</v>
      </c>
      <c r="AB52" s="17" t="s">
        <v>381</v>
      </c>
      <c r="AC52" s="17" t="s">
        <v>9539</v>
      </c>
      <c r="AD52" s="41">
        <v>7.37</v>
      </c>
      <c r="AE52" s="41">
        <v>7.75</v>
      </c>
      <c r="AF52" s="48"/>
      <c r="AG52" s="44"/>
      <c r="AH52" s="7">
        <f t="shared" si="0"/>
        <v>0</v>
      </c>
      <c r="AI52" s="18"/>
      <c r="AJ52" s="18"/>
    </row>
    <row r="53" spans="1:38" ht="26.65" customHeight="1" x14ac:dyDescent="0.25">
      <c r="A53" s="10" t="s">
        <v>382</v>
      </c>
      <c r="B53" s="9" t="s">
        <v>75</v>
      </c>
      <c r="C53" s="9" t="s">
        <v>43</v>
      </c>
      <c r="D53" s="9" t="s">
        <v>67</v>
      </c>
      <c r="E53" s="9" t="s">
        <v>35</v>
      </c>
      <c r="F53" s="9" t="s">
        <v>36</v>
      </c>
      <c r="G53" s="9">
        <v>6</v>
      </c>
      <c r="H53" s="9">
        <v>84212300</v>
      </c>
      <c r="I53" s="11" t="s">
        <v>37</v>
      </c>
      <c r="J53" s="12">
        <v>2.3E-2</v>
      </c>
      <c r="K53" s="12">
        <v>0.108</v>
      </c>
      <c r="L53" s="12">
        <v>5.1999999999999998E-2</v>
      </c>
      <c r="M53" s="13">
        <v>8003453041967</v>
      </c>
      <c r="N53" s="14">
        <v>0.2</v>
      </c>
      <c r="O53" s="14">
        <v>0.219</v>
      </c>
      <c r="P53" s="15" t="s">
        <v>35</v>
      </c>
      <c r="Q53" s="16" t="s">
        <v>383</v>
      </c>
      <c r="R53" s="17" t="s">
        <v>35</v>
      </c>
      <c r="S53" s="17" t="s">
        <v>384</v>
      </c>
      <c r="T53" s="17" t="s">
        <v>385</v>
      </c>
      <c r="U53" s="17" t="s">
        <v>386</v>
      </c>
      <c r="V53" s="17" t="s">
        <v>387</v>
      </c>
      <c r="W53" s="17" t="s">
        <v>388</v>
      </c>
      <c r="X53" s="17" t="s">
        <v>342</v>
      </c>
      <c r="Y53" s="17" t="s">
        <v>389</v>
      </c>
      <c r="Z53" s="17" t="s">
        <v>390</v>
      </c>
      <c r="AA53" s="17" t="s">
        <v>35</v>
      </c>
      <c r="AB53" s="17" t="s">
        <v>391</v>
      </c>
      <c r="AC53" s="17" t="s">
        <v>9539</v>
      </c>
      <c r="AD53" s="42">
        <v>9.73</v>
      </c>
      <c r="AE53" s="42">
        <v>10.24</v>
      </c>
      <c r="AF53" s="48"/>
      <c r="AG53" s="44"/>
      <c r="AH53" s="7">
        <f t="shared" si="0"/>
        <v>0</v>
      </c>
      <c r="AI53" s="18"/>
      <c r="AJ53" s="18"/>
    </row>
    <row r="54" spans="1:38" ht="26.65" customHeight="1" x14ac:dyDescent="0.25">
      <c r="A54" s="10" t="s">
        <v>392</v>
      </c>
      <c r="B54" s="9" t="s">
        <v>75</v>
      </c>
      <c r="C54" s="9" t="s">
        <v>43</v>
      </c>
      <c r="D54" s="9" t="s">
        <v>67</v>
      </c>
      <c r="E54" s="9" t="s">
        <v>35</v>
      </c>
      <c r="F54" s="9" t="s">
        <v>36</v>
      </c>
      <c r="G54" s="9">
        <v>6</v>
      </c>
      <c r="H54" s="9">
        <v>84212300</v>
      </c>
      <c r="I54" s="11" t="s">
        <v>37</v>
      </c>
      <c r="J54" s="12">
        <v>2.3E-2</v>
      </c>
      <c r="K54" s="12">
        <v>0.108</v>
      </c>
      <c r="L54" s="12">
        <v>5.1999999999999998E-2</v>
      </c>
      <c r="M54" s="13">
        <v>8003453041981</v>
      </c>
      <c r="N54" s="14">
        <v>0.22900000000000001</v>
      </c>
      <c r="O54" s="14">
        <v>0.249</v>
      </c>
      <c r="P54" s="15" t="s">
        <v>35</v>
      </c>
      <c r="Q54" s="16" t="s">
        <v>393</v>
      </c>
      <c r="R54" s="17" t="s">
        <v>35</v>
      </c>
      <c r="S54" s="17" t="s">
        <v>394</v>
      </c>
      <c r="T54" s="17" t="s">
        <v>395</v>
      </c>
      <c r="U54" s="17" t="s">
        <v>396</v>
      </c>
      <c r="V54" s="17" t="s">
        <v>397</v>
      </c>
      <c r="W54" s="17" t="s">
        <v>398</v>
      </c>
      <c r="X54" s="17" t="s">
        <v>399</v>
      </c>
      <c r="Y54" s="17" t="s">
        <v>400</v>
      </c>
      <c r="Z54" s="17" t="s">
        <v>401</v>
      </c>
      <c r="AA54" s="17" t="s">
        <v>35</v>
      </c>
      <c r="AB54" s="17" t="s">
        <v>402</v>
      </c>
      <c r="AC54" s="17" t="s">
        <v>9539</v>
      </c>
      <c r="AD54" s="42">
        <v>9.75</v>
      </c>
      <c r="AE54" s="42">
        <v>10.26</v>
      </c>
      <c r="AF54" s="48"/>
      <c r="AG54" s="44"/>
      <c r="AH54" s="7">
        <f t="shared" si="0"/>
        <v>0</v>
      </c>
      <c r="AI54" s="18"/>
      <c r="AJ54" s="18"/>
    </row>
    <row r="55" spans="1:38" ht="26.65" customHeight="1" x14ac:dyDescent="0.25">
      <c r="A55" s="10" t="s">
        <v>403</v>
      </c>
      <c r="B55" s="9" t="s">
        <v>75</v>
      </c>
      <c r="C55" s="9" t="s">
        <v>43</v>
      </c>
      <c r="D55" s="9" t="s">
        <v>67</v>
      </c>
      <c r="E55" s="9" t="s">
        <v>35</v>
      </c>
      <c r="F55" s="9" t="s">
        <v>36</v>
      </c>
      <c r="G55" s="9">
        <v>6</v>
      </c>
      <c r="H55" s="9">
        <v>84212300</v>
      </c>
      <c r="I55" s="11" t="s">
        <v>37</v>
      </c>
      <c r="J55" s="12">
        <v>2.3E-2</v>
      </c>
      <c r="K55" s="12">
        <v>0.108</v>
      </c>
      <c r="L55" s="12">
        <v>5.1999999999999998E-2</v>
      </c>
      <c r="M55" s="13">
        <v>8003453042001</v>
      </c>
      <c r="N55" s="14">
        <v>0.31</v>
      </c>
      <c r="O55" s="14">
        <v>0.35</v>
      </c>
      <c r="P55" s="15">
        <v>45231</v>
      </c>
      <c r="Q55" s="16" t="s">
        <v>404</v>
      </c>
      <c r="R55" s="17" t="s">
        <v>405</v>
      </c>
      <c r="S55" s="17" t="s">
        <v>406</v>
      </c>
      <c r="T55" s="17" t="s">
        <v>407</v>
      </c>
      <c r="U55" s="17" t="s">
        <v>408</v>
      </c>
      <c r="V55" s="17" t="s">
        <v>409</v>
      </c>
      <c r="W55" s="17" t="s">
        <v>410</v>
      </c>
      <c r="X55" s="17" t="s">
        <v>411</v>
      </c>
      <c r="Y55" s="17" t="s">
        <v>412</v>
      </c>
      <c r="Z55" s="17" t="s">
        <v>35</v>
      </c>
      <c r="AA55" s="17" t="s">
        <v>35</v>
      </c>
      <c r="AB55" s="17" t="s">
        <v>35</v>
      </c>
      <c r="AC55" s="17" t="s">
        <v>9539</v>
      </c>
      <c r="AD55" s="42">
        <v>11.06</v>
      </c>
      <c r="AE55" s="42">
        <v>11.64</v>
      </c>
      <c r="AF55" s="48"/>
      <c r="AG55" s="44"/>
      <c r="AH55" s="7">
        <f t="shared" si="0"/>
        <v>0</v>
      </c>
      <c r="AI55" s="18"/>
      <c r="AJ55" s="18"/>
    </row>
    <row r="56" spans="1:38" ht="26.65" customHeight="1" x14ac:dyDescent="0.25">
      <c r="A56" s="10" t="s">
        <v>9937</v>
      </c>
      <c r="B56" s="9" t="s">
        <v>75</v>
      </c>
      <c r="C56" s="9" t="s">
        <v>34</v>
      </c>
      <c r="D56" s="9" t="s">
        <v>48</v>
      </c>
      <c r="E56" s="9" t="s">
        <v>35</v>
      </c>
      <c r="F56" s="9" t="s">
        <v>36</v>
      </c>
      <c r="G56" s="9">
        <v>6</v>
      </c>
      <c r="H56" s="9">
        <v>84212300</v>
      </c>
      <c r="I56" s="11" t="s">
        <v>37</v>
      </c>
      <c r="J56" s="12">
        <v>2.3E-2</v>
      </c>
      <c r="K56" s="12">
        <v>0.108</v>
      </c>
      <c r="L56" s="12">
        <v>5.1999999999999998E-2</v>
      </c>
      <c r="M56" s="13">
        <v>8003453808799</v>
      </c>
      <c r="N56" s="14">
        <v>0</v>
      </c>
      <c r="O56" s="14">
        <v>0</v>
      </c>
      <c r="P56" s="15">
        <v>45566</v>
      </c>
      <c r="Q56" s="16" t="s">
        <v>9938</v>
      </c>
      <c r="R56" s="17" t="s">
        <v>9939</v>
      </c>
      <c r="S56" s="17" t="s">
        <v>35</v>
      </c>
      <c r="T56" s="17" t="s">
        <v>35</v>
      </c>
      <c r="U56" s="17" t="s">
        <v>35</v>
      </c>
      <c r="V56" s="17" t="s">
        <v>35</v>
      </c>
      <c r="W56" s="17" t="s">
        <v>35</v>
      </c>
      <c r="X56" s="17" t="s">
        <v>35</v>
      </c>
      <c r="Y56" s="17" t="s">
        <v>35</v>
      </c>
      <c r="Z56" s="17" t="s">
        <v>9940</v>
      </c>
      <c r="AA56" s="17" t="s">
        <v>35</v>
      </c>
      <c r="AB56" s="17" t="s">
        <v>9941</v>
      </c>
      <c r="AC56" s="17" t="s">
        <v>9539</v>
      </c>
      <c r="AD56" s="41">
        <v>26.77</v>
      </c>
      <c r="AE56" s="41">
        <v>28.16</v>
      </c>
      <c r="AF56" s="48"/>
      <c r="AG56" s="44"/>
      <c r="AH56" s="7">
        <f t="shared" si="0"/>
        <v>0</v>
      </c>
      <c r="AI56" s="18"/>
      <c r="AJ56" s="18"/>
    </row>
    <row r="57" spans="1:38" ht="26.65" customHeight="1" x14ac:dyDescent="0.25">
      <c r="A57" s="10" t="s">
        <v>9540</v>
      </c>
      <c r="B57" s="9" t="s">
        <v>75</v>
      </c>
      <c r="C57" s="9" t="s">
        <v>34</v>
      </c>
      <c r="D57" s="9" t="s">
        <v>67</v>
      </c>
      <c r="E57" s="9" t="s">
        <v>35</v>
      </c>
      <c r="F57" s="9" t="s">
        <v>36</v>
      </c>
      <c r="G57" s="9">
        <v>6</v>
      </c>
      <c r="H57" s="9">
        <v>84212300</v>
      </c>
      <c r="I57" s="11" t="s">
        <v>37</v>
      </c>
      <c r="J57" s="12">
        <v>2.3E-2</v>
      </c>
      <c r="K57" s="12">
        <v>0.108</v>
      </c>
      <c r="L57" s="12">
        <v>5.1999999999999998E-2</v>
      </c>
      <c r="M57" s="13">
        <v>8003453042087</v>
      </c>
      <c r="N57" s="14">
        <v>2.02</v>
      </c>
      <c r="O57" s="14">
        <v>2.181</v>
      </c>
      <c r="P57" s="15">
        <v>45474</v>
      </c>
      <c r="Q57" s="16" t="s">
        <v>9541</v>
      </c>
      <c r="R57" s="17" t="s">
        <v>35</v>
      </c>
      <c r="S57" s="17" t="s">
        <v>9542</v>
      </c>
      <c r="T57" s="17" t="s">
        <v>9543</v>
      </c>
      <c r="U57" s="17" t="s">
        <v>9544</v>
      </c>
      <c r="V57" s="17" t="s">
        <v>35</v>
      </c>
      <c r="W57" s="17" t="s">
        <v>35</v>
      </c>
      <c r="X57" s="17" t="s">
        <v>9545</v>
      </c>
      <c r="Y57" s="17" t="s">
        <v>35</v>
      </c>
      <c r="Z57" s="17" t="s">
        <v>9546</v>
      </c>
      <c r="AA57" s="17" t="s">
        <v>35</v>
      </c>
      <c r="AB57" s="17" t="s">
        <v>9547</v>
      </c>
      <c r="AC57" s="17" t="s">
        <v>9539</v>
      </c>
      <c r="AD57" s="42">
        <v>143.38</v>
      </c>
      <c r="AE57" s="42">
        <v>150.84</v>
      </c>
      <c r="AF57" s="48"/>
      <c r="AG57" s="44"/>
      <c r="AH57" s="7">
        <f t="shared" si="0"/>
        <v>0</v>
      </c>
      <c r="AI57" s="18"/>
      <c r="AJ57" s="18"/>
    </row>
    <row r="58" spans="1:38" ht="26.65" customHeight="1" x14ac:dyDescent="0.25">
      <c r="A58" s="10" t="s">
        <v>414</v>
      </c>
      <c r="B58" s="9" t="s">
        <v>75</v>
      </c>
      <c r="C58" s="9" t="s">
        <v>43</v>
      </c>
      <c r="D58" s="9" t="s">
        <v>67</v>
      </c>
      <c r="E58" s="9" t="s">
        <v>122</v>
      </c>
      <c r="F58" s="9" t="s">
        <v>36</v>
      </c>
      <c r="G58" s="9">
        <v>6</v>
      </c>
      <c r="H58" s="9">
        <v>84212300</v>
      </c>
      <c r="I58" s="11" t="s">
        <v>37</v>
      </c>
      <c r="J58" s="12">
        <v>2.3E-2</v>
      </c>
      <c r="K58" s="12">
        <v>0.108</v>
      </c>
      <c r="L58" s="12">
        <v>5.1999999999999998E-2</v>
      </c>
      <c r="M58" s="13">
        <v>8003453042179</v>
      </c>
      <c r="N58" s="14">
        <v>0.28299999999999997</v>
      </c>
      <c r="O58" s="14">
        <v>0.30399999999999999</v>
      </c>
      <c r="P58" s="15" t="s">
        <v>35</v>
      </c>
      <c r="Q58" s="16" t="s">
        <v>415</v>
      </c>
      <c r="R58" s="17" t="s">
        <v>416</v>
      </c>
      <c r="S58" s="17" t="s">
        <v>35</v>
      </c>
      <c r="T58" s="17" t="s">
        <v>35</v>
      </c>
      <c r="U58" s="17" t="s">
        <v>35</v>
      </c>
      <c r="V58" s="17" t="s">
        <v>35</v>
      </c>
      <c r="W58" s="17" t="s">
        <v>35</v>
      </c>
      <c r="X58" s="17" t="s">
        <v>35</v>
      </c>
      <c r="Y58" s="17" t="s">
        <v>35</v>
      </c>
      <c r="Z58" s="17" t="s">
        <v>35</v>
      </c>
      <c r="AA58" s="17" t="s">
        <v>35</v>
      </c>
      <c r="AB58" s="17" t="s">
        <v>35</v>
      </c>
      <c r="AC58" s="17" t="s">
        <v>9539</v>
      </c>
      <c r="AD58" s="42">
        <v>135.12</v>
      </c>
      <c r="AE58" s="42">
        <v>142.15</v>
      </c>
      <c r="AF58" s="48"/>
      <c r="AG58" s="44"/>
      <c r="AH58" s="7">
        <f t="shared" si="0"/>
        <v>0</v>
      </c>
      <c r="AI58" s="18"/>
      <c r="AJ58" s="18"/>
    </row>
    <row r="59" spans="1:38" ht="26.65" customHeight="1" x14ac:dyDescent="0.25">
      <c r="A59" s="38" t="s">
        <v>417</v>
      </c>
      <c r="B59" s="9" t="s">
        <v>75</v>
      </c>
      <c r="C59" s="9" t="s">
        <v>58</v>
      </c>
      <c r="D59" s="9" t="s">
        <v>67</v>
      </c>
      <c r="E59" s="9" t="s">
        <v>122</v>
      </c>
      <c r="F59" s="9" t="s">
        <v>36</v>
      </c>
      <c r="G59" s="9">
        <v>6</v>
      </c>
      <c r="H59" s="9">
        <v>84212300</v>
      </c>
      <c r="I59" s="11" t="s">
        <v>37</v>
      </c>
      <c r="J59" s="12">
        <v>2.3E-2</v>
      </c>
      <c r="K59" s="12">
        <v>0.108</v>
      </c>
      <c r="L59" s="12">
        <v>5.1999999999999998E-2</v>
      </c>
      <c r="M59" s="13">
        <v>8003453043596</v>
      </c>
      <c r="N59" s="14">
        <v>1.1659999999999999</v>
      </c>
      <c r="O59" s="14">
        <v>1.23</v>
      </c>
      <c r="P59" s="15">
        <v>44774</v>
      </c>
      <c r="Q59" s="16" t="s">
        <v>418</v>
      </c>
      <c r="R59" s="17" t="s">
        <v>419</v>
      </c>
      <c r="S59" s="17" t="s">
        <v>420</v>
      </c>
      <c r="T59" s="17" t="s">
        <v>421</v>
      </c>
      <c r="U59" s="17" t="s">
        <v>422</v>
      </c>
      <c r="V59" s="17" t="s">
        <v>423</v>
      </c>
      <c r="W59" s="17" t="s">
        <v>424</v>
      </c>
      <c r="X59" s="17" t="s">
        <v>425</v>
      </c>
      <c r="Y59" s="17" t="s">
        <v>426</v>
      </c>
      <c r="Z59" s="17" t="s">
        <v>427</v>
      </c>
      <c r="AA59" s="17" t="s">
        <v>35</v>
      </c>
      <c r="AB59" s="17" t="s">
        <v>428</v>
      </c>
      <c r="AC59" s="17" t="s">
        <v>9538</v>
      </c>
      <c r="AD59" s="41">
        <v>100.68</v>
      </c>
      <c r="AE59" s="41">
        <v>105.92</v>
      </c>
      <c r="AF59" s="48"/>
      <c r="AG59" s="44"/>
      <c r="AH59" s="7">
        <f t="shared" si="0"/>
        <v>0</v>
      </c>
      <c r="AI59" s="18"/>
      <c r="AJ59" s="18"/>
    </row>
    <row r="60" spans="1:38" ht="26.65" customHeight="1" x14ac:dyDescent="0.25">
      <c r="A60" s="10" t="s">
        <v>429</v>
      </c>
      <c r="B60" s="9" t="s">
        <v>75</v>
      </c>
      <c r="C60" s="9" t="s">
        <v>58</v>
      </c>
      <c r="D60" s="9" t="s">
        <v>67</v>
      </c>
      <c r="E60" s="9" t="s">
        <v>35</v>
      </c>
      <c r="F60" s="9" t="s">
        <v>36</v>
      </c>
      <c r="G60" s="9">
        <v>6</v>
      </c>
      <c r="H60" s="9">
        <v>84212300</v>
      </c>
      <c r="I60" s="11" t="s">
        <v>37</v>
      </c>
      <c r="J60" s="12">
        <v>2.3E-2</v>
      </c>
      <c r="K60" s="12">
        <v>0.108</v>
      </c>
      <c r="L60" s="12">
        <v>5.1999999999999998E-2</v>
      </c>
      <c r="M60" s="13">
        <v>8003453042230</v>
      </c>
      <c r="N60" s="14">
        <v>0.49399999999999999</v>
      </c>
      <c r="O60" s="14">
        <v>0.52</v>
      </c>
      <c r="P60" s="15">
        <v>44805</v>
      </c>
      <c r="Q60" s="16" t="s">
        <v>430</v>
      </c>
      <c r="R60" s="17" t="s">
        <v>431</v>
      </c>
      <c r="S60" s="17" t="s">
        <v>432</v>
      </c>
      <c r="T60" s="17" t="s">
        <v>433</v>
      </c>
      <c r="U60" s="17" t="s">
        <v>434</v>
      </c>
      <c r="V60" s="17" t="s">
        <v>435</v>
      </c>
      <c r="W60" s="17" t="s">
        <v>436</v>
      </c>
      <c r="X60" s="17" t="s">
        <v>437</v>
      </c>
      <c r="Y60" s="17" t="s">
        <v>438</v>
      </c>
      <c r="Z60" s="17" t="s">
        <v>436</v>
      </c>
      <c r="AA60" s="17" t="s">
        <v>439</v>
      </c>
      <c r="AB60" s="17" t="s">
        <v>440</v>
      </c>
      <c r="AC60" s="17" t="s">
        <v>9539</v>
      </c>
      <c r="AD60" s="41">
        <v>21.46</v>
      </c>
      <c r="AE60" s="41">
        <v>22.58</v>
      </c>
      <c r="AF60" s="48"/>
      <c r="AG60" s="44"/>
      <c r="AH60" s="7">
        <f t="shared" si="0"/>
        <v>0</v>
      </c>
      <c r="AI60" s="18"/>
      <c r="AJ60" s="18"/>
      <c r="AL60" s="18"/>
    </row>
    <row r="61" spans="1:38" ht="26.65" customHeight="1" x14ac:dyDescent="0.25">
      <c r="A61" s="10" t="s">
        <v>441</v>
      </c>
      <c r="B61" s="9" t="s">
        <v>75</v>
      </c>
      <c r="C61" s="9" t="s">
        <v>43</v>
      </c>
      <c r="D61" s="9" t="s">
        <v>67</v>
      </c>
      <c r="E61" s="9" t="s">
        <v>35</v>
      </c>
      <c r="F61" s="9" t="s">
        <v>36</v>
      </c>
      <c r="G61" s="9">
        <v>6</v>
      </c>
      <c r="H61" s="9">
        <v>84212300</v>
      </c>
      <c r="I61" s="11" t="s">
        <v>37</v>
      </c>
      <c r="J61" s="12">
        <v>2.3E-2</v>
      </c>
      <c r="K61" s="12">
        <v>0.108</v>
      </c>
      <c r="L61" s="12">
        <v>5.1999999999999998E-2</v>
      </c>
      <c r="M61" s="13">
        <v>8003453042247</v>
      </c>
      <c r="N61" s="14">
        <v>0.34399999999999997</v>
      </c>
      <c r="O61" s="14">
        <v>0.38500000000000001</v>
      </c>
      <c r="P61" s="15" t="s">
        <v>35</v>
      </c>
      <c r="Q61" s="16" t="s">
        <v>442</v>
      </c>
      <c r="R61" s="17" t="s">
        <v>35</v>
      </c>
      <c r="S61" s="17" t="s">
        <v>35</v>
      </c>
      <c r="T61" s="17" t="s">
        <v>443</v>
      </c>
      <c r="U61" s="17" t="s">
        <v>444</v>
      </c>
      <c r="V61" s="17" t="s">
        <v>445</v>
      </c>
      <c r="W61" s="17" t="s">
        <v>446</v>
      </c>
      <c r="X61" s="17" t="s">
        <v>195</v>
      </c>
      <c r="Y61" s="17" t="s">
        <v>447</v>
      </c>
      <c r="Z61" s="17" t="s">
        <v>35</v>
      </c>
      <c r="AA61" s="17" t="s">
        <v>35</v>
      </c>
      <c r="AB61" s="17" t="s">
        <v>35</v>
      </c>
      <c r="AC61" s="17" t="s">
        <v>9539</v>
      </c>
      <c r="AD61" s="41">
        <v>9.9600000000000009</v>
      </c>
      <c r="AE61" s="41">
        <v>10.48</v>
      </c>
      <c r="AF61" s="48"/>
      <c r="AG61" s="44"/>
      <c r="AH61" s="7">
        <f t="shared" si="0"/>
        <v>0</v>
      </c>
      <c r="AI61" s="18"/>
      <c r="AJ61" s="18"/>
    </row>
    <row r="62" spans="1:38" ht="26.65" customHeight="1" x14ac:dyDescent="0.25">
      <c r="A62" s="10" t="s">
        <v>9082</v>
      </c>
      <c r="B62" s="9" t="s">
        <v>75</v>
      </c>
      <c r="C62" s="9" t="s">
        <v>43</v>
      </c>
      <c r="D62" s="9" t="s">
        <v>67</v>
      </c>
      <c r="E62" s="9" t="s">
        <v>35</v>
      </c>
      <c r="F62" s="9" t="s">
        <v>36</v>
      </c>
      <c r="G62" s="9">
        <v>6</v>
      </c>
      <c r="H62" s="9">
        <v>84212300</v>
      </c>
      <c r="I62" s="11" t="s">
        <v>37</v>
      </c>
      <c r="J62" s="12">
        <v>2.3E-2</v>
      </c>
      <c r="K62" s="12">
        <v>0.108</v>
      </c>
      <c r="L62" s="12">
        <v>5.1999999999999998E-2</v>
      </c>
      <c r="M62" s="13">
        <v>8003453809369</v>
      </c>
      <c r="N62" s="14">
        <v>0.39</v>
      </c>
      <c r="O62" s="14">
        <v>0.44</v>
      </c>
      <c r="P62" s="15">
        <v>45383</v>
      </c>
      <c r="Q62" s="16" t="s">
        <v>442</v>
      </c>
      <c r="R62" s="17" t="s">
        <v>9083</v>
      </c>
      <c r="S62" s="17" t="s">
        <v>35</v>
      </c>
      <c r="T62" s="17" t="s">
        <v>443</v>
      </c>
      <c r="U62" s="17" t="s">
        <v>444</v>
      </c>
      <c r="V62" s="17" t="s">
        <v>445</v>
      </c>
      <c r="W62" s="17" t="s">
        <v>446</v>
      </c>
      <c r="X62" s="17" t="s">
        <v>195</v>
      </c>
      <c r="Y62" s="17" t="s">
        <v>447</v>
      </c>
      <c r="Z62" s="17" t="s">
        <v>35</v>
      </c>
      <c r="AA62" s="17" t="s">
        <v>35</v>
      </c>
      <c r="AB62" s="17" t="s">
        <v>35</v>
      </c>
      <c r="AC62" s="17" t="s">
        <v>9539</v>
      </c>
      <c r="AD62" s="42">
        <v>10.75</v>
      </c>
      <c r="AE62" s="42">
        <v>11.31</v>
      </c>
      <c r="AF62" s="48"/>
      <c r="AG62" s="44"/>
      <c r="AH62" s="7">
        <f t="shared" si="0"/>
        <v>0</v>
      </c>
      <c r="AI62" s="18"/>
      <c r="AJ62" s="18"/>
    </row>
    <row r="63" spans="1:38" ht="26.65" customHeight="1" x14ac:dyDescent="0.25">
      <c r="A63" s="10" t="s">
        <v>448</v>
      </c>
      <c r="B63" s="9" t="s">
        <v>75</v>
      </c>
      <c r="C63" s="9" t="s">
        <v>58</v>
      </c>
      <c r="D63" s="9" t="s">
        <v>67</v>
      </c>
      <c r="E63" s="9" t="s">
        <v>35</v>
      </c>
      <c r="F63" s="9" t="s">
        <v>36</v>
      </c>
      <c r="G63" s="9">
        <v>6</v>
      </c>
      <c r="H63" s="9">
        <v>84212300</v>
      </c>
      <c r="I63" s="11" t="s">
        <v>37</v>
      </c>
      <c r="J63" s="12">
        <v>2.3E-2</v>
      </c>
      <c r="K63" s="12">
        <v>0.108</v>
      </c>
      <c r="L63" s="12">
        <v>5.1999999999999998E-2</v>
      </c>
      <c r="M63" s="13">
        <v>8003453042254</v>
      </c>
      <c r="N63" s="14">
        <v>1</v>
      </c>
      <c r="O63" s="14">
        <v>1.1000000000000001</v>
      </c>
      <c r="P63" s="15" t="s">
        <v>35</v>
      </c>
      <c r="Q63" s="16" t="s">
        <v>449</v>
      </c>
      <c r="R63" s="17" t="s">
        <v>35</v>
      </c>
      <c r="S63" s="17" t="s">
        <v>450</v>
      </c>
      <c r="T63" s="17" t="s">
        <v>451</v>
      </c>
      <c r="U63" s="17" t="s">
        <v>452</v>
      </c>
      <c r="V63" s="17" t="s">
        <v>453</v>
      </c>
      <c r="W63" s="17" t="s">
        <v>454</v>
      </c>
      <c r="X63" s="17" t="s">
        <v>35</v>
      </c>
      <c r="Y63" s="17" t="s">
        <v>455</v>
      </c>
      <c r="Z63" s="17" t="s">
        <v>456</v>
      </c>
      <c r="AA63" s="17" t="s">
        <v>35</v>
      </c>
      <c r="AB63" s="17" t="s">
        <v>457</v>
      </c>
      <c r="AC63" s="17" t="s">
        <v>9539</v>
      </c>
      <c r="AD63" s="42">
        <v>43.88</v>
      </c>
      <c r="AE63" s="42">
        <v>46.16</v>
      </c>
      <c r="AF63" s="48"/>
      <c r="AG63" s="44"/>
      <c r="AH63" s="7">
        <f t="shared" si="0"/>
        <v>0</v>
      </c>
      <c r="AI63" s="18"/>
      <c r="AJ63" s="18"/>
    </row>
    <row r="64" spans="1:38" ht="26.65" customHeight="1" x14ac:dyDescent="0.25">
      <c r="A64" s="10" t="s">
        <v>458</v>
      </c>
      <c r="B64" s="9" t="s">
        <v>75</v>
      </c>
      <c r="C64" s="9" t="s">
        <v>43</v>
      </c>
      <c r="D64" s="9" t="s">
        <v>67</v>
      </c>
      <c r="E64" s="9" t="s">
        <v>35</v>
      </c>
      <c r="F64" s="9" t="s">
        <v>36</v>
      </c>
      <c r="G64" s="9">
        <v>6</v>
      </c>
      <c r="H64" s="9">
        <v>84212300</v>
      </c>
      <c r="I64" s="11" t="s">
        <v>37</v>
      </c>
      <c r="J64" s="12">
        <v>2.3E-2</v>
      </c>
      <c r="K64" s="12">
        <v>0.108</v>
      </c>
      <c r="L64" s="12">
        <v>5.1999999999999998E-2</v>
      </c>
      <c r="M64" s="13">
        <v>8003453042261</v>
      </c>
      <c r="N64" s="14">
        <v>0.32200000000000001</v>
      </c>
      <c r="O64" s="14">
        <v>0.34200000000000003</v>
      </c>
      <c r="P64" s="15" t="s">
        <v>35</v>
      </c>
      <c r="Q64" s="16" t="s">
        <v>459</v>
      </c>
      <c r="R64" s="17" t="s">
        <v>35</v>
      </c>
      <c r="S64" s="17" t="s">
        <v>460</v>
      </c>
      <c r="T64" s="17" t="s">
        <v>461</v>
      </c>
      <c r="U64" s="17" t="s">
        <v>462</v>
      </c>
      <c r="V64" s="17" t="s">
        <v>463</v>
      </c>
      <c r="W64" s="17" t="s">
        <v>464</v>
      </c>
      <c r="X64" s="17" t="s">
        <v>465</v>
      </c>
      <c r="Y64" s="17" t="s">
        <v>466</v>
      </c>
      <c r="Z64" s="17" t="s">
        <v>467</v>
      </c>
      <c r="AA64" s="17" t="s">
        <v>35</v>
      </c>
      <c r="AB64" s="17" t="s">
        <v>35</v>
      </c>
      <c r="AC64" s="17" t="s">
        <v>9539</v>
      </c>
      <c r="AD64" s="41">
        <v>11.5</v>
      </c>
      <c r="AE64" s="41">
        <v>12.1</v>
      </c>
      <c r="AF64" s="48"/>
      <c r="AG64" s="44"/>
      <c r="AH64" s="7">
        <f t="shared" si="0"/>
        <v>0</v>
      </c>
      <c r="AI64" s="18"/>
      <c r="AJ64" s="18"/>
      <c r="AL64" s="18"/>
    </row>
    <row r="65" spans="1:38" ht="26.65" customHeight="1" x14ac:dyDescent="0.25">
      <c r="A65" s="10" t="s">
        <v>468</v>
      </c>
      <c r="B65" s="9" t="s">
        <v>75</v>
      </c>
      <c r="C65" s="9" t="s">
        <v>43</v>
      </c>
      <c r="D65" s="9" t="s">
        <v>67</v>
      </c>
      <c r="E65" s="9" t="s">
        <v>35</v>
      </c>
      <c r="F65" s="9" t="s">
        <v>36</v>
      </c>
      <c r="G65" s="9">
        <v>6</v>
      </c>
      <c r="H65" s="9">
        <v>84212300</v>
      </c>
      <c r="I65" s="11" t="s">
        <v>37</v>
      </c>
      <c r="J65" s="12">
        <v>2.3E-2</v>
      </c>
      <c r="K65" s="12">
        <v>0.108</v>
      </c>
      <c r="L65" s="12">
        <v>5.1999999999999998E-2</v>
      </c>
      <c r="M65" s="13">
        <v>8003453042308</v>
      </c>
      <c r="N65" s="14">
        <v>0.46700000000000003</v>
      </c>
      <c r="O65" s="14">
        <v>0.501</v>
      </c>
      <c r="P65" s="15" t="s">
        <v>35</v>
      </c>
      <c r="Q65" s="16" t="s">
        <v>469</v>
      </c>
      <c r="R65" s="17" t="s">
        <v>35</v>
      </c>
      <c r="S65" s="17" t="s">
        <v>470</v>
      </c>
      <c r="T65" s="17" t="s">
        <v>78</v>
      </c>
      <c r="U65" s="17" t="s">
        <v>471</v>
      </c>
      <c r="V65" s="17" t="s">
        <v>472</v>
      </c>
      <c r="W65" s="17" t="s">
        <v>473</v>
      </c>
      <c r="X65" s="17" t="s">
        <v>474</v>
      </c>
      <c r="Y65" s="17" t="s">
        <v>475</v>
      </c>
      <c r="Z65" s="17" t="s">
        <v>35</v>
      </c>
      <c r="AA65" s="17" t="s">
        <v>35</v>
      </c>
      <c r="AB65" s="17" t="s">
        <v>35</v>
      </c>
      <c r="AC65" s="17" t="s">
        <v>9539</v>
      </c>
      <c r="AD65" s="42">
        <v>15.39</v>
      </c>
      <c r="AE65" s="42">
        <v>16.190000000000001</v>
      </c>
      <c r="AF65" s="48"/>
      <c r="AG65" s="44"/>
      <c r="AH65" s="7">
        <f t="shared" si="0"/>
        <v>0</v>
      </c>
      <c r="AI65" s="18"/>
      <c r="AJ65" s="18"/>
    </row>
    <row r="66" spans="1:38" ht="26.65" customHeight="1" x14ac:dyDescent="0.25">
      <c r="A66" s="10" t="s">
        <v>476</v>
      </c>
      <c r="B66" s="9" t="s">
        <v>75</v>
      </c>
      <c r="C66" s="9" t="s">
        <v>58</v>
      </c>
      <c r="D66" s="9" t="s">
        <v>67</v>
      </c>
      <c r="E66" s="9" t="s">
        <v>35</v>
      </c>
      <c r="F66" s="9" t="s">
        <v>36</v>
      </c>
      <c r="G66" s="9">
        <v>6</v>
      </c>
      <c r="H66" s="9">
        <v>84212300</v>
      </c>
      <c r="I66" s="11" t="s">
        <v>37</v>
      </c>
      <c r="J66" s="12">
        <v>2.3E-2</v>
      </c>
      <c r="K66" s="12">
        <v>0.108</v>
      </c>
      <c r="L66" s="12">
        <v>5.1999999999999998E-2</v>
      </c>
      <c r="M66" s="13">
        <v>8003453042360</v>
      </c>
      <c r="N66" s="14">
        <v>0.91</v>
      </c>
      <c r="O66" s="14">
        <v>0.96299999999999997</v>
      </c>
      <c r="P66" s="15" t="s">
        <v>35</v>
      </c>
      <c r="Q66" s="16" t="s">
        <v>477</v>
      </c>
      <c r="R66" s="17" t="s">
        <v>478</v>
      </c>
      <c r="S66" s="17" t="s">
        <v>479</v>
      </c>
      <c r="T66" s="17" t="s">
        <v>480</v>
      </c>
      <c r="U66" s="17" t="s">
        <v>481</v>
      </c>
      <c r="V66" s="17" t="s">
        <v>482</v>
      </c>
      <c r="W66" s="17" t="s">
        <v>483</v>
      </c>
      <c r="X66" s="17" t="s">
        <v>484</v>
      </c>
      <c r="Y66" s="17" t="s">
        <v>485</v>
      </c>
      <c r="Z66" s="17" t="s">
        <v>486</v>
      </c>
      <c r="AA66" s="17" t="s">
        <v>35</v>
      </c>
      <c r="AB66" s="17" t="s">
        <v>487</v>
      </c>
      <c r="AC66" s="17" t="s">
        <v>9539</v>
      </c>
      <c r="AD66" s="42">
        <v>30.93</v>
      </c>
      <c r="AE66" s="42">
        <v>32.54</v>
      </c>
      <c r="AF66" s="48"/>
      <c r="AG66" s="44"/>
      <c r="AH66" s="7">
        <f t="shared" si="0"/>
        <v>0</v>
      </c>
      <c r="AI66" s="18"/>
      <c r="AJ66" s="18"/>
    </row>
    <row r="67" spans="1:38" ht="26.65" customHeight="1" x14ac:dyDescent="0.25">
      <c r="A67" s="10" t="s">
        <v>488</v>
      </c>
      <c r="B67" s="9" t="s">
        <v>75</v>
      </c>
      <c r="C67" s="9" t="s">
        <v>58</v>
      </c>
      <c r="D67" s="9" t="s">
        <v>67</v>
      </c>
      <c r="E67" s="9" t="s">
        <v>35</v>
      </c>
      <c r="F67" s="9" t="s">
        <v>36</v>
      </c>
      <c r="G67" s="9">
        <v>6</v>
      </c>
      <c r="H67" s="9">
        <v>84212300</v>
      </c>
      <c r="I67" s="11" t="s">
        <v>37</v>
      </c>
      <c r="J67" s="12">
        <v>2.3E-2</v>
      </c>
      <c r="K67" s="12">
        <v>0.108</v>
      </c>
      <c r="L67" s="12">
        <v>5.1999999999999998E-2</v>
      </c>
      <c r="M67" s="13">
        <v>8003453042384</v>
      </c>
      <c r="N67" s="14">
        <v>1.103</v>
      </c>
      <c r="O67" s="14">
        <v>1.161</v>
      </c>
      <c r="P67" s="15" t="s">
        <v>35</v>
      </c>
      <c r="Q67" s="16" t="s">
        <v>489</v>
      </c>
      <c r="R67" s="17">
        <v>4787733</v>
      </c>
      <c r="S67" s="17" t="s">
        <v>490</v>
      </c>
      <c r="T67" s="17" t="s">
        <v>491</v>
      </c>
      <c r="U67" s="17" t="s">
        <v>35</v>
      </c>
      <c r="V67" s="17" t="s">
        <v>492</v>
      </c>
      <c r="W67" s="17" t="s">
        <v>493</v>
      </c>
      <c r="X67" s="17" t="s">
        <v>494</v>
      </c>
      <c r="Y67" s="17" t="s">
        <v>495</v>
      </c>
      <c r="Z67" s="17" t="s">
        <v>496</v>
      </c>
      <c r="AA67" s="17" t="s">
        <v>35</v>
      </c>
      <c r="AB67" s="17" t="s">
        <v>497</v>
      </c>
      <c r="AC67" s="17" t="s">
        <v>9539</v>
      </c>
      <c r="AD67" s="42">
        <v>57.61</v>
      </c>
      <c r="AE67" s="42">
        <v>60.61</v>
      </c>
      <c r="AF67" s="48"/>
      <c r="AG67" s="44"/>
      <c r="AH67" s="7">
        <f t="shared" si="0"/>
        <v>0</v>
      </c>
      <c r="AI67" s="18"/>
      <c r="AJ67" s="18"/>
    </row>
    <row r="68" spans="1:38" ht="26.65" customHeight="1" x14ac:dyDescent="0.25">
      <c r="A68" s="10" t="s">
        <v>9784</v>
      </c>
      <c r="B68" s="9" t="s">
        <v>75</v>
      </c>
      <c r="C68" s="9" t="s">
        <v>34</v>
      </c>
      <c r="D68" s="9" t="s">
        <v>67</v>
      </c>
      <c r="E68" s="9" t="s">
        <v>35</v>
      </c>
      <c r="F68" s="9" t="s">
        <v>36</v>
      </c>
      <c r="G68" s="9">
        <v>6</v>
      </c>
      <c r="H68" s="9">
        <v>84212300</v>
      </c>
      <c r="I68" s="11" t="s">
        <v>37</v>
      </c>
      <c r="J68" s="12">
        <v>2.3E-2</v>
      </c>
      <c r="K68" s="12">
        <v>0.108</v>
      </c>
      <c r="L68" s="12">
        <v>5.1999999999999998E-2</v>
      </c>
      <c r="M68" s="13" t="s">
        <v>35</v>
      </c>
      <c r="N68" s="14" t="s">
        <v>35</v>
      </c>
      <c r="O68" s="14" t="s">
        <v>35</v>
      </c>
      <c r="P68" s="15">
        <v>45536</v>
      </c>
      <c r="Q68" s="16" t="s">
        <v>9785</v>
      </c>
      <c r="R68" s="17" t="s">
        <v>35</v>
      </c>
      <c r="S68" s="17" t="s">
        <v>9786</v>
      </c>
      <c r="T68" s="17" t="s">
        <v>9787</v>
      </c>
      <c r="U68" s="17" t="s">
        <v>9788</v>
      </c>
      <c r="V68" s="17" t="s">
        <v>9789</v>
      </c>
      <c r="W68" s="17" t="s">
        <v>35</v>
      </c>
      <c r="X68" s="17" t="s">
        <v>9790</v>
      </c>
      <c r="Y68" s="17" t="s">
        <v>9791</v>
      </c>
      <c r="Z68" s="17" t="s">
        <v>9792</v>
      </c>
      <c r="AA68" s="17" t="s">
        <v>9793</v>
      </c>
      <c r="AB68" s="17" t="s">
        <v>9794</v>
      </c>
      <c r="AC68" s="17" t="s">
        <v>9539</v>
      </c>
      <c r="AD68" s="41">
        <v>49.6</v>
      </c>
      <c r="AE68" s="41">
        <v>52.18</v>
      </c>
      <c r="AF68" s="48"/>
      <c r="AG68" s="44"/>
      <c r="AH68" s="7">
        <f t="shared" ref="AH68:AH131" si="1">AG68*AE68</f>
        <v>0</v>
      </c>
      <c r="AI68" s="18"/>
      <c r="AJ68" s="18"/>
    </row>
    <row r="69" spans="1:38" ht="26.65" customHeight="1" x14ac:dyDescent="0.25">
      <c r="A69" s="10" t="s">
        <v>498</v>
      </c>
      <c r="B69" s="9" t="s">
        <v>75</v>
      </c>
      <c r="C69" s="9" t="s">
        <v>34</v>
      </c>
      <c r="D69" s="9" t="s">
        <v>67</v>
      </c>
      <c r="E69" s="9" t="s">
        <v>35</v>
      </c>
      <c r="F69" s="9" t="s">
        <v>36</v>
      </c>
      <c r="G69" s="9">
        <v>6</v>
      </c>
      <c r="H69" s="9">
        <v>84212300</v>
      </c>
      <c r="I69" s="11" t="s">
        <v>37</v>
      </c>
      <c r="J69" s="12">
        <v>2.3E-2</v>
      </c>
      <c r="K69" s="12">
        <v>0.108</v>
      </c>
      <c r="L69" s="12">
        <v>5.1999999999999998E-2</v>
      </c>
      <c r="M69" s="13">
        <v>8003453043695</v>
      </c>
      <c r="N69" s="14">
        <v>1.45</v>
      </c>
      <c r="O69" s="14">
        <v>1.5489999999999999</v>
      </c>
      <c r="P69" s="15">
        <v>45078</v>
      </c>
      <c r="Q69" s="16" t="s">
        <v>499</v>
      </c>
      <c r="R69" s="17" t="s">
        <v>500</v>
      </c>
      <c r="S69" s="17" t="s">
        <v>501</v>
      </c>
      <c r="T69" s="17" t="s">
        <v>502</v>
      </c>
      <c r="U69" s="17" t="s">
        <v>503</v>
      </c>
      <c r="V69" s="17" t="s">
        <v>504</v>
      </c>
      <c r="W69" s="17" t="s">
        <v>35</v>
      </c>
      <c r="X69" s="17" t="s">
        <v>505</v>
      </c>
      <c r="Y69" s="17" t="s">
        <v>506</v>
      </c>
      <c r="Z69" s="17" t="s">
        <v>507</v>
      </c>
      <c r="AA69" s="17" t="s">
        <v>35</v>
      </c>
      <c r="AB69" s="17" t="s">
        <v>508</v>
      </c>
      <c r="AC69" s="17" t="s">
        <v>9539</v>
      </c>
      <c r="AD69" s="42">
        <v>61.58</v>
      </c>
      <c r="AE69" s="42">
        <v>64.78</v>
      </c>
      <c r="AF69" s="48"/>
      <c r="AG69" s="44"/>
      <c r="AH69" s="7">
        <f t="shared" si="1"/>
        <v>0</v>
      </c>
      <c r="AI69" s="18"/>
      <c r="AJ69" s="18"/>
    </row>
    <row r="70" spans="1:38" ht="26.65" customHeight="1" x14ac:dyDescent="0.25">
      <c r="A70" s="10" t="s">
        <v>509</v>
      </c>
      <c r="B70" s="9" t="s">
        <v>510</v>
      </c>
      <c r="C70" s="9" t="s">
        <v>58</v>
      </c>
      <c r="D70" s="9" t="s">
        <v>67</v>
      </c>
      <c r="E70" s="9" t="s">
        <v>35</v>
      </c>
      <c r="F70" s="9" t="s">
        <v>36</v>
      </c>
      <c r="G70" s="9">
        <v>6</v>
      </c>
      <c r="H70" s="9">
        <v>84212300</v>
      </c>
      <c r="I70" s="11" t="s">
        <v>37</v>
      </c>
      <c r="J70" s="12">
        <v>2.3E-2</v>
      </c>
      <c r="K70" s="12">
        <v>0.108</v>
      </c>
      <c r="L70" s="12">
        <v>5.1999999999999998E-2</v>
      </c>
      <c r="M70" s="13">
        <v>8003453043701</v>
      </c>
      <c r="N70" s="14">
        <v>0</v>
      </c>
      <c r="O70" s="14">
        <v>0</v>
      </c>
      <c r="P70" s="15">
        <v>45017</v>
      </c>
      <c r="Q70" s="16" t="s">
        <v>511</v>
      </c>
      <c r="R70" s="17" t="s">
        <v>512</v>
      </c>
      <c r="S70" s="17" t="s">
        <v>513</v>
      </c>
      <c r="T70" s="17" t="s">
        <v>514</v>
      </c>
      <c r="U70" s="17" t="s">
        <v>515</v>
      </c>
      <c r="V70" s="17" t="s">
        <v>516</v>
      </c>
      <c r="W70" s="17" t="s">
        <v>35</v>
      </c>
      <c r="X70" s="17" t="s">
        <v>517</v>
      </c>
      <c r="Y70" s="17" t="s">
        <v>518</v>
      </c>
      <c r="Z70" s="17" t="s">
        <v>519</v>
      </c>
      <c r="AA70" s="17" t="s">
        <v>520</v>
      </c>
      <c r="AB70" s="17" t="s">
        <v>521</v>
      </c>
      <c r="AC70" s="17" t="s">
        <v>9539</v>
      </c>
      <c r="AD70" s="41">
        <v>67.31</v>
      </c>
      <c r="AE70" s="41">
        <v>70.81</v>
      </c>
      <c r="AF70" s="48"/>
      <c r="AG70" s="44"/>
      <c r="AH70" s="7">
        <f t="shared" si="1"/>
        <v>0</v>
      </c>
      <c r="AI70" s="18"/>
      <c r="AJ70" s="18"/>
      <c r="AL70" s="18"/>
    </row>
    <row r="71" spans="1:38" ht="26.65" customHeight="1" x14ac:dyDescent="0.25">
      <c r="A71" s="10" t="s">
        <v>8596</v>
      </c>
      <c r="B71" s="9" t="s">
        <v>510</v>
      </c>
      <c r="C71" s="9" t="s">
        <v>58</v>
      </c>
      <c r="D71" s="9" t="s">
        <v>67</v>
      </c>
      <c r="E71" s="9" t="s">
        <v>35</v>
      </c>
      <c r="F71" s="9" t="s">
        <v>36</v>
      </c>
      <c r="G71" s="9">
        <v>6</v>
      </c>
      <c r="H71" s="9">
        <v>84212300</v>
      </c>
      <c r="I71" s="11" t="s">
        <v>37</v>
      </c>
      <c r="J71" s="12">
        <v>2.3E-2</v>
      </c>
      <c r="K71" s="12">
        <v>0.108</v>
      </c>
      <c r="L71" s="12">
        <v>5.1999999999999998E-2</v>
      </c>
      <c r="M71" s="13">
        <v>8003453809376</v>
      </c>
      <c r="N71" s="14">
        <v>0</v>
      </c>
      <c r="O71" s="14">
        <v>0</v>
      </c>
      <c r="P71" s="15">
        <v>45292</v>
      </c>
      <c r="Q71" s="16" t="s">
        <v>511</v>
      </c>
      <c r="R71" s="17" t="s">
        <v>512</v>
      </c>
      <c r="S71" s="17" t="s">
        <v>513</v>
      </c>
      <c r="T71" s="17" t="s">
        <v>514</v>
      </c>
      <c r="U71" s="17" t="s">
        <v>515</v>
      </c>
      <c r="V71" s="17" t="s">
        <v>516</v>
      </c>
      <c r="W71" s="17" t="s">
        <v>35</v>
      </c>
      <c r="X71" s="17" t="s">
        <v>517</v>
      </c>
      <c r="Y71" s="17" t="s">
        <v>518</v>
      </c>
      <c r="Z71" s="17" t="s">
        <v>519</v>
      </c>
      <c r="AA71" s="17" t="s">
        <v>520</v>
      </c>
      <c r="AB71" s="17" t="s">
        <v>521</v>
      </c>
      <c r="AC71" s="17" t="s">
        <v>9539</v>
      </c>
      <c r="AD71" s="41">
        <v>67.31</v>
      </c>
      <c r="AE71" s="41">
        <v>70.81</v>
      </c>
      <c r="AF71" s="48"/>
      <c r="AG71" s="44"/>
      <c r="AH71" s="7">
        <f t="shared" si="1"/>
        <v>0</v>
      </c>
      <c r="AI71" s="18"/>
      <c r="AJ71" s="18"/>
      <c r="AL71" s="18"/>
    </row>
    <row r="72" spans="1:38" ht="26.65" customHeight="1" x14ac:dyDescent="0.25">
      <c r="A72" s="10" t="s">
        <v>522</v>
      </c>
      <c r="B72" s="9" t="s">
        <v>75</v>
      </c>
      <c r="C72" s="9" t="s">
        <v>34</v>
      </c>
      <c r="D72" s="9" t="s">
        <v>67</v>
      </c>
      <c r="E72" s="9" t="s">
        <v>35</v>
      </c>
      <c r="F72" s="9" t="s">
        <v>36</v>
      </c>
      <c r="G72" s="9">
        <v>6</v>
      </c>
      <c r="H72" s="9">
        <v>84212300</v>
      </c>
      <c r="I72" s="11" t="s">
        <v>37</v>
      </c>
      <c r="J72" s="12">
        <v>2.3E-2</v>
      </c>
      <c r="K72" s="12">
        <v>0.108</v>
      </c>
      <c r="L72" s="12">
        <v>5.1999999999999998E-2</v>
      </c>
      <c r="M72" s="13">
        <v>8003453043718</v>
      </c>
      <c r="N72" s="14">
        <v>1.871</v>
      </c>
      <c r="O72" s="14">
        <v>2.0059999999999998</v>
      </c>
      <c r="P72" s="15">
        <v>44835</v>
      </c>
      <c r="Q72" s="16" t="s">
        <v>523</v>
      </c>
      <c r="R72" s="17" t="s">
        <v>524</v>
      </c>
      <c r="S72" s="17" t="s">
        <v>525</v>
      </c>
      <c r="T72" s="17" t="s">
        <v>35</v>
      </c>
      <c r="U72" s="17" t="s">
        <v>526</v>
      </c>
      <c r="V72" s="17" t="s">
        <v>527</v>
      </c>
      <c r="W72" s="17" t="s">
        <v>528</v>
      </c>
      <c r="X72" s="17" t="s">
        <v>529</v>
      </c>
      <c r="Y72" s="17" t="s">
        <v>35</v>
      </c>
      <c r="Z72" s="17" t="s">
        <v>530</v>
      </c>
      <c r="AA72" s="17" t="s">
        <v>35</v>
      </c>
      <c r="AB72" s="17" t="s">
        <v>531</v>
      </c>
      <c r="AC72" s="17" t="s">
        <v>9539</v>
      </c>
      <c r="AD72" s="42">
        <v>101.45</v>
      </c>
      <c r="AE72" s="42">
        <v>106.73</v>
      </c>
      <c r="AF72" s="48"/>
      <c r="AG72" s="44"/>
      <c r="AH72" s="7">
        <f t="shared" si="1"/>
        <v>0</v>
      </c>
      <c r="AI72" s="18"/>
      <c r="AJ72" s="18"/>
    </row>
    <row r="73" spans="1:38" ht="26.65" customHeight="1" x14ac:dyDescent="0.25">
      <c r="A73" s="10" t="s">
        <v>9942</v>
      </c>
      <c r="B73" s="9" t="s">
        <v>75</v>
      </c>
      <c r="C73" s="9" t="s">
        <v>34</v>
      </c>
      <c r="D73" s="9" t="s">
        <v>48</v>
      </c>
      <c r="E73" s="9" t="s">
        <v>35</v>
      </c>
      <c r="F73" s="9" t="s">
        <v>36</v>
      </c>
      <c r="G73" s="9">
        <v>6</v>
      </c>
      <c r="H73" s="9">
        <v>84212300</v>
      </c>
      <c r="I73" s="11" t="s">
        <v>37</v>
      </c>
      <c r="J73" s="12">
        <v>2.3E-2</v>
      </c>
      <c r="K73" s="12">
        <v>0.108</v>
      </c>
      <c r="L73" s="12">
        <v>5.1999999999999998E-2</v>
      </c>
      <c r="M73" s="13">
        <v>8003453810983</v>
      </c>
      <c r="N73" s="14">
        <v>0</v>
      </c>
      <c r="O73" s="14">
        <v>0</v>
      </c>
      <c r="P73" s="15">
        <v>45566</v>
      </c>
      <c r="Q73" s="16" t="s">
        <v>523</v>
      </c>
      <c r="R73" s="17" t="s">
        <v>35</v>
      </c>
      <c r="S73" s="17" t="s">
        <v>525</v>
      </c>
      <c r="T73" s="17" t="s">
        <v>9943</v>
      </c>
      <c r="U73" s="17" t="s">
        <v>526</v>
      </c>
      <c r="V73" s="17" t="s">
        <v>527</v>
      </c>
      <c r="W73" s="17" t="s">
        <v>528</v>
      </c>
      <c r="X73" s="17" t="s">
        <v>529</v>
      </c>
      <c r="Y73" s="17" t="s">
        <v>35</v>
      </c>
      <c r="Z73" s="17" t="s">
        <v>530</v>
      </c>
      <c r="AA73" s="17" t="s">
        <v>35</v>
      </c>
      <c r="AB73" s="17" t="s">
        <v>531</v>
      </c>
      <c r="AC73" s="17" t="s">
        <v>9539</v>
      </c>
      <c r="AD73" s="41">
        <v>84.53</v>
      </c>
      <c r="AE73" s="41">
        <v>88.93</v>
      </c>
      <c r="AF73" s="48"/>
      <c r="AG73" s="44"/>
      <c r="AH73" s="7">
        <f t="shared" si="1"/>
        <v>0</v>
      </c>
      <c r="AI73" s="18"/>
      <c r="AJ73" s="18"/>
    </row>
    <row r="74" spans="1:38" ht="26.65" customHeight="1" x14ac:dyDescent="0.25">
      <c r="A74" s="10" t="s">
        <v>532</v>
      </c>
      <c r="B74" s="9" t="s">
        <v>75</v>
      </c>
      <c r="C74" s="9" t="s">
        <v>43</v>
      </c>
      <c r="D74" s="9" t="s">
        <v>67</v>
      </c>
      <c r="E74" s="9" t="s">
        <v>35</v>
      </c>
      <c r="F74" s="9" t="s">
        <v>36</v>
      </c>
      <c r="G74" s="9">
        <v>6</v>
      </c>
      <c r="H74" s="9">
        <v>84212300</v>
      </c>
      <c r="I74" s="11" t="s">
        <v>37</v>
      </c>
      <c r="J74" s="12">
        <v>2.3E-2</v>
      </c>
      <c r="K74" s="12">
        <v>0.108</v>
      </c>
      <c r="L74" s="12">
        <v>5.1999999999999998E-2</v>
      </c>
      <c r="M74" s="13">
        <v>8003453043497</v>
      </c>
      <c r="N74" s="14">
        <v>0.29699999999999999</v>
      </c>
      <c r="O74" s="14">
        <v>0.32300000000000001</v>
      </c>
      <c r="P74" s="15" t="s">
        <v>35</v>
      </c>
      <c r="Q74" s="16" t="s">
        <v>533</v>
      </c>
      <c r="R74" s="17" t="s">
        <v>35</v>
      </c>
      <c r="S74" s="17" t="s">
        <v>534</v>
      </c>
      <c r="T74" s="17" t="s">
        <v>535</v>
      </c>
      <c r="U74" s="17" t="s">
        <v>350</v>
      </c>
      <c r="V74" s="17" t="s">
        <v>536</v>
      </c>
      <c r="W74" s="17" t="s">
        <v>537</v>
      </c>
      <c r="X74" s="17" t="s">
        <v>538</v>
      </c>
      <c r="Y74" s="17" t="s">
        <v>539</v>
      </c>
      <c r="Z74" s="17" t="s">
        <v>540</v>
      </c>
      <c r="AA74" s="17" t="s">
        <v>35</v>
      </c>
      <c r="AB74" s="17" t="s">
        <v>35</v>
      </c>
      <c r="AC74" s="17" t="s">
        <v>9539</v>
      </c>
      <c r="AD74" s="42">
        <v>9.09</v>
      </c>
      <c r="AE74" s="42">
        <v>9.56</v>
      </c>
      <c r="AF74" s="48"/>
      <c r="AG74" s="44"/>
      <c r="AH74" s="7">
        <f t="shared" si="1"/>
        <v>0</v>
      </c>
      <c r="AI74" s="18"/>
      <c r="AJ74" s="18"/>
    </row>
    <row r="75" spans="1:38" ht="26.65" customHeight="1" x14ac:dyDescent="0.25">
      <c r="A75" s="10" t="s">
        <v>541</v>
      </c>
      <c r="B75" s="9" t="s">
        <v>75</v>
      </c>
      <c r="C75" s="9" t="s">
        <v>43</v>
      </c>
      <c r="D75" s="9" t="s">
        <v>67</v>
      </c>
      <c r="E75" s="9" t="s">
        <v>35</v>
      </c>
      <c r="F75" s="9" t="s">
        <v>36</v>
      </c>
      <c r="G75" s="9">
        <v>6</v>
      </c>
      <c r="H75" s="9">
        <v>84212300</v>
      </c>
      <c r="I75" s="11" t="s">
        <v>37</v>
      </c>
      <c r="J75" s="12">
        <v>2.3E-2</v>
      </c>
      <c r="K75" s="12">
        <v>0.108</v>
      </c>
      <c r="L75" s="12">
        <v>5.1999999999999998E-2</v>
      </c>
      <c r="M75" s="13">
        <v>8003453043527</v>
      </c>
      <c r="N75" s="14">
        <v>0.3</v>
      </c>
      <c r="O75" s="14">
        <v>0.33700000000000002</v>
      </c>
      <c r="P75" s="15" t="s">
        <v>35</v>
      </c>
      <c r="Q75" s="16" t="s">
        <v>542</v>
      </c>
      <c r="R75" s="17" t="s">
        <v>35</v>
      </c>
      <c r="S75" s="17" t="s">
        <v>543</v>
      </c>
      <c r="T75" s="17" t="s">
        <v>544</v>
      </c>
      <c r="U75" s="17" t="s">
        <v>545</v>
      </c>
      <c r="V75" s="17" t="s">
        <v>546</v>
      </c>
      <c r="W75" s="17" t="s">
        <v>547</v>
      </c>
      <c r="X75" s="17" t="s">
        <v>548</v>
      </c>
      <c r="Y75" s="17" t="s">
        <v>549</v>
      </c>
      <c r="Z75" s="17" t="s">
        <v>35</v>
      </c>
      <c r="AA75" s="17" t="s">
        <v>35</v>
      </c>
      <c r="AB75" s="17" t="s">
        <v>35</v>
      </c>
      <c r="AC75" s="17" t="s">
        <v>9539</v>
      </c>
      <c r="AD75" s="42">
        <v>9.31</v>
      </c>
      <c r="AE75" s="42">
        <v>9.7899999999999991</v>
      </c>
      <c r="AF75" s="48"/>
      <c r="AG75" s="44"/>
      <c r="AH75" s="7">
        <f t="shared" si="1"/>
        <v>0</v>
      </c>
      <c r="AI75" s="18"/>
      <c r="AJ75" s="18"/>
    </row>
    <row r="76" spans="1:38" ht="26.65" customHeight="1" x14ac:dyDescent="0.25">
      <c r="A76" s="10" t="s">
        <v>550</v>
      </c>
      <c r="B76" s="9" t="s">
        <v>75</v>
      </c>
      <c r="C76" s="9" t="s">
        <v>43</v>
      </c>
      <c r="D76" s="9" t="s">
        <v>67</v>
      </c>
      <c r="E76" s="9" t="s">
        <v>35</v>
      </c>
      <c r="F76" s="9" t="s">
        <v>36</v>
      </c>
      <c r="G76" s="9">
        <v>6</v>
      </c>
      <c r="H76" s="9">
        <v>84212300</v>
      </c>
      <c r="I76" s="11" t="s">
        <v>37</v>
      </c>
      <c r="J76" s="12">
        <v>2.3E-2</v>
      </c>
      <c r="K76" s="12">
        <v>0.108</v>
      </c>
      <c r="L76" s="12">
        <v>5.1999999999999998E-2</v>
      </c>
      <c r="M76" s="13">
        <v>8003453043633</v>
      </c>
      <c r="N76" s="14">
        <v>0.34</v>
      </c>
      <c r="O76" s="14">
        <v>0.377</v>
      </c>
      <c r="P76" s="15" t="s">
        <v>35</v>
      </c>
      <c r="Q76" s="16" t="s">
        <v>442</v>
      </c>
      <c r="R76" s="17" t="s">
        <v>35</v>
      </c>
      <c r="S76" s="17" t="s">
        <v>551</v>
      </c>
      <c r="T76" s="17" t="s">
        <v>443</v>
      </c>
      <c r="U76" s="17" t="s">
        <v>444</v>
      </c>
      <c r="V76" s="17" t="s">
        <v>445</v>
      </c>
      <c r="W76" s="17" t="s">
        <v>446</v>
      </c>
      <c r="X76" s="17" t="s">
        <v>195</v>
      </c>
      <c r="Y76" s="17" t="s">
        <v>447</v>
      </c>
      <c r="Z76" s="17" t="s">
        <v>35</v>
      </c>
      <c r="AA76" s="17" t="s">
        <v>35</v>
      </c>
      <c r="AB76" s="17" t="s">
        <v>35</v>
      </c>
      <c r="AC76" s="17" t="s">
        <v>9539</v>
      </c>
      <c r="AD76" s="42">
        <v>13.35</v>
      </c>
      <c r="AE76" s="42">
        <v>14.04</v>
      </c>
      <c r="AF76" s="48"/>
      <c r="AG76" s="44"/>
      <c r="AH76" s="7">
        <f t="shared" si="1"/>
        <v>0</v>
      </c>
      <c r="AI76" s="18"/>
      <c r="AJ76" s="18"/>
    </row>
    <row r="77" spans="1:38" ht="26.65" customHeight="1" x14ac:dyDescent="0.25">
      <c r="A77" s="10" t="s">
        <v>552</v>
      </c>
      <c r="B77" s="9" t="s">
        <v>75</v>
      </c>
      <c r="C77" s="9" t="s">
        <v>43</v>
      </c>
      <c r="D77" s="9" t="s">
        <v>67</v>
      </c>
      <c r="E77" s="9" t="s">
        <v>35</v>
      </c>
      <c r="F77" s="9" t="s">
        <v>36</v>
      </c>
      <c r="G77" s="9">
        <v>6</v>
      </c>
      <c r="H77" s="9">
        <v>84212300</v>
      </c>
      <c r="I77" s="11" t="s">
        <v>37</v>
      </c>
      <c r="J77" s="12">
        <v>2.3E-2</v>
      </c>
      <c r="K77" s="12">
        <v>0.108</v>
      </c>
      <c r="L77" s="12">
        <v>5.1999999999999998E-2</v>
      </c>
      <c r="M77" s="13">
        <v>8003453043640</v>
      </c>
      <c r="N77" s="14">
        <v>0.22500000000000001</v>
      </c>
      <c r="O77" s="14">
        <v>0.27500000000000002</v>
      </c>
      <c r="P77" s="15" t="s">
        <v>35</v>
      </c>
      <c r="Q77" s="16" t="s">
        <v>553</v>
      </c>
      <c r="R77" s="17" t="s">
        <v>554</v>
      </c>
      <c r="S77" s="17" t="s">
        <v>555</v>
      </c>
      <c r="T77" s="17" t="s">
        <v>395</v>
      </c>
      <c r="U77" s="17" t="s">
        <v>556</v>
      </c>
      <c r="V77" s="17" t="s">
        <v>397</v>
      </c>
      <c r="W77" s="17" t="s">
        <v>398</v>
      </c>
      <c r="X77" s="17" t="s">
        <v>557</v>
      </c>
      <c r="Y77" s="17" t="s">
        <v>558</v>
      </c>
      <c r="Z77" s="17" t="s">
        <v>35</v>
      </c>
      <c r="AA77" s="17" t="s">
        <v>35</v>
      </c>
      <c r="AB77" s="17" t="s">
        <v>35</v>
      </c>
      <c r="AC77" s="17" t="s">
        <v>9539</v>
      </c>
      <c r="AD77" s="42">
        <v>7.14</v>
      </c>
      <c r="AE77" s="42">
        <v>7.51</v>
      </c>
      <c r="AF77" s="48"/>
      <c r="AG77" s="44"/>
      <c r="AH77" s="7">
        <f t="shared" si="1"/>
        <v>0</v>
      </c>
      <c r="AI77" s="18"/>
      <c r="AJ77" s="18"/>
    </row>
    <row r="78" spans="1:38" ht="26.65" customHeight="1" x14ac:dyDescent="0.25">
      <c r="A78" s="38" t="s">
        <v>559</v>
      </c>
      <c r="B78" s="9" t="s">
        <v>75</v>
      </c>
      <c r="C78" s="9" t="s">
        <v>43</v>
      </c>
      <c r="D78" s="9" t="s">
        <v>67</v>
      </c>
      <c r="E78" s="9" t="s">
        <v>35</v>
      </c>
      <c r="F78" s="9" t="s">
        <v>36</v>
      </c>
      <c r="G78" s="9">
        <v>6</v>
      </c>
      <c r="H78" s="9">
        <v>84212300</v>
      </c>
      <c r="I78" s="11" t="s">
        <v>37</v>
      </c>
      <c r="J78" s="12">
        <v>2.3E-2</v>
      </c>
      <c r="K78" s="12">
        <v>0.108</v>
      </c>
      <c r="L78" s="12">
        <v>5.1999999999999998E-2</v>
      </c>
      <c r="M78" s="13">
        <v>8003453043794</v>
      </c>
      <c r="N78" s="14">
        <v>0.33600000000000002</v>
      </c>
      <c r="O78" s="14">
        <v>0.36499999999999999</v>
      </c>
      <c r="P78" s="15" t="s">
        <v>35</v>
      </c>
      <c r="Q78" s="16" t="s">
        <v>560</v>
      </c>
      <c r="R78" s="17" t="s">
        <v>35</v>
      </c>
      <c r="S78" s="17" t="s">
        <v>561</v>
      </c>
      <c r="T78" s="17" t="s">
        <v>562</v>
      </c>
      <c r="U78" s="17" t="s">
        <v>563</v>
      </c>
      <c r="V78" s="17" t="s">
        <v>564</v>
      </c>
      <c r="W78" s="17" t="s">
        <v>565</v>
      </c>
      <c r="X78" s="17" t="s">
        <v>566</v>
      </c>
      <c r="Y78" s="17" t="s">
        <v>567</v>
      </c>
      <c r="Z78" s="17" t="s">
        <v>568</v>
      </c>
      <c r="AA78" s="17" t="s">
        <v>35</v>
      </c>
      <c r="AB78" s="17" t="s">
        <v>35</v>
      </c>
      <c r="AC78" s="17" t="s">
        <v>9538</v>
      </c>
      <c r="AD78" s="42">
        <v>12.41</v>
      </c>
      <c r="AE78" s="42">
        <v>13.06</v>
      </c>
      <c r="AF78" s="48"/>
      <c r="AG78" s="44"/>
      <c r="AH78" s="7">
        <f t="shared" si="1"/>
        <v>0</v>
      </c>
      <c r="AI78" s="18"/>
      <c r="AJ78" s="18"/>
    </row>
    <row r="79" spans="1:38" ht="26.65" customHeight="1" x14ac:dyDescent="0.25">
      <c r="A79" s="38" t="s">
        <v>569</v>
      </c>
      <c r="B79" s="9" t="s">
        <v>75</v>
      </c>
      <c r="C79" s="9" t="s">
        <v>58</v>
      </c>
      <c r="D79" s="9" t="s">
        <v>67</v>
      </c>
      <c r="E79" s="9" t="s">
        <v>35</v>
      </c>
      <c r="F79" s="9" t="s">
        <v>36</v>
      </c>
      <c r="G79" s="9">
        <v>6</v>
      </c>
      <c r="H79" s="9">
        <v>84212300</v>
      </c>
      <c r="I79" s="11" t="s">
        <v>37</v>
      </c>
      <c r="J79" s="12">
        <v>2.3E-2</v>
      </c>
      <c r="K79" s="12">
        <v>0.108</v>
      </c>
      <c r="L79" s="12">
        <v>5.1999999999999998E-2</v>
      </c>
      <c r="M79" s="13">
        <v>8003453045118</v>
      </c>
      <c r="N79" s="14">
        <v>1.21</v>
      </c>
      <c r="O79" s="14">
        <v>1.31</v>
      </c>
      <c r="P79" s="15">
        <v>45078</v>
      </c>
      <c r="Q79" s="16" t="s">
        <v>570</v>
      </c>
      <c r="R79" s="17" t="s">
        <v>571</v>
      </c>
      <c r="S79" s="17" t="s">
        <v>572</v>
      </c>
      <c r="T79" s="17" t="s">
        <v>573</v>
      </c>
      <c r="U79" s="17" t="s">
        <v>574</v>
      </c>
      <c r="V79" s="17" t="s">
        <v>575</v>
      </c>
      <c r="W79" s="17" t="s">
        <v>576</v>
      </c>
      <c r="X79" s="17" t="s">
        <v>577</v>
      </c>
      <c r="Y79" s="17" t="s">
        <v>578</v>
      </c>
      <c r="Z79" s="17" t="s">
        <v>579</v>
      </c>
      <c r="AA79" s="17" t="s">
        <v>35</v>
      </c>
      <c r="AB79" s="17" t="s">
        <v>580</v>
      </c>
      <c r="AC79" s="17" t="s">
        <v>9538</v>
      </c>
      <c r="AD79" s="42">
        <v>35.92</v>
      </c>
      <c r="AE79" s="42">
        <v>37.79</v>
      </c>
      <c r="AF79" s="48"/>
      <c r="AG79" s="44"/>
      <c r="AH79" s="7">
        <f t="shared" si="1"/>
        <v>0</v>
      </c>
      <c r="AI79" s="18"/>
      <c r="AJ79" s="18"/>
    </row>
    <row r="80" spans="1:38" ht="26.65" customHeight="1" x14ac:dyDescent="0.25">
      <c r="A80" s="10" t="s">
        <v>581</v>
      </c>
      <c r="B80" s="9" t="s">
        <v>582</v>
      </c>
      <c r="C80" s="9" t="s">
        <v>58</v>
      </c>
      <c r="D80" s="9" t="s">
        <v>67</v>
      </c>
      <c r="E80" s="9" t="s">
        <v>35</v>
      </c>
      <c r="F80" s="9" t="s">
        <v>36</v>
      </c>
      <c r="G80" s="9">
        <v>6</v>
      </c>
      <c r="H80" s="9">
        <v>84212300</v>
      </c>
      <c r="I80" s="11" t="s">
        <v>37</v>
      </c>
      <c r="J80" s="12">
        <v>2.3E-2</v>
      </c>
      <c r="K80" s="12">
        <v>0.108</v>
      </c>
      <c r="L80" s="12">
        <v>5.1999999999999998E-2</v>
      </c>
      <c r="M80" s="13">
        <v>8003453043916</v>
      </c>
      <c r="N80" s="14">
        <v>2.1</v>
      </c>
      <c r="O80" s="14">
        <v>2.1379999999999999</v>
      </c>
      <c r="P80" s="15">
        <v>45139</v>
      </c>
      <c r="Q80" s="16" t="s">
        <v>583</v>
      </c>
      <c r="R80" s="17" t="s">
        <v>584</v>
      </c>
      <c r="S80" s="17" t="s">
        <v>585</v>
      </c>
      <c r="T80" s="17" t="s">
        <v>586</v>
      </c>
      <c r="U80" s="17" t="s">
        <v>35</v>
      </c>
      <c r="V80" s="17" t="s">
        <v>35</v>
      </c>
      <c r="W80" s="17" t="s">
        <v>35</v>
      </c>
      <c r="X80" s="17" t="s">
        <v>587</v>
      </c>
      <c r="Y80" s="17" t="s">
        <v>35</v>
      </c>
      <c r="Z80" s="17" t="s">
        <v>588</v>
      </c>
      <c r="AA80" s="17" t="s">
        <v>35</v>
      </c>
      <c r="AB80" s="17" t="s">
        <v>589</v>
      </c>
      <c r="AC80" s="17" t="s">
        <v>9539</v>
      </c>
      <c r="AD80" s="42">
        <v>167.67</v>
      </c>
      <c r="AE80" s="42">
        <v>176.39</v>
      </c>
      <c r="AF80" s="48"/>
      <c r="AG80" s="44"/>
      <c r="AH80" s="7">
        <f t="shared" si="1"/>
        <v>0</v>
      </c>
      <c r="AI80" s="18"/>
      <c r="AJ80" s="18"/>
    </row>
    <row r="81" spans="1:38" ht="26.65" customHeight="1" x14ac:dyDescent="0.25">
      <c r="A81" s="10" t="s">
        <v>590</v>
      </c>
      <c r="B81" s="9" t="s">
        <v>75</v>
      </c>
      <c r="C81" s="9" t="s">
        <v>43</v>
      </c>
      <c r="D81" s="9" t="s">
        <v>48</v>
      </c>
      <c r="E81" s="9" t="s">
        <v>35</v>
      </c>
      <c r="F81" s="9" t="s">
        <v>36</v>
      </c>
      <c r="G81" s="9">
        <v>6</v>
      </c>
      <c r="H81" s="9">
        <v>84212300</v>
      </c>
      <c r="I81" s="11" t="s">
        <v>37</v>
      </c>
      <c r="J81" s="12">
        <v>2.3E-2</v>
      </c>
      <c r="K81" s="12">
        <v>0.108</v>
      </c>
      <c r="L81" s="12">
        <v>5.1999999999999998E-2</v>
      </c>
      <c r="M81" s="13">
        <v>8003453043862</v>
      </c>
      <c r="N81" s="14">
        <v>0.20599999999999999</v>
      </c>
      <c r="O81" s="14">
        <v>0.23400000000000001</v>
      </c>
      <c r="P81" s="15" t="s">
        <v>35</v>
      </c>
      <c r="Q81" s="16" t="s">
        <v>591</v>
      </c>
      <c r="R81" s="17" t="s">
        <v>592</v>
      </c>
      <c r="S81" s="17" t="s">
        <v>593</v>
      </c>
      <c r="T81" s="17" t="s">
        <v>35</v>
      </c>
      <c r="U81" s="17" t="s">
        <v>594</v>
      </c>
      <c r="V81" s="17" t="s">
        <v>595</v>
      </c>
      <c r="W81" s="17" t="s">
        <v>596</v>
      </c>
      <c r="X81" s="17" t="s">
        <v>597</v>
      </c>
      <c r="Y81" s="17" t="s">
        <v>598</v>
      </c>
      <c r="Z81" s="17" t="s">
        <v>35</v>
      </c>
      <c r="AA81" s="17" t="s">
        <v>35</v>
      </c>
      <c r="AB81" s="17" t="s">
        <v>35</v>
      </c>
      <c r="AC81" s="17" t="s">
        <v>9539</v>
      </c>
      <c r="AD81" s="42">
        <v>11.12</v>
      </c>
      <c r="AE81" s="42">
        <v>11.7</v>
      </c>
      <c r="AF81" s="48"/>
      <c r="AG81" s="44"/>
      <c r="AH81" s="7">
        <f t="shared" si="1"/>
        <v>0</v>
      </c>
      <c r="AI81" s="18"/>
      <c r="AJ81" s="18"/>
    </row>
    <row r="82" spans="1:38" ht="26.65" customHeight="1" x14ac:dyDescent="0.25">
      <c r="A82" s="10" t="s">
        <v>599</v>
      </c>
      <c r="B82" s="9" t="s">
        <v>75</v>
      </c>
      <c r="C82" s="9" t="s">
        <v>43</v>
      </c>
      <c r="D82" s="9" t="s">
        <v>67</v>
      </c>
      <c r="E82" s="9" t="s">
        <v>35</v>
      </c>
      <c r="F82" s="9" t="s">
        <v>36</v>
      </c>
      <c r="G82" s="9">
        <v>6</v>
      </c>
      <c r="H82" s="9">
        <v>84212300</v>
      </c>
      <c r="I82" s="11" t="s">
        <v>37</v>
      </c>
      <c r="J82" s="12">
        <v>2.3E-2</v>
      </c>
      <c r="K82" s="12">
        <v>0.108</v>
      </c>
      <c r="L82" s="12">
        <v>5.1999999999999998E-2</v>
      </c>
      <c r="M82" s="13">
        <v>8003453043879</v>
      </c>
      <c r="N82" s="14">
        <v>0.35</v>
      </c>
      <c r="O82" s="14">
        <v>0.373</v>
      </c>
      <c r="P82" s="15" t="s">
        <v>35</v>
      </c>
      <c r="Q82" s="16" t="s">
        <v>600</v>
      </c>
      <c r="R82" s="17" t="s">
        <v>601</v>
      </c>
      <c r="S82" s="17" t="s">
        <v>602</v>
      </c>
      <c r="T82" s="17" t="s">
        <v>603</v>
      </c>
      <c r="U82" s="17" t="s">
        <v>604</v>
      </c>
      <c r="V82" s="17" t="s">
        <v>605</v>
      </c>
      <c r="W82" s="17" t="s">
        <v>606</v>
      </c>
      <c r="X82" s="17" t="s">
        <v>607</v>
      </c>
      <c r="Y82" s="17" t="s">
        <v>608</v>
      </c>
      <c r="Z82" s="17" t="s">
        <v>35</v>
      </c>
      <c r="AA82" s="17" t="s">
        <v>35</v>
      </c>
      <c r="AB82" s="17" t="s">
        <v>35</v>
      </c>
      <c r="AC82" s="17" t="s">
        <v>9539</v>
      </c>
      <c r="AD82" s="41">
        <v>8.57</v>
      </c>
      <c r="AE82" s="41">
        <v>9.02</v>
      </c>
      <c r="AF82" s="48"/>
      <c r="AG82" s="44"/>
      <c r="AH82" s="7">
        <f t="shared" si="1"/>
        <v>0</v>
      </c>
      <c r="AI82" s="18"/>
      <c r="AJ82" s="18"/>
      <c r="AL82" s="18"/>
    </row>
    <row r="83" spans="1:38" ht="26.65" customHeight="1" x14ac:dyDescent="0.25">
      <c r="A83" s="10" t="s">
        <v>609</v>
      </c>
      <c r="B83" s="9" t="s">
        <v>75</v>
      </c>
      <c r="C83" s="9" t="s">
        <v>43</v>
      </c>
      <c r="D83" s="9" t="s">
        <v>67</v>
      </c>
      <c r="E83" s="9" t="s">
        <v>35</v>
      </c>
      <c r="F83" s="9" t="s">
        <v>36</v>
      </c>
      <c r="G83" s="9">
        <v>6</v>
      </c>
      <c r="H83" s="9">
        <v>84212300</v>
      </c>
      <c r="I83" s="11" t="s">
        <v>37</v>
      </c>
      <c r="J83" s="12">
        <v>2.3E-2</v>
      </c>
      <c r="K83" s="12">
        <v>0.108</v>
      </c>
      <c r="L83" s="12">
        <v>5.1999999999999998E-2</v>
      </c>
      <c r="M83" s="13">
        <v>8003453043886</v>
      </c>
      <c r="N83" s="14">
        <v>0.3</v>
      </c>
      <c r="O83" s="14">
        <v>0.34100000000000003</v>
      </c>
      <c r="P83" s="15" t="s">
        <v>35</v>
      </c>
      <c r="Q83" s="16" t="s">
        <v>610</v>
      </c>
      <c r="R83" s="17" t="s">
        <v>35</v>
      </c>
      <c r="S83" s="17" t="s">
        <v>611</v>
      </c>
      <c r="T83" s="17" t="s">
        <v>612</v>
      </c>
      <c r="U83" s="17" t="s">
        <v>35</v>
      </c>
      <c r="V83" s="17" t="s">
        <v>613</v>
      </c>
      <c r="W83" s="17" t="s">
        <v>614</v>
      </c>
      <c r="X83" s="17" t="s">
        <v>615</v>
      </c>
      <c r="Y83" s="17" t="s">
        <v>616</v>
      </c>
      <c r="Z83" s="17" t="s">
        <v>35</v>
      </c>
      <c r="AA83" s="17" t="s">
        <v>35</v>
      </c>
      <c r="AB83" s="17" t="s">
        <v>35</v>
      </c>
      <c r="AC83" s="17" t="s">
        <v>9539</v>
      </c>
      <c r="AD83" s="41">
        <v>8.76</v>
      </c>
      <c r="AE83" s="41">
        <v>9.2200000000000006</v>
      </c>
      <c r="AF83" s="48"/>
      <c r="AG83" s="44"/>
      <c r="AH83" s="7">
        <f t="shared" si="1"/>
        <v>0</v>
      </c>
      <c r="AI83" s="18"/>
      <c r="AJ83" s="18"/>
      <c r="AL83" s="18"/>
    </row>
    <row r="84" spans="1:38" ht="26.65" customHeight="1" x14ac:dyDescent="0.25">
      <c r="A84" s="10" t="s">
        <v>617</v>
      </c>
      <c r="B84" s="9" t="s">
        <v>75</v>
      </c>
      <c r="C84" s="9" t="s">
        <v>43</v>
      </c>
      <c r="D84" s="9" t="s">
        <v>67</v>
      </c>
      <c r="E84" s="9" t="s">
        <v>35</v>
      </c>
      <c r="F84" s="9" t="s">
        <v>36</v>
      </c>
      <c r="G84" s="9">
        <v>6</v>
      </c>
      <c r="H84" s="9">
        <v>84212300</v>
      </c>
      <c r="I84" s="11" t="s">
        <v>37</v>
      </c>
      <c r="J84" s="12">
        <v>2.3E-2</v>
      </c>
      <c r="K84" s="12">
        <v>0.108</v>
      </c>
      <c r="L84" s="12">
        <v>5.1999999999999998E-2</v>
      </c>
      <c r="M84" s="13">
        <v>8003453043954</v>
      </c>
      <c r="N84" s="14">
        <v>0.27500000000000002</v>
      </c>
      <c r="O84" s="14">
        <v>0.311</v>
      </c>
      <c r="P84" s="15">
        <v>45170</v>
      </c>
      <c r="Q84" s="16" t="s">
        <v>618</v>
      </c>
      <c r="R84" s="17" t="s">
        <v>8597</v>
      </c>
      <c r="S84" s="17" t="s">
        <v>619</v>
      </c>
      <c r="T84" s="17" t="s">
        <v>413</v>
      </c>
      <c r="U84" s="17" t="s">
        <v>620</v>
      </c>
      <c r="V84" s="17" t="s">
        <v>621</v>
      </c>
      <c r="W84" s="17" t="s">
        <v>622</v>
      </c>
      <c r="X84" s="17" t="s">
        <v>212</v>
      </c>
      <c r="Y84" s="17" t="s">
        <v>623</v>
      </c>
      <c r="Z84" s="17" t="s">
        <v>35</v>
      </c>
      <c r="AA84" s="17" t="s">
        <v>35</v>
      </c>
      <c r="AB84" s="17" t="s">
        <v>35</v>
      </c>
      <c r="AC84" s="17" t="s">
        <v>9539</v>
      </c>
      <c r="AD84" s="41">
        <v>10.11</v>
      </c>
      <c r="AE84" s="41">
        <v>10.64</v>
      </c>
      <c r="AF84" s="48"/>
      <c r="AG84" s="44"/>
      <c r="AH84" s="7">
        <f t="shared" si="1"/>
        <v>0</v>
      </c>
      <c r="AI84" s="18"/>
      <c r="AJ84" s="18"/>
      <c r="AL84" s="18"/>
    </row>
    <row r="85" spans="1:38" ht="26.65" customHeight="1" x14ac:dyDescent="0.25">
      <c r="A85" s="10" t="s">
        <v>624</v>
      </c>
      <c r="B85" s="9" t="s">
        <v>75</v>
      </c>
      <c r="C85" s="9" t="s">
        <v>43</v>
      </c>
      <c r="D85" s="9" t="s">
        <v>67</v>
      </c>
      <c r="E85" s="9" t="s">
        <v>35</v>
      </c>
      <c r="F85" s="9" t="s">
        <v>36</v>
      </c>
      <c r="G85" s="9">
        <v>6</v>
      </c>
      <c r="H85" s="9">
        <v>84212300</v>
      </c>
      <c r="I85" s="11" t="s">
        <v>37</v>
      </c>
      <c r="J85" s="12">
        <v>2.3E-2</v>
      </c>
      <c r="K85" s="12">
        <v>0.108</v>
      </c>
      <c r="L85" s="12">
        <v>5.1999999999999998E-2</v>
      </c>
      <c r="M85" s="13">
        <v>8003453043978</v>
      </c>
      <c r="N85" s="14">
        <v>0.39400000000000002</v>
      </c>
      <c r="O85" s="14">
        <v>0.442</v>
      </c>
      <c r="P85" s="15" t="s">
        <v>35</v>
      </c>
      <c r="Q85" s="16" t="s">
        <v>625</v>
      </c>
      <c r="R85" s="17" t="s">
        <v>35</v>
      </c>
      <c r="S85" s="17" t="s">
        <v>626</v>
      </c>
      <c r="T85" s="17" t="s">
        <v>627</v>
      </c>
      <c r="U85" s="17" t="s">
        <v>628</v>
      </c>
      <c r="V85" s="17" t="s">
        <v>35</v>
      </c>
      <c r="W85" s="17" t="s">
        <v>35</v>
      </c>
      <c r="X85" s="17" t="s">
        <v>629</v>
      </c>
      <c r="Y85" s="17" t="s">
        <v>630</v>
      </c>
      <c r="Z85" s="17" t="s">
        <v>631</v>
      </c>
      <c r="AA85" s="17" t="s">
        <v>35</v>
      </c>
      <c r="AB85" s="17" t="s">
        <v>35</v>
      </c>
      <c r="AC85" s="17" t="s">
        <v>9539</v>
      </c>
      <c r="AD85" s="42">
        <v>28.03</v>
      </c>
      <c r="AE85" s="42">
        <v>29.49</v>
      </c>
      <c r="AF85" s="48"/>
      <c r="AG85" s="44"/>
      <c r="AH85" s="7">
        <f t="shared" si="1"/>
        <v>0</v>
      </c>
      <c r="AI85" s="18"/>
      <c r="AJ85" s="18"/>
    </row>
    <row r="86" spans="1:38" ht="26.65" customHeight="1" x14ac:dyDescent="0.25">
      <c r="A86" s="10" t="s">
        <v>632</v>
      </c>
      <c r="B86" s="9" t="s">
        <v>75</v>
      </c>
      <c r="C86" s="9" t="s">
        <v>34</v>
      </c>
      <c r="D86" s="9" t="s">
        <v>67</v>
      </c>
      <c r="E86" s="9" t="s">
        <v>35</v>
      </c>
      <c r="F86" s="9" t="s">
        <v>36</v>
      </c>
      <c r="G86" s="9">
        <v>6</v>
      </c>
      <c r="H86" s="9">
        <v>84212300</v>
      </c>
      <c r="I86" s="11" t="s">
        <v>37</v>
      </c>
      <c r="J86" s="12">
        <v>2.3E-2</v>
      </c>
      <c r="K86" s="12">
        <v>0.108</v>
      </c>
      <c r="L86" s="12">
        <v>5.1999999999999998E-2</v>
      </c>
      <c r="M86" s="13">
        <v>8003453044036</v>
      </c>
      <c r="N86" s="14">
        <v>0.51</v>
      </c>
      <c r="O86" s="14">
        <v>0.6</v>
      </c>
      <c r="P86" s="15" t="s">
        <v>35</v>
      </c>
      <c r="Q86" s="16" t="s">
        <v>633</v>
      </c>
      <c r="R86" s="17" t="s">
        <v>35</v>
      </c>
      <c r="S86" s="17" t="s">
        <v>634</v>
      </c>
      <c r="T86" s="17" t="s">
        <v>635</v>
      </c>
      <c r="U86" s="17" t="s">
        <v>434</v>
      </c>
      <c r="V86" s="17" t="s">
        <v>435</v>
      </c>
      <c r="W86" s="17" t="s">
        <v>436</v>
      </c>
      <c r="X86" s="17" t="s">
        <v>636</v>
      </c>
      <c r="Y86" s="17" t="s">
        <v>637</v>
      </c>
      <c r="Z86" s="17" t="s">
        <v>638</v>
      </c>
      <c r="AA86" s="17" t="s">
        <v>35</v>
      </c>
      <c r="AB86" s="17" t="s">
        <v>639</v>
      </c>
      <c r="AC86" s="17" t="s">
        <v>9539</v>
      </c>
      <c r="AD86" s="42">
        <v>37.909999999999997</v>
      </c>
      <c r="AE86" s="42">
        <v>39.880000000000003</v>
      </c>
      <c r="AF86" s="48"/>
      <c r="AG86" s="44"/>
      <c r="AH86" s="7">
        <f t="shared" si="1"/>
        <v>0</v>
      </c>
      <c r="AI86" s="18"/>
      <c r="AJ86" s="18"/>
    </row>
    <row r="87" spans="1:38" ht="26.65" customHeight="1" x14ac:dyDescent="0.25">
      <c r="A87" s="10" t="s">
        <v>9944</v>
      </c>
      <c r="B87" s="9" t="s">
        <v>75</v>
      </c>
      <c r="C87" s="9" t="s">
        <v>34</v>
      </c>
      <c r="D87" s="9" t="s">
        <v>48</v>
      </c>
      <c r="E87" s="9" t="s">
        <v>35</v>
      </c>
      <c r="F87" s="9" t="s">
        <v>36</v>
      </c>
      <c r="G87" s="9">
        <v>6</v>
      </c>
      <c r="H87" s="9">
        <v>84212300</v>
      </c>
      <c r="I87" s="11" t="s">
        <v>37</v>
      </c>
      <c r="J87" s="12">
        <v>2.3E-2</v>
      </c>
      <c r="K87" s="12">
        <v>0.108</v>
      </c>
      <c r="L87" s="12">
        <v>5.1999999999999998E-2</v>
      </c>
      <c r="M87" s="13">
        <v>8003453808805</v>
      </c>
      <c r="N87" s="14">
        <v>0</v>
      </c>
      <c r="O87" s="14">
        <v>0</v>
      </c>
      <c r="P87" s="15">
        <v>45566</v>
      </c>
      <c r="Q87" s="16" t="s">
        <v>640</v>
      </c>
      <c r="R87" s="17" t="s">
        <v>641</v>
      </c>
      <c r="S87" s="17" t="s">
        <v>642</v>
      </c>
      <c r="T87" s="17" t="s">
        <v>643</v>
      </c>
      <c r="U87" s="17" t="s">
        <v>644</v>
      </c>
      <c r="V87" s="17" t="s">
        <v>645</v>
      </c>
      <c r="W87" s="17" t="s">
        <v>646</v>
      </c>
      <c r="X87" s="17" t="s">
        <v>647</v>
      </c>
      <c r="Y87" s="17" t="s">
        <v>648</v>
      </c>
      <c r="Z87" s="17" t="s">
        <v>649</v>
      </c>
      <c r="AA87" s="17" t="s">
        <v>650</v>
      </c>
      <c r="AB87" s="17" t="s">
        <v>651</v>
      </c>
      <c r="AC87" s="17" t="s">
        <v>9539</v>
      </c>
      <c r="AD87" s="41">
        <v>36.369999999999997</v>
      </c>
      <c r="AE87" s="41">
        <v>38.26</v>
      </c>
      <c r="AF87" s="48"/>
      <c r="AG87" s="44"/>
      <c r="AH87" s="7">
        <f t="shared" si="1"/>
        <v>0</v>
      </c>
      <c r="AI87" s="18"/>
      <c r="AJ87" s="18"/>
    </row>
    <row r="88" spans="1:38" ht="26.65" customHeight="1" x14ac:dyDescent="0.25">
      <c r="A88" s="10" t="s">
        <v>652</v>
      </c>
      <c r="B88" s="9" t="s">
        <v>75</v>
      </c>
      <c r="C88" s="9" t="s">
        <v>43</v>
      </c>
      <c r="D88" s="9" t="s">
        <v>67</v>
      </c>
      <c r="E88" s="9" t="s">
        <v>35</v>
      </c>
      <c r="F88" s="9" t="s">
        <v>36</v>
      </c>
      <c r="G88" s="9">
        <v>6</v>
      </c>
      <c r="H88" s="9">
        <v>84212300</v>
      </c>
      <c r="I88" s="11" t="s">
        <v>37</v>
      </c>
      <c r="J88" s="12">
        <v>2.3E-2</v>
      </c>
      <c r="K88" s="12">
        <v>0.108</v>
      </c>
      <c r="L88" s="12">
        <v>5.1999999999999998E-2</v>
      </c>
      <c r="M88" s="13">
        <v>8003453044050</v>
      </c>
      <c r="N88" s="14">
        <v>0.24</v>
      </c>
      <c r="O88" s="14">
        <v>0.27300000000000002</v>
      </c>
      <c r="P88" s="15" t="s">
        <v>35</v>
      </c>
      <c r="Q88" s="16" t="s">
        <v>653</v>
      </c>
      <c r="R88" s="17" t="s">
        <v>35</v>
      </c>
      <c r="S88" s="17" t="s">
        <v>654</v>
      </c>
      <c r="T88" s="17" t="s">
        <v>35</v>
      </c>
      <c r="U88" s="17" t="s">
        <v>655</v>
      </c>
      <c r="V88" s="17" t="s">
        <v>376</v>
      </c>
      <c r="W88" s="17" t="s">
        <v>377</v>
      </c>
      <c r="X88" s="17" t="s">
        <v>378</v>
      </c>
      <c r="Y88" s="17" t="s">
        <v>656</v>
      </c>
      <c r="Z88" s="17" t="s">
        <v>35</v>
      </c>
      <c r="AA88" s="17" t="s">
        <v>35</v>
      </c>
      <c r="AB88" s="17" t="s">
        <v>35</v>
      </c>
      <c r="AC88" s="17" t="s">
        <v>9539</v>
      </c>
      <c r="AD88" s="41">
        <v>7.52</v>
      </c>
      <c r="AE88" s="41">
        <v>7.91</v>
      </c>
      <c r="AF88" s="48"/>
      <c r="AG88" s="44"/>
      <c r="AH88" s="7">
        <f t="shared" si="1"/>
        <v>0</v>
      </c>
      <c r="AI88" s="18"/>
      <c r="AJ88" s="18"/>
    </row>
    <row r="89" spans="1:38" ht="26.65" customHeight="1" x14ac:dyDescent="0.25">
      <c r="A89" s="10" t="s">
        <v>657</v>
      </c>
      <c r="B89" s="9" t="s">
        <v>75</v>
      </c>
      <c r="C89" s="9" t="s">
        <v>43</v>
      </c>
      <c r="D89" s="9" t="s">
        <v>67</v>
      </c>
      <c r="E89" s="9" t="s">
        <v>35</v>
      </c>
      <c r="F89" s="9" t="s">
        <v>36</v>
      </c>
      <c r="G89" s="9">
        <v>6</v>
      </c>
      <c r="H89" s="9">
        <v>84212300</v>
      </c>
      <c r="I89" s="11" t="s">
        <v>37</v>
      </c>
      <c r="J89" s="12">
        <v>2.3E-2</v>
      </c>
      <c r="K89" s="12">
        <v>0.108</v>
      </c>
      <c r="L89" s="12">
        <v>5.1999999999999998E-2</v>
      </c>
      <c r="M89" s="13">
        <v>8003453044074</v>
      </c>
      <c r="N89" s="14">
        <v>0.38</v>
      </c>
      <c r="O89" s="14">
        <v>0.4</v>
      </c>
      <c r="P89" s="15" t="s">
        <v>35</v>
      </c>
      <c r="Q89" s="16" t="s">
        <v>658</v>
      </c>
      <c r="R89" s="17" t="s">
        <v>35</v>
      </c>
      <c r="S89" s="17" t="s">
        <v>659</v>
      </c>
      <c r="T89" s="17" t="s">
        <v>660</v>
      </c>
      <c r="U89" s="17" t="s">
        <v>35</v>
      </c>
      <c r="V89" s="17" t="s">
        <v>661</v>
      </c>
      <c r="W89" s="17" t="s">
        <v>662</v>
      </c>
      <c r="X89" s="17" t="s">
        <v>306</v>
      </c>
      <c r="Y89" s="17" t="s">
        <v>663</v>
      </c>
      <c r="Z89" s="17" t="s">
        <v>35</v>
      </c>
      <c r="AA89" s="17" t="s">
        <v>35</v>
      </c>
      <c r="AB89" s="17" t="s">
        <v>35</v>
      </c>
      <c r="AC89" s="17" t="s">
        <v>9539</v>
      </c>
      <c r="AD89" s="41">
        <v>19.63</v>
      </c>
      <c r="AE89" s="41">
        <v>20.65</v>
      </c>
      <c r="AF89" s="48"/>
      <c r="AG89" s="44"/>
      <c r="AH89" s="7">
        <f t="shared" si="1"/>
        <v>0</v>
      </c>
      <c r="AI89" s="18"/>
      <c r="AJ89" s="18"/>
      <c r="AL89" s="18"/>
    </row>
    <row r="90" spans="1:38" ht="26.65" customHeight="1" x14ac:dyDescent="0.25">
      <c r="A90" s="10" t="s">
        <v>664</v>
      </c>
      <c r="B90" s="9" t="s">
        <v>75</v>
      </c>
      <c r="C90" s="9" t="s">
        <v>43</v>
      </c>
      <c r="D90" s="9" t="s">
        <v>67</v>
      </c>
      <c r="E90" s="9" t="s">
        <v>35</v>
      </c>
      <c r="F90" s="9" t="s">
        <v>36</v>
      </c>
      <c r="G90" s="9">
        <v>6</v>
      </c>
      <c r="H90" s="9">
        <v>84212300</v>
      </c>
      <c r="I90" s="11" t="s">
        <v>37</v>
      </c>
      <c r="J90" s="12">
        <v>2.3E-2</v>
      </c>
      <c r="K90" s="12">
        <v>0.108</v>
      </c>
      <c r="L90" s="12">
        <v>5.1999999999999998E-2</v>
      </c>
      <c r="M90" s="13">
        <v>8003453044098</v>
      </c>
      <c r="N90" s="14">
        <v>0.84299999999999997</v>
      </c>
      <c r="O90" s="14">
        <v>0.93600000000000005</v>
      </c>
      <c r="P90" s="15" t="s">
        <v>35</v>
      </c>
      <c r="Q90" s="16" t="s">
        <v>665</v>
      </c>
      <c r="R90" s="17" t="s">
        <v>666</v>
      </c>
      <c r="S90" s="17" t="s">
        <v>667</v>
      </c>
      <c r="T90" s="17" t="s">
        <v>668</v>
      </c>
      <c r="U90" s="17" t="s">
        <v>669</v>
      </c>
      <c r="V90" s="17" t="s">
        <v>670</v>
      </c>
      <c r="W90" s="17" t="s">
        <v>671</v>
      </c>
      <c r="X90" s="17" t="s">
        <v>672</v>
      </c>
      <c r="Y90" s="17" t="s">
        <v>673</v>
      </c>
      <c r="Z90" s="17" t="s">
        <v>674</v>
      </c>
      <c r="AA90" s="17" t="s">
        <v>35</v>
      </c>
      <c r="AB90" s="17" t="s">
        <v>675</v>
      </c>
      <c r="AC90" s="17" t="s">
        <v>9539</v>
      </c>
      <c r="AD90" s="41">
        <v>33.71</v>
      </c>
      <c r="AE90" s="41">
        <v>35.46</v>
      </c>
      <c r="AF90" s="48"/>
      <c r="AG90" s="44"/>
      <c r="AH90" s="7">
        <f t="shared" si="1"/>
        <v>0</v>
      </c>
      <c r="AI90" s="18"/>
      <c r="AJ90" s="18"/>
      <c r="AL90" s="18"/>
    </row>
    <row r="91" spans="1:38" ht="26.65" customHeight="1" x14ac:dyDescent="0.25">
      <c r="A91" s="10" t="s">
        <v>8599</v>
      </c>
      <c r="B91" s="9" t="s">
        <v>75</v>
      </c>
      <c r="C91" s="9" t="s">
        <v>43</v>
      </c>
      <c r="D91" s="9" t="s">
        <v>67</v>
      </c>
      <c r="E91" s="9" t="s">
        <v>35</v>
      </c>
      <c r="F91" s="9" t="s">
        <v>36</v>
      </c>
      <c r="G91" s="9">
        <v>10</v>
      </c>
      <c r="H91" s="9">
        <v>84212300</v>
      </c>
      <c r="I91" s="11" t="s">
        <v>37</v>
      </c>
      <c r="J91" s="12">
        <v>2.3E-2</v>
      </c>
      <c r="K91" s="12">
        <v>0.108</v>
      </c>
      <c r="L91" s="12">
        <v>5.1999999999999998E-2</v>
      </c>
      <c r="M91" s="13">
        <v>8003453044111</v>
      </c>
      <c r="N91" s="14">
        <v>0.27300000000000002</v>
      </c>
      <c r="O91" s="14">
        <v>0.311</v>
      </c>
      <c r="P91" s="15">
        <v>45292</v>
      </c>
      <c r="Q91" s="16" t="s">
        <v>8600</v>
      </c>
      <c r="R91" s="17" t="s">
        <v>8601</v>
      </c>
      <c r="S91" s="17" t="s">
        <v>8602</v>
      </c>
      <c r="T91" s="17" t="s">
        <v>349</v>
      </c>
      <c r="U91" s="17" t="s">
        <v>8603</v>
      </c>
      <c r="V91" s="17" t="s">
        <v>35</v>
      </c>
      <c r="W91" s="17" t="s">
        <v>35</v>
      </c>
      <c r="X91" s="17" t="s">
        <v>8604</v>
      </c>
      <c r="Y91" s="17" t="s">
        <v>8605</v>
      </c>
      <c r="Z91" s="17" t="s">
        <v>205</v>
      </c>
      <c r="AA91" s="17" t="s">
        <v>35</v>
      </c>
      <c r="AB91" s="17" t="s">
        <v>206</v>
      </c>
      <c r="AC91" s="17" t="s">
        <v>9539</v>
      </c>
      <c r="AD91" s="42">
        <v>18.059999999999999</v>
      </c>
      <c r="AE91" s="42">
        <v>19</v>
      </c>
      <c r="AF91" s="48"/>
      <c r="AG91" s="44"/>
      <c r="AH91" s="7">
        <f t="shared" si="1"/>
        <v>0</v>
      </c>
      <c r="AI91" s="18"/>
      <c r="AJ91" s="18"/>
    </row>
    <row r="92" spans="1:38" ht="26.65" customHeight="1" x14ac:dyDescent="0.25">
      <c r="A92" s="10" t="s">
        <v>676</v>
      </c>
      <c r="B92" s="9" t="s">
        <v>75</v>
      </c>
      <c r="C92" s="9" t="s">
        <v>34</v>
      </c>
      <c r="D92" s="9" t="s">
        <v>67</v>
      </c>
      <c r="E92" s="9" t="s">
        <v>122</v>
      </c>
      <c r="F92" s="9" t="s">
        <v>36</v>
      </c>
      <c r="G92" s="9">
        <v>6</v>
      </c>
      <c r="H92" s="9">
        <v>84212300</v>
      </c>
      <c r="I92" s="11" t="s">
        <v>37</v>
      </c>
      <c r="J92" s="12">
        <v>2.3E-2</v>
      </c>
      <c r="K92" s="12">
        <v>0.108</v>
      </c>
      <c r="L92" s="12">
        <v>5.1999999999999998E-2</v>
      </c>
      <c r="M92" s="13">
        <v>8003453044333</v>
      </c>
      <c r="N92" s="14">
        <v>0.56799999999999995</v>
      </c>
      <c r="O92" s="14">
        <v>0.60199999999999998</v>
      </c>
      <c r="P92" s="15" t="s">
        <v>35</v>
      </c>
      <c r="Q92" s="16" t="s">
        <v>677</v>
      </c>
      <c r="R92" s="17" t="s">
        <v>678</v>
      </c>
      <c r="S92" s="17" t="s">
        <v>679</v>
      </c>
      <c r="T92" s="17" t="s">
        <v>680</v>
      </c>
      <c r="U92" s="17" t="s">
        <v>35</v>
      </c>
      <c r="V92" s="17" t="s">
        <v>35</v>
      </c>
      <c r="W92" s="17" t="s">
        <v>35</v>
      </c>
      <c r="X92" s="17" t="s">
        <v>35</v>
      </c>
      <c r="Y92" s="17" t="s">
        <v>35</v>
      </c>
      <c r="Z92" s="17" t="s">
        <v>681</v>
      </c>
      <c r="AA92" s="17" t="s">
        <v>35</v>
      </c>
      <c r="AB92" s="17" t="s">
        <v>35</v>
      </c>
      <c r="AC92" s="17" t="s">
        <v>9539</v>
      </c>
      <c r="AD92" s="42">
        <v>73.11</v>
      </c>
      <c r="AE92" s="42">
        <v>76.91</v>
      </c>
      <c r="AF92" s="48"/>
      <c r="AG92" s="44"/>
      <c r="AH92" s="7">
        <f t="shared" si="1"/>
        <v>0</v>
      </c>
      <c r="AI92" s="18"/>
      <c r="AJ92" s="18"/>
    </row>
    <row r="93" spans="1:38" ht="26.65" customHeight="1" x14ac:dyDescent="0.25">
      <c r="A93" s="10" t="s">
        <v>682</v>
      </c>
      <c r="B93" s="9" t="s">
        <v>75</v>
      </c>
      <c r="C93" s="9" t="s">
        <v>43</v>
      </c>
      <c r="D93" s="9" t="s">
        <v>67</v>
      </c>
      <c r="E93" s="9" t="s">
        <v>35</v>
      </c>
      <c r="F93" s="9" t="s">
        <v>36</v>
      </c>
      <c r="G93" s="9">
        <v>6</v>
      </c>
      <c r="H93" s="9">
        <v>84212300</v>
      </c>
      <c r="I93" s="11" t="s">
        <v>37</v>
      </c>
      <c r="J93" s="12">
        <v>2.3E-2</v>
      </c>
      <c r="K93" s="12">
        <v>0.108</v>
      </c>
      <c r="L93" s="12">
        <v>5.1999999999999998E-2</v>
      </c>
      <c r="M93" s="13">
        <v>8003453044159</v>
      </c>
      <c r="N93" s="14">
        <v>0.33</v>
      </c>
      <c r="O93" s="14">
        <v>0.371</v>
      </c>
      <c r="P93" s="15" t="s">
        <v>35</v>
      </c>
      <c r="Q93" s="16" t="s">
        <v>683</v>
      </c>
      <c r="R93" s="17" t="s">
        <v>35</v>
      </c>
      <c r="S93" s="17" t="s">
        <v>684</v>
      </c>
      <c r="T93" s="17" t="s">
        <v>685</v>
      </c>
      <c r="U93" s="17" t="s">
        <v>686</v>
      </c>
      <c r="V93" s="17" t="s">
        <v>687</v>
      </c>
      <c r="W93" s="17" t="s">
        <v>688</v>
      </c>
      <c r="X93" s="17" t="s">
        <v>689</v>
      </c>
      <c r="Y93" s="17" t="s">
        <v>690</v>
      </c>
      <c r="Z93" s="17" t="s">
        <v>35</v>
      </c>
      <c r="AA93" s="17" t="s">
        <v>35</v>
      </c>
      <c r="AB93" s="17" t="s">
        <v>35</v>
      </c>
      <c r="AC93" s="17" t="s">
        <v>9539</v>
      </c>
      <c r="AD93" s="41">
        <v>8.74</v>
      </c>
      <c r="AE93" s="41">
        <v>9.19</v>
      </c>
      <c r="AF93" s="48"/>
      <c r="AG93" s="44"/>
      <c r="AH93" s="7">
        <f t="shared" si="1"/>
        <v>0</v>
      </c>
      <c r="AI93" s="18"/>
      <c r="AJ93" s="18"/>
      <c r="AL93" s="18"/>
    </row>
    <row r="94" spans="1:38" ht="26.65" customHeight="1" x14ac:dyDescent="0.25">
      <c r="A94" s="10" t="s">
        <v>691</v>
      </c>
      <c r="B94" s="9" t="s">
        <v>75</v>
      </c>
      <c r="C94" s="9" t="s">
        <v>43</v>
      </c>
      <c r="D94" s="9" t="s">
        <v>67</v>
      </c>
      <c r="E94" s="9" t="s">
        <v>35</v>
      </c>
      <c r="F94" s="9" t="s">
        <v>36</v>
      </c>
      <c r="G94" s="9">
        <v>6</v>
      </c>
      <c r="H94" s="9">
        <v>84212300</v>
      </c>
      <c r="I94" s="11" t="s">
        <v>37</v>
      </c>
      <c r="J94" s="12">
        <v>2.3E-2</v>
      </c>
      <c r="K94" s="12">
        <v>0.108</v>
      </c>
      <c r="L94" s="12">
        <v>5.1999999999999998E-2</v>
      </c>
      <c r="M94" s="13">
        <v>8003453044180</v>
      </c>
      <c r="N94" s="14">
        <v>0.20499999999999999</v>
      </c>
      <c r="O94" s="14">
        <v>0.22600000000000001</v>
      </c>
      <c r="P94" s="15" t="s">
        <v>35</v>
      </c>
      <c r="Q94" s="16" t="s">
        <v>371</v>
      </c>
      <c r="R94" s="17" t="s">
        <v>35</v>
      </c>
      <c r="S94" s="17" t="s">
        <v>692</v>
      </c>
      <c r="T94" s="17" t="s">
        <v>374</v>
      </c>
      <c r="U94" s="17" t="s">
        <v>693</v>
      </c>
      <c r="V94" s="17" t="s">
        <v>376</v>
      </c>
      <c r="W94" s="17" t="s">
        <v>377</v>
      </c>
      <c r="X94" s="17" t="s">
        <v>694</v>
      </c>
      <c r="Y94" s="17" t="s">
        <v>379</v>
      </c>
      <c r="Z94" s="17" t="s">
        <v>35</v>
      </c>
      <c r="AA94" s="17" t="s">
        <v>35</v>
      </c>
      <c r="AB94" s="17" t="s">
        <v>35</v>
      </c>
      <c r="AC94" s="17" t="s">
        <v>9539</v>
      </c>
      <c r="AD94" s="42">
        <v>10.14</v>
      </c>
      <c r="AE94" s="42">
        <v>10.67</v>
      </c>
      <c r="AF94" s="48"/>
      <c r="AG94" s="44"/>
      <c r="AH94" s="7">
        <f t="shared" si="1"/>
        <v>0</v>
      </c>
      <c r="AI94" s="18"/>
      <c r="AJ94" s="18"/>
    </row>
    <row r="95" spans="1:38" ht="26.65" customHeight="1" x14ac:dyDescent="0.25">
      <c r="A95" s="10" t="s">
        <v>695</v>
      </c>
      <c r="B95" s="9" t="s">
        <v>75</v>
      </c>
      <c r="C95" s="9" t="s">
        <v>43</v>
      </c>
      <c r="D95" s="9" t="s">
        <v>67</v>
      </c>
      <c r="E95" s="9" t="s">
        <v>35</v>
      </c>
      <c r="F95" s="9" t="s">
        <v>36</v>
      </c>
      <c r="G95" s="9">
        <v>6</v>
      </c>
      <c r="H95" s="9">
        <v>84212300</v>
      </c>
      <c r="I95" s="11" t="s">
        <v>37</v>
      </c>
      <c r="J95" s="12">
        <v>2.3E-2</v>
      </c>
      <c r="K95" s="12">
        <v>0.108</v>
      </c>
      <c r="L95" s="12">
        <v>5.1999999999999998E-2</v>
      </c>
      <c r="M95" s="13">
        <v>8003453044197</v>
      </c>
      <c r="N95" s="14">
        <v>0.25900000000000001</v>
      </c>
      <c r="O95" s="14">
        <v>0.28999999999999998</v>
      </c>
      <c r="P95" s="15" t="s">
        <v>35</v>
      </c>
      <c r="Q95" s="16" t="s">
        <v>618</v>
      </c>
      <c r="R95" s="17" t="s">
        <v>35</v>
      </c>
      <c r="S95" s="17" t="s">
        <v>619</v>
      </c>
      <c r="T95" s="17" t="s">
        <v>413</v>
      </c>
      <c r="U95" s="17" t="s">
        <v>35</v>
      </c>
      <c r="V95" s="17" t="s">
        <v>210</v>
      </c>
      <c r="W95" s="17" t="s">
        <v>211</v>
      </c>
      <c r="X95" s="17" t="s">
        <v>696</v>
      </c>
      <c r="Y95" s="17" t="s">
        <v>623</v>
      </c>
      <c r="Z95" s="17" t="s">
        <v>35</v>
      </c>
      <c r="AA95" s="17" t="s">
        <v>35</v>
      </c>
      <c r="AB95" s="17" t="s">
        <v>35</v>
      </c>
      <c r="AC95" s="17" t="s">
        <v>9539</v>
      </c>
      <c r="AD95" s="42">
        <v>18.68</v>
      </c>
      <c r="AE95" s="42">
        <v>19.649999999999999</v>
      </c>
      <c r="AF95" s="48"/>
      <c r="AG95" s="44"/>
      <c r="AH95" s="7">
        <f t="shared" si="1"/>
        <v>0</v>
      </c>
      <c r="AI95" s="18"/>
      <c r="AJ95" s="18"/>
    </row>
    <row r="96" spans="1:38" ht="26.65" customHeight="1" x14ac:dyDescent="0.25">
      <c r="A96" s="10" t="s">
        <v>697</v>
      </c>
      <c r="B96" s="9" t="s">
        <v>75</v>
      </c>
      <c r="C96" s="9" t="s">
        <v>58</v>
      </c>
      <c r="D96" s="9" t="s">
        <v>67</v>
      </c>
      <c r="E96" s="9" t="s">
        <v>35</v>
      </c>
      <c r="F96" s="9" t="s">
        <v>36</v>
      </c>
      <c r="G96" s="9">
        <v>6</v>
      </c>
      <c r="H96" s="9">
        <v>84212300</v>
      </c>
      <c r="I96" s="11" t="s">
        <v>37</v>
      </c>
      <c r="J96" s="12">
        <v>2.3E-2</v>
      </c>
      <c r="K96" s="12">
        <v>0.108</v>
      </c>
      <c r="L96" s="12">
        <v>5.1999999999999998E-2</v>
      </c>
      <c r="M96" s="13">
        <v>8003453044234</v>
      </c>
      <c r="N96" s="14">
        <v>0.46</v>
      </c>
      <c r="O96" s="14">
        <v>0.51600000000000001</v>
      </c>
      <c r="P96" s="15" t="s">
        <v>35</v>
      </c>
      <c r="Q96" s="16" t="s">
        <v>698</v>
      </c>
      <c r="R96" s="17" t="s">
        <v>35</v>
      </c>
      <c r="S96" s="17" t="s">
        <v>699</v>
      </c>
      <c r="T96" s="17" t="s">
        <v>700</v>
      </c>
      <c r="U96" s="17" t="s">
        <v>701</v>
      </c>
      <c r="V96" s="17" t="s">
        <v>702</v>
      </c>
      <c r="W96" s="17" t="s">
        <v>703</v>
      </c>
      <c r="X96" s="17" t="s">
        <v>704</v>
      </c>
      <c r="Y96" s="17" t="s">
        <v>705</v>
      </c>
      <c r="Z96" s="17" t="s">
        <v>706</v>
      </c>
      <c r="AA96" s="17" t="s">
        <v>35</v>
      </c>
      <c r="AB96" s="17" t="s">
        <v>35</v>
      </c>
      <c r="AC96" s="17" t="s">
        <v>9539</v>
      </c>
      <c r="AD96" s="41">
        <v>15.4</v>
      </c>
      <c r="AE96" s="41">
        <v>16.2</v>
      </c>
      <c r="AF96" s="48"/>
      <c r="AG96" s="44"/>
      <c r="AH96" s="7">
        <f t="shared" si="1"/>
        <v>0</v>
      </c>
      <c r="AI96" s="18"/>
      <c r="AJ96" s="18"/>
      <c r="AL96" s="18"/>
    </row>
    <row r="97" spans="1:38" ht="26.65" customHeight="1" x14ac:dyDescent="0.25">
      <c r="A97" s="10" t="s">
        <v>707</v>
      </c>
      <c r="B97" s="9" t="s">
        <v>75</v>
      </c>
      <c r="C97" s="9" t="s">
        <v>43</v>
      </c>
      <c r="D97" s="9" t="s">
        <v>67</v>
      </c>
      <c r="E97" s="9" t="s">
        <v>35</v>
      </c>
      <c r="F97" s="9" t="s">
        <v>36</v>
      </c>
      <c r="G97" s="9">
        <v>6</v>
      </c>
      <c r="H97" s="9">
        <v>84212300</v>
      </c>
      <c r="I97" s="11" t="s">
        <v>37</v>
      </c>
      <c r="J97" s="12">
        <v>2.3E-2</v>
      </c>
      <c r="K97" s="12">
        <v>0.108</v>
      </c>
      <c r="L97" s="12">
        <v>5.1999999999999998E-2</v>
      </c>
      <c r="M97" s="13">
        <v>8003453044241</v>
      </c>
      <c r="N97" s="14">
        <v>0.46500000000000002</v>
      </c>
      <c r="O97" s="14">
        <v>0.495</v>
      </c>
      <c r="P97" s="15" t="s">
        <v>35</v>
      </c>
      <c r="Q97" s="16" t="s">
        <v>708</v>
      </c>
      <c r="R97" s="17" t="s">
        <v>35</v>
      </c>
      <c r="S97" s="17" t="s">
        <v>709</v>
      </c>
      <c r="T97" s="17" t="s">
        <v>710</v>
      </c>
      <c r="U97" s="17" t="s">
        <v>35</v>
      </c>
      <c r="V97" s="17" t="s">
        <v>711</v>
      </c>
      <c r="W97" s="17" t="s">
        <v>712</v>
      </c>
      <c r="X97" s="17" t="s">
        <v>713</v>
      </c>
      <c r="Y97" s="17" t="s">
        <v>714</v>
      </c>
      <c r="Z97" s="17" t="s">
        <v>35</v>
      </c>
      <c r="AA97" s="17" t="s">
        <v>35</v>
      </c>
      <c r="AB97" s="17" t="s">
        <v>35</v>
      </c>
      <c r="AC97" s="17" t="s">
        <v>9539</v>
      </c>
      <c r="AD97" s="42">
        <v>28.71</v>
      </c>
      <c r="AE97" s="42">
        <v>30.2</v>
      </c>
      <c r="AF97" s="48"/>
      <c r="AG97" s="44"/>
      <c r="AH97" s="7">
        <f t="shared" si="1"/>
        <v>0</v>
      </c>
      <c r="AI97" s="18"/>
      <c r="AJ97" s="18"/>
    </row>
    <row r="98" spans="1:38" ht="26.65" customHeight="1" x14ac:dyDescent="0.25">
      <c r="A98" s="10" t="s">
        <v>715</v>
      </c>
      <c r="B98" s="9" t="s">
        <v>75</v>
      </c>
      <c r="C98" s="9" t="s">
        <v>58</v>
      </c>
      <c r="D98" s="9" t="s">
        <v>67</v>
      </c>
      <c r="E98" s="9" t="s">
        <v>35</v>
      </c>
      <c r="F98" s="9" t="s">
        <v>36</v>
      </c>
      <c r="G98" s="9">
        <v>6</v>
      </c>
      <c r="H98" s="9">
        <v>84212300</v>
      </c>
      <c r="I98" s="11" t="s">
        <v>37</v>
      </c>
      <c r="J98" s="12">
        <v>2.3E-2</v>
      </c>
      <c r="K98" s="12">
        <v>0.108</v>
      </c>
      <c r="L98" s="12">
        <v>5.1999999999999998E-2</v>
      </c>
      <c r="M98" s="13">
        <v>8003453044289</v>
      </c>
      <c r="N98" s="14">
        <v>0.7</v>
      </c>
      <c r="O98" s="14">
        <v>0.76</v>
      </c>
      <c r="P98" s="15" t="s">
        <v>35</v>
      </c>
      <c r="Q98" s="16" t="s">
        <v>716</v>
      </c>
      <c r="R98" s="17" t="s">
        <v>35</v>
      </c>
      <c r="S98" s="17" t="s">
        <v>717</v>
      </c>
      <c r="T98" s="17" t="s">
        <v>718</v>
      </c>
      <c r="U98" s="17" t="s">
        <v>719</v>
      </c>
      <c r="V98" s="17" t="s">
        <v>720</v>
      </c>
      <c r="W98" s="17" t="s">
        <v>721</v>
      </c>
      <c r="X98" s="17" t="s">
        <v>722</v>
      </c>
      <c r="Y98" s="17" t="s">
        <v>723</v>
      </c>
      <c r="Z98" s="17" t="s">
        <v>724</v>
      </c>
      <c r="AA98" s="17" t="s">
        <v>35</v>
      </c>
      <c r="AB98" s="17" t="s">
        <v>725</v>
      </c>
      <c r="AC98" s="17" t="s">
        <v>9539</v>
      </c>
      <c r="AD98" s="42">
        <v>23.39</v>
      </c>
      <c r="AE98" s="42">
        <v>24.61</v>
      </c>
      <c r="AF98" s="48"/>
      <c r="AG98" s="44"/>
      <c r="AH98" s="7">
        <f t="shared" si="1"/>
        <v>0</v>
      </c>
      <c r="AI98" s="18"/>
      <c r="AJ98" s="18"/>
    </row>
    <row r="99" spans="1:38" ht="26.65" customHeight="1" x14ac:dyDescent="0.25">
      <c r="A99" s="10" t="s">
        <v>9945</v>
      </c>
      <c r="B99" s="9" t="s">
        <v>75</v>
      </c>
      <c r="C99" s="9" t="s">
        <v>34</v>
      </c>
      <c r="D99" s="9" t="s">
        <v>48</v>
      </c>
      <c r="E99" s="9" t="s">
        <v>35</v>
      </c>
      <c r="F99" s="9" t="s">
        <v>36</v>
      </c>
      <c r="G99" s="9">
        <v>6</v>
      </c>
      <c r="H99" s="9">
        <v>84212300</v>
      </c>
      <c r="I99" s="11" t="s">
        <v>37</v>
      </c>
      <c r="J99" s="12">
        <v>2.3E-2</v>
      </c>
      <c r="K99" s="12">
        <v>0.108</v>
      </c>
      <c r="L99" s="12">
        <v>5.1999999999999998E-2</v>
      </c>
      <c r="M99" s="13">
        <v>8003453808812</v>
      </c>
      <c r="N99" s="14">
        <v>0</v>
      </c>
      <c r="O99" s="14">
        <v>0</v>
      </c>
      <c r="P99" s="15">
        <v>45566</v>
      </c>
      <c r="Q99" s="16" t="s">
        <v>9946</v>
      </c>
      <c r="R99" s="17">
        <v>3908615</v>
      </c>
      <c r="S99" s="17" t="s">
        <v>35</v>
      </c>
      <c r="T99" s="17" t="s">
        <v>35</v>
      </c>
      <c r="U99" s="17" t="s">
        <v>35</v>
      </c>
      <c r="V99" s="17" t="s">
        <v>35</v>
      </c>
      <c r="W99" s="17" t="s">
        <v>35</v>
      </c>
      <c r="X99" s="17" t="s">
        <v>35</v>
      </c>
      <c r="Y99" s="17" t="s">
        <v>723</v>
      </c>
      <c r="Z99" s="17" t="s">
        <v>9947</v>
      </c>
      <c r="AA99" s="17" t="s">
        <v>35</v>
      </c>
      <c r="AB99" s="17" t="s">
        <v>725</v>
      </c>
      <c r="AC99" s="17" t="s">
        <v>9539</v>
      </c>
      <c r="AD99" s="41">
        <v>23.01</v>
      </c>
      <c r="AE99" s="41">
        <v>24.21</v>
      </c>
      <c r="AF99" s="48"/>
      <c r="AG99" s="44"/>
      <c r="AH99" s="7">
        <f t="shared" si="1"/>
        <v>0</v>
      </c>
      <c r="AI99" s="18"/>
      <c r="AJ99" s="18"/>
    </row>
    <row r="100" spans="1:38" ht="26.65" customHeight="1" x14ac:dyDescent="0.25">
      <c r="A100" s="38" t="s">
        <v>726</v>
      </c>
      <c r="B100" s="9" t="s">
        <v>75</v>
      </c>
      <c r="C100" s="9" t="s">
        <v>34</v>
      </c>
      <c r="D100" s="9" t="s">
        <v>67</v>
      </c>
      <c r="E100" s="9" t="s">
        <v>35</v>
      </c>
      <c r="F100" s="9" t="s">
        <v>36</v>
      </c>
      <c r="G100" s="9">
        <v>6</v>
      </c>
      <c r="H100" s="9">
        <v>84212300</v>
      </c>
      <c r="I100" s="11" t="s">
        <v>37</v>
      </c>
      <c r="J100" s="12">
        <v>2.3E-2</v>
      </c>
      <c r="K100" s="12">
        <v>0.108</v>
      </c>
      <c r="L100" s="12">
        <v>5.1999999999999998E-2</v>
      </c>
      <c r="M100" s="13">
        <v>8003453045002</v>
      </c>
      <c r="N100" s="14">
        <v>1.2</v>
      </c>
      <c r="O100" s="14">
        <v>1.3049999999999999</v>
      </c>
      <c r="P100" s="15">
        <v>44835</v>
      </c>
      <c r="Q100" s="16" t="s">
        <v>727</v>
      </c>
      <c r="R100" s="17" t="s">
        <v>728</v>
      </c>
      <c r="S100" s="17" t="s">
        <v>729</v>
      </c>
      <c r="T100" s="17" t="s">
        <v>730</v>
      </c>
      <c r="U100" s="17" t="s">
        <v>731</v>
      </c>
      <c r="V100" s="17" t="s">
        <v>732</v>
      </c>
      <c r="W100" s="17" t="s">
        <v>733</v>
      </c>
      <c r="X100" s="17" t="s">
        <v>734</v>
      </c>
      <c r="Y100" s="17" t="s">
        <v>735</v>
      </c>
      <c r="Z100" s="17" t="s">
        <v>736</v>
      </c>
      <c r="AA100" s="17" t="s">
        <v>737</v>
      </c>
      <c r="AB100" s="17" t="s">
        <v>521</v>
      </c>
      <c r="AC100" s="17" t="s">
        <v>9538</v>
      </c>
      <c r="AD100" s="41">
        <v>75.09</v>
      </c>
      <c r="AE100" s="41">
        <v>78.989999999999995</v>
      </c>
      <c r="AF100" s="48"/>
      <c r="AG100" s="44"/>
      <c r="AH100" s="7">
        <f t="shared" si="1"/>
        <v>0</v>
      </c>
      <c r="AI100" s="18"/>
      <c r="AJ100" s="18"/>
    </row>
    <row r="101" spans="1:38" ht="26.65" customHeight="1" x14ac:dyDescent="0.25">
      <c r="A101" s="10" t="s">
        <v>738</v>
      </c>
      <c r="B101" s="9" t="s">
        <v>75</v>
      </c>
      <c r="C101" s="9" t="s">
        <v>43</v>
      </c>
      <c r="D101" s="9" t="s">
        <v>67</v>
      </c>
      <c r="E101" s="9" t="s">
        <v>35</v>
      </c>
      <c r="F101" s="9" t="s">
        <v>36</v>
      </c>
      <c r="G101" s="9">
        <v>6</v>
      </c>
      <c r="H101" s="9">
        <v>84212300</v>
      </c>
      <c r="I101" s="11" t="s">
        <v>37</v>
      </c>
      <c r="J101" s="12">
        <v>2.3E-2</v>
      </c>
      <c r="K101" s="12">
        <v>0.108</v>
      </c>
      <c r="L101" s="12">
        <v>5.1999999999999998E-2</v>
      </c>
      <c r="M101" s="13">
        <v>8003453044326</v>
      </c>
      <c r="N101" s="14">
        <v>0.29399999999999998</v>
      </c>
      <c r="O101" s="14">
        <v>0.314</v>
      </c>
      <c r="P101" s="15" t="s">
        <v>35</v>
      </c>
      <c r="Q101" s="16" t="s">
        <v>739</v>
      </c>
      <c r="R101" s="17" t="s">
        <v>35</v>
      </c>
      <c r="S101" s="17" t="s">
        <v>740</v>
      </c>
      <c r="T101" s="17" t="s">
        <v>35</v>
      </c>
      <c r="U101" s="17" t="s">
        <v>741</v>
      </c>
      <c r="V101" s="17" t="s">
        <v>742</v>
      </c>
      <c r="W101" s="17" t="s">
        <v>743</v>
      </c>
      <c r="X101" s="17" t="s">
        <v>744</v>
      </c>
      <c r="Y101" s="17" t="s">
        <v>745</v>
      </c>
      <c r="Z101" s="17" t="s">
        <v>35</v>
      </c>
      <c r="AA101" s="17" t="s">
        <v>35</v>
      </c>
      <c r="AB101" s="17" t="s">
        <v>35</v>
      </c>
      <c r="AC101" s="17" t="s">
        <v>9539</v>
      </c>
      <c r="AD101" s="42">
        <v>11.99</v>
      </c>
      <c r="AE101" s="42">
        <v>12.61</v>
      </c>
      <c r="AF101" s="48"/>
      <c r="AG101" s="44"/>
      <c r="AH101" s="7">
        <f t="shared" si="1"/>
        <v>0</v>
      </c>
      <c r="AI101" s="18"/>
      <c r="AJ101" s="18"/>
    </row>
    <row r="102" spans="1:38" ht="26.65" customHeight="1" x14ac:dyDescent="0.25">
      <c r="A102" s="38" t="s">
        <v>746</v>
      </c>
      <c r="B102" s="9" t="s">
        <v>75</v>
      </c>
      <c r="C102" s="9" t="s">
        <v>43</v>
      </c>
      <c r="D102" s="9" t="s">
        <v>67</v>
      </c>
      <c r="E102" s="9" t="s">
        <v>35</v>
      </c>
      <c r="F102" s="9" t="s">
        <v>36</v>
      </c>
      <c r="G102" s="9">
        <v>6</v>
      </c>
      <c r="H102" s="9">
        <v>84212300</v>
      </c>
      <c r="I102" s="11" t="s">
        <v>37</v>
      </c>
      <c r="J102" s="12">
        <v>2.3E-2</v>
      </c>
      <c r="K102" s="12">
        <v>0.108</v>
      </c>
      <c r="L102" s="12">
        <v>5.1999999999999998E-2</v>
      </c>
      <c r="M102" s="13">
        <v>8003453044319</v>
      </c>
      <c r="N102" s="14">
        <v>0.57999999999999996</v>
      </c>
      <c r="O102" s="14">
        <v>0.64200000000000002</v>
      </c>
      <c r="P102" s="15" t="s">
        <v>35</v>
      </c>
      <c r="Q102" s="16" t="s">
        <v>747</v>
      </c>
      <c r="R102" s="17">
        <v>2995655</v>
      </c>
      <c r="S102" s="17" t="s">
        <v>748</v>
      </c>
      <c r="T102" s="17" t="s">
        <v>749</v>
      </c>
      <c r="U102" s="17" t="s">
        <v>750</v>
      </c>
      <c r="V102" s="17" t="s">
        <v>751</v>
      </c>
      <c r="W102" s="17" t="s">
        <v>752</v>
      </c>
      <c r="X102" s="17" t="s">
        <v>753</v>
      </c>
      <c r="Y102" s="17" t="s">
        <v>754</v>
      </c>
      <c r="Z102" s="17" t="s">
        <v>755</v>
      </c>
      <c r="AA102" s="17" t="s">
        <v>35</v>
      </c>
      <c r="AB102" s="17" t="s">
        <v>35</v>
      </c>
      <c r="AC102" s="17" t="s">
        <v>9538</v>
      </c>
      <c r="AD102" s="41">
        <v>32.54</v>
      </c>
      <c r="AE102" s="41">
        <v>34.229999999999997</v>
      </c>
      <c r="AF102" s="48"/>
      <c r="AG102" s="44"/>
      <c r="AH102" s="7">
        <f t="shared" si="1"/>
        <v>0</v>
      </c>
      <c r="AI102" s="18"/>
      <c r="AJ102" s="18"/>
      <c r="AL102" s="18"/>
    </row>
    <row r="103" spans="1:38" ht="26.65" customHeight="1" x14ac:dyDescent="0.25">
      <c r="A103" s="10" t="s">
        <v>756</v>
      </c>
      <c r="B103" s="9" t="s">
        <v>75</v>
      </c>
      <c r="C103" s="9" t="s">
        <v>34</v>
      </c>
      <c r="D103" s="9" t="s">
        <v>67</v>
      </c>
      <c r="E103" s="9" t="s">
        <v>122</v>
      </c>
      <c r="F103" s="9" t="s">
        <v>36</v>
      </c>
      <c r="G103" s="9">
        <v>6</v>
      </c>
      <c r="H103" s="9">
        <v>84212300</v>
      </c>
      <c r="I103" s="11" t="s">
        <v>37</v>
      </c>
      <c r="J103" s="12">
        <v>2.3E-2</v>
      </c>
      <c r="K103" s="12">
        <v>0.108</v>
      </c>
      <c r="L103" s="12">
        <v>5.1999999999999998E-2</v>
      </c>
      <c r="M103" s="13">
        <v>8003453044425</v>
      </c>
      <c r="N103" s="14">
        <v>0.76800000000000002</v>
      </c>
      <c r="O103" s="14">
        <v>0.82</v>
      </c>
      <c r="P103" s="15" t="s">
        <v>35</v>
      </c>
      <c r="Q103" s="16" t="s">
        <v>757</v>
      </c>
      <c r="R103" s="17" t="s">
        <v>758</v>
      </c>
      <c r="S103" s="17" t="s">
        <v>759</v>
      </c>
      <c r="T103" s="17" t="s">
        <v>760</v>
      </c>
      <c r="U103" s="17" t="s">
        <v>644</v>
      </c>
      <c r="V103" s="17" t="s">
        <v>761</v>
      </c>
      <c r="W103" s="17" t="s">
        <v>762</v>
      </c>
      <c r="X103" s="17" t="s">
        <v>647</v>
      </c>
      <c r="Y103" s="17" t="s">
        <v>648</v>
      </c>
      <c r="Z103" s="17" t="s">
        <v>763</v>
      </c>
      <c r="AA103" s="17" t="s">
        <v>35</v>
      </c>
      <c r="AB103" s="17" t="s">
        <v>35</v>
      </c>
      <c r="AC103" s="17" t="s">
        <v>9539</v>
      </c>
      <c r="AD103" s="41">
        <v>67.64</v>
      </c>
      <c r="AE103" s="41">
        <v>71.16</v>
      </c>
      <c r="AF103" s="48"/>
      <c r="AG103" s="44"/>
      <c r="AH103" s="7">
        <f t="shared" si="1"/>
        <v>0</v>
      </c>
      <c r="AI103" s="18"/>
      <c r="AJ103" s="18"/>
      <c r="AL103" s="18"/>
    </row>
    <row r="104" spans="1:38" ht="26.65" customHeight="1" x14ac:dyDescent="0.25">
      <c r="A104" s="10" t="s">
        <v>9286</v>
      </c>
      <c r="B104" s="9" t="s">
        <v>510</v>
      </c>
      <c r="C104" s="9" t="s">
        <v>43</v>
      </c>
      <c r="D104" s="9" t="s">
        <v>67</v>
      </c>
      <c r="E104" s="9" t="s">
        <v>35</v>
      </c>
      <c r="F104" s="9" t="s">
        <v>36</v>
      </c>
      <c r="G104" s="9">
        <v>6</v>
      </c>
      <c r="H104" s="9">
        <v>84212300</v>
      </c>
      <c r="I104" s="11" t="s">
        <v>37</v>
      </c>
      <c r="J104" s="12">
        <v>2.3E-2</v>
      </c>
      <c r="K104" s="12">
        <v>0.108</v>
      </c>
      <c r="L104" s="12">
        <v>5.1999999999999998E-2</v>
      </c>
      <c r="M104" s="13">
        <v>8003453044357</v>
      </c>
      <c r="N104" s="14">
        <v>0.18099999999999999</v>
      </c>
      <c r="O104" s="14">
        <v>0.20699999999999999</v>
      </c>
      <c r="P104" s="15">
        <v>45444</v>
      </c>
      <c r="Q104" s="16" t="s">
        <v>9287</v>
      </c>
      <c r="R104" s="17" t="s">
        <v>35</v>
      </c>
      <c r="S104" s="17" t="s">
        <v>9288</v>
      </c>
      <c r="T104" s="17" t="s">
        <v>9289</v>
      </c>
      <c r="U104" s="17" t="s">
        <v>9290</v>
      </c>
      <c r="V104" s="17" t="s">
        <v>35</v>
      </c>
      <c r="W104" s="17" t="s">
        <v>35</v>
      </c>
      <c r="X104" s="17" t="s">
        <v>9291</v>
      </c>
      <c r="Y104" s="17" t="s">
        <v>35</v>
      </c>
      <c r="Z104" s="17" t="s">
        <v>35</v>
      </c>
      <c r="AA104" s="17" t="s">
        <v>35</v>
      </c>
      <c r="AB104" s="17" t="s">
        <v>35</v>
      </c>
      <c r="AC104" s="17" t="s">
        <v>9539</v>
      </c>
      <c r="AD104" s="42">
        <v>14.11</v>
      </c>
      <c r="AE104" s="42">
        <v>14.84</v>
      </c>
      <c r="AF104" s="48"/>
      <c r="AG104" s="44"/>
      <c r="AH104" s="7">
        <f t="shared" si="1"/>
        <v>0</v>
      </c>
      <c r="AI104" s="18"/>
      <c r="AJ104" s="18"/>
    </row>
    <row r="105" spans="1:38" ht="26.65" customHeight="1" x14ac:dyDescent="0.25">
      <c r="A105" s="10" t="s">
        <v>764</v>
      </c>
      <c r="B105" s="9" t="s">
        <v>75</v>
      </c>
      <c r="C105" s="9" t="s">
        <v>43</v>
      </c>
      <c r="D105" s="9" t="s">
        <v>67</v>
      </c>
      <c r="E105" s="9" t="s">
        <v>35</v>
      </c>
      <c r="F105" s="9" t="s">
        <v>36</v>
      </c>
      <c r="G105" s="9">
        <v>6</v>
      </c>
      <c r="H105" s="9">
        <v>84212300</v>
      </c>
      <c r="I105" s="11" t="s">
        <v>37</v>
      </c>
      <c r="J105" s="12">
        <v>2.3E-2</v>
      </c>
      <c r="K105" s="12">
        <v>0.108</v>
      </c>
      <c r="L105" s="12">
        <v>5.1999999999999998E-2</v>
      </c>
      <c r="M105" s="13">
        <v>8003453044418</v>
      </c>
      <c r="N105" s="14">
        <v>0.26400000000000001</v>
      </c>
      <c r="O105" s="14">
        <v>0.29199999999999998</v>
      </c>
      <c r="P105" s="15" t="s">
        <v>35</v>
      </c>
      <c r="Q105" s="16" t="s">
        <v>765</v>
      </c>
      <c r="R105" s="17" t="s">
        <v>35</v>
      </c>
      <c r="S105" s="17" t="s">
        <v>766</v>
      </c>
      <c r="T105" s="17" t="s">
        <v>767</v>
      </c>
      <c r="U105" s="17" t="s">
        <v>768</v>
      </c>
      <c r="V105" s="17" t="s">
        <v>769</v>
      </c>
      <c r="W105" s="17" t="s">
        <v>770</v>
      </c>
      <c r="X105" s="17" t="s">
        <v>771</v>
      </c>
      <c r="Y105" s="17" t="s">
        <v>772</v>
      </c>
      <c r="Z105" s="17" t="s">
        <v>35</v>
      </c>
      <c r="AA105" s="17" t="s">
        <v>35</v>
      </c>
      <c r="AB105" s="17" t="s">
        <v>35</v>
      </c>
      <c r="AC105" s="17" t="s">
        <v>9539</v>
      </c>
      <c r="AD105" s="42">
        <v>11.34</v>
      </c>
      <c r="AE105" s="42">
        <v>11.93</v>
      </c>
      <c r="AF105" s="48"/>
      <c r="AG105" s="44"/>
      <c r="AH105" s="7">
        <f t="shared" si="1"/>
        <v>0</v>
      </c>
      <c r="AI105" s="18"/>
      <c r="AJ105" s="18"/>
    </row>
    <row r="106" spans="1:38" ht="26.65" customHeight="1" x14ac:dyDescent="0.25">
      <c r="A106" s="10" t="s">
        <v>773</v>
      </c>
      <c r="B106" s="9" t="s">
        <v>75</v>
      </c>
      <c r="C106" s="9" t="s">
        <v>34</v>
      </c>
      <c r="D106" s="9" t="s">
        <v>67</v>
      </c>
      <c r="E106" s="9" t="s">
        <v>35</v>
      </c>
      <c r="F106" s="9" t="s">
        <v>36</v>
      </c>
      <c r="G106" s="9">
        <v>6</v>
      </c>
      <c r="H106" s="9">
        <v>84212300</v>
      </c>
      <c r="I106" s="11" t="s">
        <v>37</v>
      </c>
      <c r="J106" s="12">
        <v>2.3E-2</v>
      </c>
      <c r="K106" s="12">
        <v>0.108</v>
      </c>
      <c r="L106" s="12">
        <v>5.1999999999999998E-2</v>
      </c>
      <c r="M106" s="13">
        <v>8003453044432</v>
      </c>
      <c r="N106" s="14">
        <v>0.62</v>
      </c>
      <c r="O106" s="14">
        <v>0.87</v>
      </c>
      <c r="P106" s="15" t="s">
        <v>35</v>
      </c>
      <c r="Q106" s="16" t="s">
        <v>774</v>
      </c>
      <c r="R106" s="17" t="s">
        <v>35</v>
      </c>
      <c r="S106" s="17" t="s">
        <v>775</v>
      </c>
      <c r="T106" s="17" t="s">
        <v>776</v>
      </c>
      <c r="U106" s="17" t="s">
        <v>35</v>
      </c>
      <c r="V106" s="17" t="s">
        <v>777</v>
      </c>
      <c r="W106" s="17" t="s">
        <v>35</v>
      </c>
      <c r="X106" s="17" t="s">
        <v>778</v>
      </c>
      <c r="Y106" s="17" t="s">
        <v>779</v>
      </c>
      <c r="Z106" s="17" t="s">
        <v>780</v>
      </c>
      <c r="AA106" s="17" t="s">
        <v>35</v>
      </c>
      <c r="AB106" s="17" t="s">
        <v>781</v>
      </c>
      <c r="AC106" s="17" t="s">
        <v>9539</v>
      </c>
      <c r="AD106" s="41">
        <v>36.24</v>
      </c>
      <c r="AE106" s="41">
        <v>38.119999999999997</v>
      </c>
      <c r="AF106" s="48"/>
      <c r="AG106" s="44"/>
      <c r="AH106" s="7">
        <f t="shared" si="1"/>
        <v>0</v>
      </c>
      <c r="AI106" s="18"/>
      <c r="AJ106" s="18"/>
      <c r="AL106" s="18"/>
    </row>
    <row r="107" spans="1:38" ht="26.65" customHeight="1" x14ac:dyDescent="0.25">
      <c r="A107" s="10" t="s">
        <v>782</v>
      </c>
      <c r="B107" s="9" t="s">
        <v>75</v>
      </c>
      <c r="C107" s="9" t="s">
        <v>34</v>
      </c>
      <c r="D107" s="9" t="s">
        <v>67</v>
      </c>
      <c r="E107" s="9" t="s">
        <v>35</v>
      </c>
      <c r="F107" s="9" t="s">
        <v>36</v>
      </c>
      <c r="G107" s="9">
        <v>6</v>
      </c>
      <c r="H107" s="9">
        <v>84212300</v>
      </c>
      <c r="I107" s="11" t="s">
        <v>37</v>
      </c>
      <c r="J107" s="12">
        <v>2.3E-2</v>
      </c>
      <c r="K107" s="12">
        <v>0.108</v>
      </c>
      <c r="L107" s="12">
        <v>5.1999999999999998E-2</v>
      </c>
      <c r="M107" s="13">
        <v>8003453044449</v>
      </c>
      <c r="N107" s="14">
        <v>0.75</v>
      </c>
      <c r="O107" s="14">
        <v>0.84899999999999998</v>
      </c>
      <c r="P107" s="15" t="s">
        <v>35</v>
      </c>
      <c r="Q107" s="16" t="s">
        <v>783</v>
      </c>
      <c r="R107" s="17" t="s">
        <v>35</v>
      </c>
      <c r="S107" s="17" t="s">
        <v>784</v>
      </c>
      <c r="T107" s="17" t="s">
        <v>785</v>
      </c>
      <c r="U107" s="17" t="s">
        <v>35</v>
      </c>
      <c r="V107" s="17" t="s">
        <v>786</v>
      </c>
      <c r="W107" s="17" t="s">
        <v>35</v>
      </c>
      <c r="X107" s="17" t="s">
        <v>35</v>
      </c>
      <c r="Y107" s="17" t="s">
        <v>787</v>
      </c>
      <c r="Z107" s="17" t="s">
        <v>788</v>
      </c>
      <c r="AA107" s="17" t="s">
        <v>35</v>
      </c>
      <c r="AB107" s="17" t="s">
        <v>789</v>
      </c>
      <c r="AC107" s="17" t="s">
        <v>9539</v>
      </c>
      <c r="AD107" s="42">
        <v>39.200000000000003</v>
      </c>
      <c r="AE107" s="42">
        <v>41.24</v>
      </c>
      <c r="AF107" s="48"/>
      <c r="AG107" s="44"/>
      <c r="AH107" s="7">
        <f t="shared" si="1"/>
        <v>0</v>
      </c>
      <c r="AI107" s="18"/>
      <c r="AJ107" s="18"/>
    </row>
    <row r="108" spans="1:38" ht="26.65" customHeight="1" x14ac:dyDescent="0.25">
      <c r="A108" s="10" t="s">
        <v>790</v>
      </c>
      <c r="B108" s="9" t="s">
        <v>75</v>
      </c>
      <c r="C108" s="9" t="s">
        <v>34</v>
      </c>
      <c r="D108" s="9" t="s">
        <v>67</v>
      </c>
      <c r="E108" s="9" t="s">
        <v>35</v>
      </c>
      <c r="F108" s="9" t="s">
        <v>36</v>
      </c>
      <c r="G108" s="9">
        <v>6</v>
      </c>
      <c r="H108" s="9">
        <v>84212300</v>
      </c>
      <c r="I108" s="11" t="s">
        <v>37</v>
      </c>
      <c r="J108" s="12">
        <v>2.3E-2</v>
      </c>
      <c r="K108" s="12">
        <v>0.108</v>
      </c>
      <c r="L108" s="12">
        <v>5.1999999999999998E-2</v>
      </c>
      <c r="M108" s="13">
        <v>8003453044456</v>
      </c>
      <c r="N108" s="14">
        <v>0.6</v>
      </c>
      <c r="O108" s="14">
        <v>0.87</v>
      </c>
      <c r="P108" s="15" t="s">
        <v>35</v>
      </c>
      <c r="Q108" s="16" t="s">
        <v>791</v>
      </c>
      <c r="R108" s="17" t="s">
        <v>792</v>
      </c>
      <c r="S108" s="17" t="s">
        <v>793</v>
      </c>
      <c r="T108" s="17" t="s">
        <v>35</v>
      </c>
      <c r="U108" s="17" t="s">
        <v>35</v>
      </c>
      <c r="V108" s="17" t="s">
        <v>794</v>
      </c>
      <c r="W108" s="17" t="s">
        <v>35</v>
      </c>
      <c r="X108" s="17" t="s">
        <v>795</v>
      </c>
      <c r="Y108" s="17" t="s">
        <v>796</v>
      </c>
      <c r="Z108" s="17" t="s">
        <v>797</v>
      </c>
      <c r="AA108" s="17" t="s">
        <v>35</v>
      </c>
      <c r="AB108" s="17" t="s">
        <v>798</v>
      </c>
      <c r="AC108" s="17" t="s">
        <v>9539</v>
      </c>
      <c r="AD108" s="41">
        <v>52.74</v>
      </c>
      <c r="AE108" s="41">
        <v>55.48</v>
      </c>
      <c r="AF108" s="48"/>
      <c r="AG108" s="44"/>
      <c r="AH108" s="7">
        <f t="shared" si="1"/>
        <v>0</v>
      </c>
      <c r="AI108" s="18"/>
      <c r="AJ108" s="18"/>
      <c r="AL108" s="18"/>
    </row>
    <row r="109" spans="1:38" ht="26.65" customHeight="1" x14ac:dyDescent="0.25">
      <c r="A109" s="38" t="s">
        <v>799</v>
      </c>
      <c r="B109" s="9" t="s">
        <v>75</v>
      </c>
      <c r="C109" s="9" t="s">
        <v>34</v>
      </c>
      <c r="D109" s="9" t="s">
        <v>67</v>
      </c>
      <c r="E109" s="9" t="s">
        <v>35</v>
      </c>
      <c r="F109" s="9" t="s">
        <v>36</v>
      </c>
      <c r="G109" s="9">
        <v>6</v>
      </c>
      <c r="H109" s="9">
        <v>84212300</v>
      </c>
      <c r="I109" s="11" t="s">
        <v>37</v>
      </c>
      <c r="J109" s="12">
        <v>2.3E-2</v>
      </c>
      <c r="K109" s="12">
        <v>0.108</v>
      </c>
      <c r="L109" s="12">
        <v>5.1999999999999998E-2</v>
      </c>
      <c r="M109" s="13">
        <v>8003453044463</v>
      </c>
      <c r="N109" s="14">
        <v>0.91</v>
      </c>
      <c r="O109" s="14">
        <v>1.0009999999999999</v>
      </c>
      <c r="P109" s="15">
        <v>44927</v>
      </c>
      <c r="Q109" s="16" t="s">
        <v>800</v>
      </c>
      <c r="R109" s="17" t="s">
        <v>801</v>
      </c>
      <c r="S109" s="17" t="s">
        <v>802</v>
      </c>
      <c r="T109" s="17" t="s">
        <v>35</v>
      </c>
      <c r="U109" s="17" t="s">
        <v>803</v>
      </c>
      <c r="V109" s="17" t="s">
        <v>804</v>
      </c>
      <c r="W109" s="17" t="s">
        <v>805</v>
      </c>
      <c r="X109" s="17" t="s">
        <v>806</v>
      </c>
      <c r="Y109" s="17" t="s">
        <v>807</v>
      </c>
      <c r="Z109" s="17" t="s">
        <v>35</v>
      </c>
      <c r="AA109" s="17" t="s">
        <v>808</v>
      </c>
      <c r="AB109" s="17" t="s">
        <v>809</v>
      </c>
      <c r="AC109" s="17" t="s">
        <v>9538</v>
      </c>
      <c r="AD109" s="42">
        <v>45.06</v>
      </c>
      <c r="AE109" s="42">
        <v>47.4</v>
      </c>
      <c r="AF109" s="48"/>
      <c r="AG109" s="44"/>
      <c r="AH109" s="7">
        <f t="shared" si="1"/>
        <v>0</v>
      </c>
      <c r="AI109" s="18"/>
      <c r="AJ109" s="18"/>
    </row>
    <row r="110" spans="1:38" ht="26.65" customHeight="1" x14ac:dyDescent="0.25">
      <c r="A110" s="10" t="s">
        <v>810</v>
      </c>
      <c r="B110" s="9" t="s">
        <v>75</v>
      </c>
      <c r="C110" s="9" t="s">
        <v>34</v>
      </c>
      <c r="D110" s="9" t="s">
        <v>67</v>
      </c>
      <c r="E110" s="9" t="s">
        <v>35</v>
      </c>
      <c r="F110" s="9" t="s">
        <v>36</v>
      </c>
      <c r="G110" s="9">
        <v>6</v>
      </c>
      <c r="H110" s="9">
        <v>84212300</v>
      </c>
      <c r="I110" s="11" t="s">
        <v>37</v>
      </c>
      <c r="J110" s="12">
        <v>2.3E-2</v>
      </c>
      <c r="K110" s="12">
        <v>0.108</v>
      </c>
      <c r="L110" s="12">
        <v>5.1999999999999998E-2</v>
      </c>
      <c r="M110" s="13">
        <v>8003453044470</v>
      </c>
      <c r="N110" s="14">
        <v>1.1599999999999999</v>
      </c>
      <c r="O110" s="14">
        <v>1.276</v>
      </c>
      <c r="P110" s="15">
        <v>45108</v>
      </c>
      <c r="Q110" s="16" t="s">
        <v>811</v>
      </c>
      <c r="R110" s="17" t="s">
        <v>812</v>
      </c>
      <c r="S110" s="17" t="s">
        <v>813</v>
      </c>
      <c r="T110" s="17" t="s">
        <v>35</v>
      </c>
      <c r="U110" s="17" t="s">
        <v>35</v>
      </c>
      <c r="V110" s="17" t="s">
        <v>35</v>
      </c>
      <c r="W110" s="17" t="s">
        <v>35</v>
      </c>
      <c r="X110" s="17" t="s">
        <v>35</v>
      </c>
      <c r="Y110" s="17" t="s">
        <v>35</v>
      </c>
      <c r="Z110" s="17" t="s">
        <v>814</v>
      </c>
      <c r="AA110" s="17" t="s">
        <v>35</v>
      </c>
      <c r="AB110" s="17" t="s">
        <v>815</v>
      </c>
      <c r="AC110" s="17" t="s">
        <v>9539</v>
      </c>
      <c r="AD110" s="42">
        <v>99.76</v>
      </c>
      <c r="AE110" s="42">
        <v>104.95</v>
      </c>
      <c r="AF110" s="48"/>
      <c r="AG110" s="44"/>
      <c r="AH110" s="7">
        <f t="shared" si="1"/>
        <v>0</v>
      </c>
      <c r="AI110" s="18"/>
      <c r="AJ110" s="18"/>
    </row>
    <row r="111" spans="1:38" ht="26.65" customHeight="1" x14ac:dyDescent="0.25">
      <c r="A111" s="10" t="s">
        <v>816</v>
      </c>
      <c r="B111" s="9" t="s">
        <v>75</v>
      </c>
      <c r="C111" s="9" t="s">
        <v>34</v>
      </c>
      <c r="D111" s="9" t="s">
        <v>67</v>
      </c>
      <c r="E111" s="9" t="s">
        <v>35</v>
      </c>
      <c r="F111" s="9" t="s">
        <v>36</v>
      </c>
      <c r="G111" s="9">
        <v>6</v>
      </c>
      <c r="H111" s="9">
        <v>84212300</v>
      </c>
      <c r="I111" s="11" t="s">
        <v>37</v>
      </c>
      <c r="J111" s="12">
        <v>2.3E-2</v>
      </c>
      <c r="K111" s="12">
        <v>0.108</v>
      </c>
      <c r="L111" s="12">
        <v>5.1999999999999998E-2</v>
      </c>
      <c r="M111" s="13">
        <v>8003453044487</v>
      </c>
      <c r="N111" s="14">
        <v>1.1599999999999999</v>
      </c>
      <c r="O111" s="14">
        <v>1.276</v>
      </c>
      <c r="P111" s="15">
        <v>44774</v>
      </c>
      <c r="Q111" s="16" t="s">
        <v>817</v>
      </c>
      <c r="R111" s="17" t="s">
        <v>818</v>
      </c>
      <c r="S111" s="17" t="s">
        <v>819</v>
      </c>
      <c r="T111" s="17" t="s">
        <v>820</v>
      </c>
      <c r="U111" s="17" t="s">
        <v>35</v>
      </c>
      <c r="V111" s="17" t="s">
        <v>35</v>
      </c>
      <c r="W111" s="17" t="s">
        <v>35</v>
      </c>
      <c r="X111" s="17" t="s">
        <v>35</v>
      </c>
      <c r="Y111" s="17" t="s">
        <v>35</v>
      </c>
      <c r="Z111" s="17" t="s">
        <v>814</v>
      </c>
      <c r="AA111" s="17" t="s">
        <v>35</v>
      </c>
      <c r="AB111" s="17" t="s">
        <v>815</v>
      </c>
      <c r="AC111" s="17" t="s">
        <v>9539</v>
      </c>
      <c r="AD111" s="42">
        <v>82.95</v>
      </c>
      <c r="AE111" s="42">
        <v>87.26</v>
      </c>
      <c r="AF111" s="48"/>
      <c r="AG111" s="44"/>
      <c r="AH111" s="7">
        <f t="shared" si="1"/>
        <v>0</v>
      </c>
      <c r="AI111" s="18"/>
      <c r="AJ111" s="18"/>
    </row>
    <row r="112" spans="1:38" ht="26.65" customHeight="1" x14ac:dyDescent="0.25">
      <c r="A112" s="10" t="s">
        <v>821</v>
      </c>
      <c r="B112" s="9" t="s">
        <v>75</v>
      </c>
      <c r="C112" s="9" t="s">
        <v>34</v>
      </c>
      <c r="D112" s="9" t="s">
        <v>67</v>
      </c>
      <c r="E112" s="9" t="s">
        <v>35</v>
      </c>
      <c r="F112" s="9" t="s">
        <v>36</v>
      </c>
      <c r="G112" s="9">
        <v>6</v>
      </c>
      <c r="H112" s="9">
        <v>84212300</v>
      </c>
      <c r="I112" s="11" t="s">
        <v>37</v>
      </c>
      <c r="J112" s="12">
        <v>2.3E-2</v>
      </c>
      <c r="K112" s="12">
        <v>0.108</v>
      </c>
      <c r="L112" s="12">
        <v>5.1999999999999998E-2</v>
      </c>
      <c r="M112" s="13">
        <v>8003453044548</v>
      </c>
      <c r="N112" s="14">
        <v>0.76800000000000002</v>
      </c>
      <c r="O112" s="14">
        <v>0.82499999999999996</v>
      </c>
      <c r="P112" s="15">
        <v>45170</v>
      </c>
      <c r="Q112" s="16" t="s">
        <v>822</v>
      </c>
      <c r="R112" s="17" t="s">
        <v>823</v>
      </c>
      <c r="S112" s="17" t="s">
        <v>824</v>
      </c>
      <c r="T112" s="17" t="s">
        <v>825</v>
      </c>
      <c r="U112" s="17" t="s">
        <v>826</v>
      </c>
      <c r="V112" s="17" t="s">
        <v>35</v>
      </c>
      <c r="W112" s="17" t="s">
        <v>35</v>
      </c>
      <c r="X112" s="17" t="s">
        <v>35</v>
      </c>
      <c r="Y112" s="17" t="s">
        <v>35</v>
      </c>
      <c r="Z112" s="17" t="s">
        <v>827</v>
      </c>
      <c r="AA112" s="17" t="s">
        <v>35</v>
      </c>
      <c r="AB112" s="17" t="s">
        <v>828</v>
      </c>
      <c r="AC112" s="17" t="s">
        <v>9539</v>
      </c>
      <c r="AD112" s="42">
        <v>65.66</v>
      </c>
      <c r="AE112" s="42">
        <v>69.069999999999993</v>
      </c>
      <c r="AF112" s="48"/>
      <c r="AG112" s="44"/>
      <c r="AH112" s="7">
        <f t="shared" si="1"/>
        <v>0</v>
      </c>
      <c r="AI112" s="18"/>
      <c r="AJ112" s="18"/>
    </row>
    <row r="113" spans="1:38" ht="26.65" customHeight="1" x14ac:dyDescent="0.25">
      <c r="A113" s="10" t="s">
        <v>829</v>
      </c>
      <c r="B113" s="9" t="s">
        <v>75</v>
      </c>
      <c r="C113" s="9" t="s">
        <v>34</v>
      </c>
      <c r="D113" s="9" t="s">
        <v>67</v>
      </c>
      <c r="E113" s="9" t="s">
        <v>35</v>
      </c>
      <c r="F113" s="9" t="s">
        <v>36</v>
      </c>
      <c r="G113" s="9">
        <v>6</v>
      </c>
      <c r="H113" s="9">
        <v>84212300</v>
      </c>
      <c r="I113" s="11" t="s">
        <v>37</v>
      </c>
      <c r="J113" s="12">
        <v>2.3E-2</v>
      </c>
      <c r="K113" s="12">
        <v>0.108</v>
      </c>
      <c r="L113" s="12">
        <v>5.1999999999999998E-2</v>
      </c>
      <c r="M113" s="13">
        <v>8003453044555</v>
      </c>
      <c r="N113" s="14">
        <v>0.67</v>
      </c>
      <c r="O113" s="14">
        <v>0.71499999999999997</v>
      </c>
      <c r="P113" s="15">
        <v>45170</v>
      </c>
      <c r="Q113" s="16" t="s">
        <v>830</v>
      </c>
      <c r="R113" s="17" t="s">
        <v>831</v>
      </c>
      <c r="S113" s="17" t="s">
        <v>832</v>
      </c>
      <c r="T113" s="17" t="s">
        <v>833</v>
      </c>
      <c r="U113" s="17" t="s">
        <v>35</v>
      </c>
      <c r="V113" s="17" t="s">
        <v>834</v>
      </c>
      <c r="W113" s="17" t="s">
        <v>35</v>
      </c>
      <c r="X113" s="17" t="s">
        <v>835</v>
      </c>
      <c r="Y113" s="17" t="s">
        <v>836</v>
      </c>
      <c r="Z113" s="17" t="s">
        <v>837</v>
      </c>
      <c r="AA113" s="17" t="s">
        <v>35</v>
      </c>
      <c r="AB113" s="17" t="s">
        <v>838</v>
      </c>
      <c r="AC113" s="17" t="s">
        <v>9539</v>
      </c>
      <c r="AD113" s="42">
        <v>64.260000000000005</v>
      </c>
      <c r="AE113" s="42">
        <v>67.599999999999994</v>
      </c>
      <c r="AF113" s="48"/>
      <c r="AG113" s="44"/>
      <c r="AH113" s="7">
        <f t="shared" si="1"/>
        <v>0</v>
      </c>
      <c r="AI113" s="18"/>
      <c r="AJ113" s="18"/>
    </row>
    <row r="114" spans="1:38" ht="26.65" customHeight="1" x14ac:dyDescent="0.25">
      <c r="A114" s="10" t="s">
        <v>839</v>
      </c>
      <c r="B114" s="9" t="s">
        <v>75</v>
      </c>
      <c r="C114" s="9" t="s">
        <v>34</v>
      </c>
      <c r="D114" s="9" t="s">
        <v>67</v>
      </c>
      <c r="E114" s="9" t="s">
        <v>122</v>
      </c>
      <c r="F114" s="9" t="s">
        <v>36</v>
      </c>
      <c r="G114" s="9">
        <v>6</v>
      </c>
      <c r="H114" s="9">
        <v>84212300</v>
      </c>
      <c r="I114" s="11" t="s">
        <v>37</v>
      </c>
      <c r="J114" s="12">
        <v>2.3E-2</v>
      </c>
      <c r="K114" s="12">
        <v>0.108</v>
      </c>
      <c r="L114" s="12">
        <v>5.1999999999999998E-2</v>
      </c>
      <c r="M114" s="13">
        <v>8003453044586</v>
      </c>
      <c r="N114" s="14">
        <v>0.56000000000000005</v>
      </c>
      <c r="O114" s="14">
        <v>0.66</v>
      </c>
      <c r="P114" s="15" t="s">
        <v>35</v>
      </c>
      <c r="Q114" s="16" t="s">
        <v>840</v>
      </c>
      <c r="R114" s="17" t="s">
        <v>841</v>
      </c>
      <c r="S114" s="17" t="s">
        <v>35</v>
      </c>
      <c r="T114" s="17" t="s">
        <v>680</v>
      </c>
      <c r="U114" s="17" t="s">
        <v>35</v>
      </c>
      <c r="V114" s="17" t="s">
        <v>35</v>
      </c>
      <c r="W114" s="17" t="s">
        <v>35</v>
      </c>
      <c r="X114" s="17" t="s">
        <v>35</v>
      </c>
      <c r="Y114" s="17" t="s">
        <v>35</v>
      </c>
      <c r="Z114" s="17" t="s">
        <v>35</v>
      </c>
      <c r="AA114" s="17" t="s">
        <v>35</v>
      </c>
      <c r="AB114" s="17" t="s">
        <v>35</v>
      </c>
      <c r="AC114" s="17" t="s">
        <v>9539</v>
      </c>
      <c r="AD114" s="42">
        <v>62.92</v>
      </c>
      <c r="AE114" s="42">
        <v>66.19</v>
      </c>
      <c r="AF114" s="48"/>
      <c r="AG114" s="44"/>
      <c r="AH114" s="7">
        <f t="shared" si="1"/>
        <v>0</v>
      </c>
      <c r="AI114" s="18"/>
      <c r="AJ114" s="18"/>
    </row>
    <row r="115" spans="1:38" ht="26.65" customHeight="1" x14ac:dyDescent="0.25">
      <c r="A115" s="10" t="s">
        <v>842</v>
      </c>
      <c r="B115" s="9" t="s">
        <v>75</v>
      </c>
      <c r="C115" s="9" t="s">
        <v>43</v>
      </c>
      <c r="D115" s="9" t="s">
        <v>48</v>
      </c>
      <c r="E115" s="9" t="s">
        <v>35</v>
      </c>
      <c r="F115" s="9" t="s">
        <v>36</v>
      </c>
      <c r="G115" s="9">
        <v>6</v>
      </c>
      <c r="H115" s="9">
        <v>84212300</v>
      </c>
      <c r="I115" s="11" t="s">
        <v>37</v>
      </c>
      <c r="J115" s="12">
        <v>2.3E-2</v>
      </c>
      <c r="K115" s="12">
        <v>0.108</v>
      </c>
      <c r="L115" s="12">
        <v>5.1999999999999998E-2</v>
      </c>
      <c r="M115" s="13">
        <v>8003453044678</v>
      </c>
      <c r="N115" s="14">
        <v>0.3</v>
      </c>
      <c r="O115" s="14">
        <v>0.32400000000000001</v>
      </c>
      <c r="P115" s="15">
        <v>44501</v>
      </c>
      <c r="Q115" s="16" t="s">
        <v>843</v>
      </c>
      <c r="R115" s="17" t="s">
        <v>844</v>
      </c>
      <c r="S115" s="17" t="s">
        <v>845</v>
      </c>
      <c r="T115" s="17" t="s">
        <v>846</v>
      </c>
      <c r="U115" s="17" t="s">
        <v>847</v>
      </c>
      <c r="V115" s="17" t="s">
        <v>35</v>
      </c>
      <c r="W115" s="17" t="s">
        <v>35</v>
      </c>
      <c r="X115" s="17" t="s">
        <v>353</v>
      </c>
      <c r="Y115" s="17" t="s">
        <v>848</v>
      </c>
      <c r="Z115" s="17" t="s">
        <v>35</v>
      </c>
      <c r="AA115" s="17" t="s">
        <v>35</v>
      </c>
      <c r="AB115" s="17" t="s">
        <v>35</v>
      </c>
      <c r="AC115" s="17" t="s">
        <v>9539</v>
      </c>
      <c r="AD115" s="41">
        <v>14.44</v>
      </c>
      <c r="AE115" s="41">
        <v>15.19</v>
      </c>
      <c r="AF115" s="48"/>
      <c r="AG115" s="44"/>
      <c r="AH115" s="7">
        <f t="shared" si="1"/>
        <v>0</v>
      </c>
      <c r="AI115" s="18"/>
      <c r="AJ115" s="18"/>
      <c r="AL115" s="18"/>
    </row>
    <row r="116" spans="1:38" ht="26.65" customHeight="1" x14ac:dyDescent="0.25">
      <c r="A116" s="10" t="s">
        <v>849</v>
      </c>
      <c r="B116" s="9" t="s">
        <v>75</v>
      </c>
      <c r="C116" s="9" t="s">
        <v>43</v>
      </c>
      <c r="D116" s="9" t="s">
        <v>48</v>
      </c>
      <c r="E116" s="9" t="s">
        <v>35</v>
      </c>
      <c r="F116" s="9" t="s">
        <v>36</v>
      </c>
      <c r="G116" s="9">
        <v>6</v>
      </c>
      <c r="H116" s="9">
        <v>84212300</v>
      </c>
      <c r="I116" s="11" t="s">
        <v>37</v>
      </c>
      <c r="J116" s="12">
        <v>2.3E-2</v>
      </c>
      <c r="K116" s="12">
        <v>0.108</v>
      </c>
      <c r="L116" s="12">
        <v>5.1999999999999998E-2</v>
      </c>
      <c r="M116" s="13">
        <v>8003453045019</v>
      </c>
      <c r="N116" s="14">
        <v>0.71099999999999997</v>
      </c>
      <c r="O116" s="14">
        <v>0.76</v>
      </c>
      <c r="P116" s="15">
        <v>44958</v>
      </c>
      <c r="Q116" s="16" t="s">
        <v>850</v>
      </c>
      <c r="R116" s="17" t="s">
        <v>851</v>
      </c>
      <c r="S116" s="17" t="s">
        <v>294</v>
      </c>
      <c r="T116" s="17" t="s">
        <v>35</v>
      </c>
      <c r="U116" s="17" t="s">
        <v>35</v>
      </c>
      <c r="V116" s="17" t="s">
        <v>852</v>
      </c>
      <c r="W116" s="17" t="s">
        <v>853</v>
      </c>
      <c r="X116" s="17" t="s">
        <v>298</v>
      </c>
      <c r="Y116" s="17" t="s">
        <v>854</v>
      </c>
      <c r="Z116" s="17" t="s">
        <v>35</v>
      </c>
      <c r="AA116" s="17" t="s">
        <v>35</v>
      </c>
      <c r="AB116" s="17" t="s">
        <v>35</v>
      </c>
      <c r="AC116" s="17" t="s">
        <v>9539</v>
      </c>
      <c r="AD116" s="42">
        <v>22.98</v>
      </c>
      <c r="AE116" s="42">
        <v>24.17</v>
      </c>
      <c r="AF116" s="48"/>
      <c r="AG116" s="44"/>
      <c r="AH116" s="7">
        <f t="shared" si="1"/>
        <v>0</v>
      </c>
      <c r="AI116" s="18"/>
      <c r="AJ116" s="18"/>
    </row>
    <row r="117" spans="1:38" ht="26.65" customHeight="1" x14ac:dyDescent="0.25">
      <c r="A117" s="10" t="s">
        <v>9084</v>
      </c>
      <c r="B117" s="9" t="s">
        <v>75</v>
      </c>
      <c r="C117" s="9" t="s">
        <v>34</v>
      </c>
      <c r="D117" s="9" t="s">
        <v>67</v>
      </c>
      <c r="E117" s="9" t="s">
        <v>35</v>
      </c>
      <c r="F117" s="9" t="s">
        <v>36</v>
      </c>
      <c r="G117" s="9">
        <v>6</v>
      </c>
      <c r="H117" s="9">
        <v>84212300</v>
      </c>
      <c r="I117" s="11" t="s">
        <v>37</v>
      </c>
      <c r="J117" s="12">
        <v>2.3E-2</v>
      </c>
      <c r="K117" s="12">
        <v>0.108</v>
      </c>
      <c r="L117" s="12">
        <v>5.1999999999999998E-2</v>
      </c>
      <c r="M117" s="13" t="s">
        <v>35</v>
      </c>
      <c r="N117" s="14" t="s">
        <v>35</v>
      </c>
      <c r="O117" s="14" t="s">
        <v>35</v>
      </c>
      <c r="P117" s="15">
        <v>45383</v>
      </c>
      <c r="Q117" s="16" t="s">
        <v>9085</v>
      </c>
      <c r="R117" s="17" t="s">
        <v>9086</v>
      </c>
      <c r="S117" s="17" t="s">
        <v>35</v>
      </c>
      <c r="T117" s="17" t="s">
        <v>35</v>
      </c>
      <c r="U117" s="17" t="s">
        <v>35</v>
      </c>
      <c r="V117" s="17" t="s">
        <v>35</v>
      </c>
      <c r="W117" s="17" t="s">
        <v>35</v>
      </c>
      <c r="X117" s="17" t="s">
        <v>35</v>
      </c>
      <c r="Y117" s="17" t="s">
        <v>35</v>
      </c>
      <c r="Z117" s="17" t="s">
        <v>35</v>
      </c>
      <c r="AA117" s="17" t="s">
        <v>35</v>
      </c>
      <c r="AB117" s="17" t="s">
        <v>35</v>
      </c>
      <c r="AC117" s="17" t="s">
        <v>9539</v>
      </c>
      <c r="AD117" s="42">
        <v>33.299999999999997</v>
      </c>
      <c r="AE117" s="42">
        <v>35.03</v>
      </c>
      <c r="AF117" s="48"/>
      <c r="AG117" s="44"/>
      <c r="AH117" s="7">
        <f t="shared" si="1"/>
        <v>0</v>
      </c>
      <c r="AI117" s="18"/>
      <c r="AJ117" s="18"/>
    </row>
    <row r="118" spans="1:38" ht="26.65" customHeight="1" x14ac:dyDescent="0.25">
      <c r="A118" s="10" t="s">
        <v>9948</v>
      </c>
      <c r="B118" s="9" t="s">
        <v>75</v>
      </c>
      <c r="C118" s="9" t="s">
        <v>34</v>
      </c>
      <c r="D118" s="9" t="s">
        <v>48</v>
      </c>
      <c r="E118" s="9" t="s">
        <v>35</v>
      </c>
      <c r="F118" s="9" t="s">
        <v>36</v>
      </c>
      <c r="G118" s="9">
        <v>6</v>
      </c>
      <c r="H118" s="9">
        <v>84212300</v>
      </c>
      <c r="I118" s="11" t="s">
        <v>37</v>
      </c>
      <c r="J118" s="12">
        <v>2.3E-2</v>
      </c>
      <c r="K118" s="12">
        <v>0.108</v>
      </c>
      <c r="L118" s="12">
        <v>5.1999999999999998E-2</v>
      </c>
      <c r="M118" s="13">
        <v>8003453801752</v>
      </c>
      <c r="N118" s="14">
        <v>0</v>
      </c>
      <c r="O118" s="14">
        <v>0</v>
      </c>
      <c r="P118" s="15">
        <v>45566</v>
      </c>
      <c r="Q118" s="16" t="s">
        <v>9949</v>
      </c>
      <c r="R118" s="17" t="s">
        <v>9950</v>
      </c>
      <c r="S118" s="17" t="s">
        <v>35</v>
      </c>
      <c r="T118" s="17" t="s">
        <v>8614</v>
      </c>
      <c r="U118" s="17" t="s">
        <v>35</v>
      </c>
      <c r="V118" s="17" t="s">
        <v>35</v>
      </c>
      <c r="W118" s="17" t="s">
        <v>35</v>
      </c>
      <c r="X118" s="17" t="s">
        <v>35</v>
      </c>
      <c r="Y118" s="17" t="s">
        <v>35</v>
      </c>
      <c r="Z118" s="17" t="s">
        <v>35</v>
      </c>
      <c r="AA118" s="17" t="s">
        <v>35</v>
      </c>
      <c r="AB118" s="17" t="s">
        <v>35</v>
      </c>
      <c r="AC118" s="17" t="s">
        <v>9539</v>
      </c>
      <c r="AD118" s="41">
        <v>80.77</v>
      </c>
      <c r="AE118" s="41">
        <v>84.97</v>
      </c>
      <c r="AF118" s="48"/>
      <c r="AG118" s="44"/>
      <c r="AH118" s="7">
        <f t="shared" si="1"/>
        <v>0</v>
      </c>
      <c r="AI118" s="18"/>
      <c r="AJ118" s="18"/>
    </row>
    <row r="119" spans="1:38" ht="26.65" customHeight="1" x14ac:dyDescent="0.25">
      <c r="A119" s="10" t="s">
        <v>9951</v>
      </c>
      <c r="B119" s="9" t="s">
        <v>75</v>
      </c>
      <c r="C119" s="9" t="s">
        <v>34</v>
      </c>
      <c r="D119" s="9" t="s">
        <v>48</v>
      </c>
      <c r="E119" s="9" t="s">
        <v>35</v>
      </c>
      <c r="F119" s="9" t="s">
        <v>36</v>
      </c>
      <c r="G119" s="9">
        <v>6</v>
      </c>
      <c r="H119" s="9">
        <v>84212300</v>
      </c>
      <c r="I119" s="11" t="s">
        <v>37</v>
      </c>
      <c r="J119" s="12">
        <v>2.3E-2</v>
      </c>
      <c r="K119" s="12">
        <v>0.108</v>
      </c>
      <c r="L119" s="12">
        <v>5.1999999999999998E-2</v>
      </c>
      <c r="M119" s="13">
        <v>8003453802650</v>
      </c>
      <c r="N119" s="14">
        <v>0</v>
      </c>
      <c r="O119" s="14">
        <v>0</v>
      </c>
      <c r="P119" s="15">
        <v>45566</v>
      </c>
      <c r="Q119" s="16" t="s">
        <v>9952</v>
      </c>
      <c r="R119" s="17">
        <v>4175914</v>
      </c>
      <c r="S119" s="17" t="s">
        <v>9953</v>
      </c>
      <c r="T119" s="17" t="s">
        <v>35</v>
      </c>
      <c r="U119" s="17" t="s">
        <v>35</v>
      </c>
      <c r="V119" s="17" t="s">
        <v>35</v>
      </c>
      <c r="W119" s="17" t="s">
        <v>35</v>
      </c>
      <c r="X119" s="17" t="s">
        <v>35</v>
      </c>
      <c r="Y119" s="17" t="s">
        <v>871</v>
      </c>
      <c r="Z119" s="17" t="s">
        <v>872</v>
      </c>
      <c r="AA119" s="17" t="s">
        <v>35</v>
      </c>
      <c r="AB119" s="17" t="s">
        <v>874</v>
      </c>
      <c r="AC119" s="17" t="s">
        <v>9539</v>
      </c>
      <c r="AD119" s="41">
        <v>52.23</v>
      </c>
      <c r="AE119" s="41">
        <v>54.95</v>
      </c>
      <c r="AF119" s="48"/>
      <c r="AG119" s="44"/>
      <c r="AH119" s="7">
        <f t="shared" si="1"/>
        <v>0</v>
      </c>
      <c r="AI119" s="18"/>
      <c r="AJ119" s="18"/>
    </row>
    <row r="120" spans="1:38" ht="26.65" customHeight="1" x14ac:dyDescent="0.25">
      <c r="A120" s="10" t="s">
        <v>9954</v>
      </c>
      <c r="B120" s="9" t="s">
        <v>75</v>
      </c>
      <c r="C120" s="9" t="s">
        <v>34</v>
      </c>
      <c r="D120" s="9" t="s">
        <v>48</v>
      </c>
      <c r="E120" s="9" t="s">
        <v>35</v>
      </c>
      <c r="F120" s="9" t="s">
        <v>36</v>
      </c>
      <c r="G120" s="9">
        <v>6</v>
      </c>
      <c r="H120" s="9">
        <v>84212300</v>
      </c>
      <c r="I120" s="11" t="s">
        <v>37</v>
      </c>
      <c r="J120" s="12">
        <v>2.3E-2</v>
      </c>
      <c r="K120" s="12">
        <v>0.108</v>
      </c>
      <c r="L120" s="12">
        <v>5.1999999999999998E-2</v>
      </c>
      <c r="M120" s="13">
        <v>8003453802667</v>
      </c>
      <c r="N120" s="14">
        <v>0</v>
      </c>
      <c r="O120" s="14">
        <v>0</v>
      </c>
      <c r="P120" s="15">
        <v>45566</v>
      </c>
      <c r="Q120" s="16" t="s">
        <v>9955</v>
      </c>
      <c r="R120" s="17" t="s">
        <v>9956</v>
      </c>
      <c r="S120" s="17" t="s">
        <v>9957</v>
      </c>
      <c r="T120" s="17" t="s">
        <v>9958</v>
      </c>
      <c r="U120" s="17" t="s">
        <v>35</v>
      </c>
      <c r="V120" s="17" t="s">
        <v>35</v>
      </c>
      <c r="W120" s="17" t="s">
        <v>35</v>
      </c>
      <c r="X120" s="17" t="s">
        <v>35</v>
      </c>
      <c r="Y120" s="17" t="s">
        <v>35</v>
      </c>
      <c r="Z120" s="17" t="s">
        <v>35</v>
      </c>
      <c r="AA120" s="17" t="s">
        <v>35</v>
      </c>
      <c r="AB120" s="17" t="s">
        <v>9959</v>
      </c>
      <c r="AC120" s="17" t="s">
        <v>9539</v>
      </c>
      <c r="AD120" s="41">
        <v>64.59</v>
      </c>
      <c r="AE120" s="41">
        <v>67.95</v>
      </c>
      <c r="AF120" s="48"/>
      <c r="AG120" s="44"/>
      <c r="AH120" s="7">
        <f t="shared" si="1"/>
        <v>0</v>
      </c>
      <c r="AI120" s="18"/>
      <c r="AJ120" s="18"/>
    </row>
    <row r="121" spans="1:38" ht="26.65" customHeight="1" x14ac:dyDescent="0.25">
      <c r="A121" s="10" t="s">
        <v>9960</v>
      </c>
      <c r="B121" s="9" t="s">
        <v>75</v>
      </c>
      <c r="C121" s="9" t="s">
        <v>34</v>
      </c>
      <c r="D121" s="9" t="s">
        <v>48</v>
      </c>
      <c r="E121" s="9" t="s">
        <v>35</v>
      </c>
      <c r="F121" s="9" t="s">
        <v>36</v>
      </c>
      <c r="G121" s="9">
        <v>6</v>
      </c>
      <c r="H121" s="9">
        <v>84212300</v>
      </c>
      <c r="I121" s="11" t="s">
        <v>37</v>
      </c>
      <c r="J121" s="12">
        <v>2.3E-2</v>
      </c>
      <c r="K121" s="12">
        <v>0.108</v>
      </c>
      <c r="L121" s="12">
        <v>5.1999999999999998E-2</v>
      </c>
      <c r="M121" s="13">
        <v>8003453802674</v>
      </c>
      <c r="N121" s="14">
        <v>0</v>
      </c>
      <c r="O121" s="14">
        <v>0</v>
      </c>
      <c r="P121" s="15">
        <v>45566</v>
      </c>
      <c r="Q121" s="16" t="s">
        <v>9961</v>
      </c>
      <c r="R121" s="17" t="s">
        <v>9962</v>
      </c>
      <c r="S121" s="17" t="s">
        <v>9963</v>
      </c>
      <c r="T121" s="17" t="s">
        <v>413</v>
      </c>
      <c r="U121" s="17" t="s">
        <v>35</v>
      </c>
      <c r="V121" s="17" t="s">
        <v>35</v>
      </c>
      <c r="W121" s="17" t="s">
        <v>35</v>
      </c>
      <c r="X121" s="17" t="s">
        <v>35</v>
      </c>
      <c r="Y121" s="17" t="s">
        <v>35</v>
      </c>
      <c r="Z121" s="17" t="s">
        <v>9964</v>
      </c>
      <c r="AA121" s="17" t="s">
        <v>35</v>
      </c>
      <c r="AB121" s="17" t="s">
        <v>9962</v>
      </c>
      <c r="AC121" s="17" t="s">
        <v>9539</v>
      </c>
      <c r="AD121" s="41">
        <v>19.02</v>
      </c>
      <c r="AE121" s="41">
        <v>20.010000000000002</v>
      </c>
      <c r="AF121" s="48"/>
      <c r="AG121" s="44"/>
      <c r="AH121" s="7">
        <f t="shared" si="1"/>
        <v>0</v>
      </c>
      <c r="AI121" s="18"/>
      <c r="AJ121" s="18"/>
    </row>
    <row r="122" spans="1:38" ht="26.65" customHeight="1" x14ac:dyDescent="0.25">
      <c r="A122" s="10" t="s">
        <v>9965</v>
      </c>
      <c r="B122" s="9" t="s">
        <v>75</v>
      </c>
      <c r="C122" s="9" t="s">
        <v>34</v>
      </c>
      <c r="D122" s="9" t="s">
        <v>48</v>
      </c>
      <c r="E122" s="9" t="s">
        <v>35</v>
      </c>
      <c r="F122" s="9" t="s">
        <v>36</v>
      </c>
      <c r="G122" s="9">
        <v>6</v>
      </c>
      <c r="H122" s="9">
        <v>84212300</v>
      </c>
      <c r="I122" s="11" t="s">
        <v>37</v>
      </c>
      <c r="J122" s="12">
        <v>2.3E-2</v>
      </c>
      <c r="K122" s="12">
        <v>0.108</v>
      </c>
      <c r="L122" s="12">
        <v>5.1999999999999998E-2</v>
      </c>
      <c r="M122" s="13">
        <v>8003453802735</v>
      </c>
      <c r="N122" s="14">
        <v>0</v>
      </c>
      <c r="O122" s="14">
        <v>0</v>
      </c>
      <c r="P122" s="15">
        <v>45566</v>
      </c>
      <c r="Q122" s="16" t="s">
        <v>9966</v>
      </c>
      <c r="R122" s="17" t="s">
        <v>9967</v>
      </c>
      <c r="S122" s="17" t="s">
        <v>9957</v>
      </c>
      <c r="T122" s="17" t="s">
        <v>9958</v>
      </c>
      <c r="U122" s="17" t="s">
        <v>35</v>
      </c>
      <c r="V122" s="17" t="s">
        <v>35</v>
      </c>
      <c r="W122" s="17" t="s">
        <v>35</v>
      </c>
      <c r="X122" s="17" t="s">
        <v>35</v>
      </c>
      <c r="Y122" s="17" t="s">
        <v>35</v>
      </c>
      <c r="Z122" s="17" t="s">
        <v>35</v>
      </c>
      <c r="AA122" s="17" t="s">
        <v>35</v>
      </c>
      <c r="AB122" s="17" t="s">
        <v>9968</v>
      </c>
      <c r="AC122" s="17" t="s">
        <v>9539</v>
      </c>
      <c r="AD122" s="41">
        <v>66.709999999999994</v>
      </c>
      <c r="AE122" s="41">
        <v>70.180000000000007</v>
      </c>
      <c r="AF122" s="48"/>
      <c r="AG122" s="44"/>
      <c r="AH122" s="7">
        <f t="shared" si="1"/>
        <v>0</v>
      </c>
      <c r="AI122" s="18"/>
      <c r="AJ122" s="18"/>
    </row>
    <row r="123" spans="1:38" ht="26.65" customHeight="1" x14ac:dyDescent="0.25">
      <c r="A123" s="10" t="s">
        <v>855</v>
      </c>
      <c r="B123" s="9" t="s">
        <v>75</v>
      </c>
      <c r="C123" s="9" t="s">
        <v>34</v>
      </c>
      <c r="D123" s="9" t="s">
        <v>67</v>
      </c>
      <c r="E123" s="9" t="s">
        <v>35</v>
      </c>
      <c r="F123" s="9" t="s">
        <v>36</v>
      </c>
      <c r="G123" s="9">
        <v>6</v>
      </c>
      <c r="H123" s="9">
        <v>84212300</v>
      </c>
      <c r="I123" s="11" t="s">
        <v>37</v>
      </c>
      <c r="J123" s="12">
        <v>2.3E-2</v>
      </c>
      <c r="K123" s="12">
        <v>0.108</v>
      </c>
      <c r="L123" s="12">
        <v>5.1999999999999998E-2</v>
      </c>
      <c r="M123" s="13">
        <v>8003453044869</v>
      </c>
      <c r="N123" s="14">
        <v>1.1499999999999999</v>
      </c>
      <c r="O123" s="14">
        <v>1.2350000000000001</v>
      </c>
      <c r="P123" s="15">
        <v>45170</v>
      </c>
      <c r="Q123" s="16" t="s">
        <v>856</v>
      </c>
      <c r="R123" s="17" t="s">
        <v>857</v>
      </c>
      <c r="S123" s="17" t="s">
        <v>858</v>
      </c>
      <c r="T123" s="17" t="s">
        <v>859</v>
      </c>
      <c r="U123" s="17" t="s">
        <v>35</v>
      </c>
      <c r="V123" s="17" t="s">
        <v>35</v>
      </c>
      <c r="W123" s="17" t="s">
        <v>35</v>
      </c>
      <c r="X123" s="17" t="s">
        <v>35</v>
      </c>
      <c r="Y123" s="17" t="s">
        <v>35</v>
      </c>
      <c r="Z123" s="17" t="s">
        <v>860</v>
      </c>
      <c r="AA123" s="17" t="s">
        <v>35</v>
      </c>
      <c r="AB123" s="17" t="s">
        <v>861</v>
      </c>
      <c r="AC123" s="17" t="s">
        <v>9539</v>
      </c>
      <c r="AD123" s="42">
        <v>47.18</v>
      </c>
      <c r="AE123" s="42">
        <v>49.63</v>
      </c>
      <c r="AF123" s="48"/>
      <c r="AG123" s="44"/>
      <c r="AH123" s="7">
        <f t="shared" si="1"/>
        <v>0</v>
      </c>
      <c r="AI123" s="18"/>
      <c r="AJ123" s="18"/>
    </row>
    <row r="124" spans="1:38" ht="26.65" customHeight="1" x14ac:dyDescent="0.25">
      <c r="A124" s="10" t="s">
        <v>862</v>
      </c>
      <c r="B124" s="9" t="s">
        <v>75</v>
      </c>
      <c r="C124" s="9" t="s">
        <v>154</v>
      </c>
      <c r="D124" s="9" t="s">
        <v>67</v>
      </c>
      <c r="E124" s="9" t="s">
        <v>35</v>
      </c>
      <c r="F124" s="9" t="s">
        <v>36</v>
      </c>
      <c r="G124" s="9">
        <v>6</v>
      </c>
      <c r="H124" s="9">
        <v>84212300</v>
      </c>
      <c r="I124" s="11" t="s">
        <v>37</v>
      </c>
      <c r="J124" s="12">
        <v>2.3E-2</v>
      </c>
      <c r="K124" s="12">
        <v>0.108</v>
      </c>
      <c r="L124" s="12">
        <v>5.1999999999999998E-2</v>
      </c>
      <c r="M124" s="13">
        <v>8003453044883</v>
      </c>
      <c r="N124" s="14">
        <v>0.99199999999999999</v>
      </c>
      <c r="O124" s="14">
        <v>1.0489999999999999</v>
      </c>
      <c r="P124" s="15">
        <v>45231</v>
      </c>
      <c r="Q124" s="16" t="s">
        <v>863</v>
      </c>
      <c r="R124" s="17" t="s">
        <v>864</v>
      </c>
      <c r="S124" s="17" t="s">
        <v>865</v>
      </c>
      <c r="T124" s="17" t="s">
        <v>866</v>
      </c>
      <c r="U124" s="17" t="s">
        <v>867</v>
      </c>
      <c r="V124" s="17" t="s">
        <v>868</v>
      </c>
      <c r="W124" s="17" t="s">
        <v>869</v>
      </c>
      <c r="X124" s="17" t="s">
        <v>870</v>
      </c>
      <c r="Y124" s="17" t="s">
        <v>871</v>
      </c>
      <c r="Z124" s="17" t="s">
        <v>872</v>
      </c>
      <c r="AA124" s="17" t="s">
        <v>873</v>
      </c>
      <c r="AB124" s="17" t="s">
        <v>874</v>
      </c>
      <c r="AC124" s="17" t="s">
        <v>9539</v>
      </c>
      <c r="AD124" s="42">
        <v>44.06</v>
      </c>
      <c r="AE124" s="42">
        <v>46.35</v>
      </c>
      <c r="AF124" s="48"/>
      <c r="AG124" s="44"/>
      <c r="AH124" s="7">
        <f t="shared" si="1"/>
        <v>0</v>
      </c>
      <c r="AI124" s="18"/>
      <c r="AJ124" s="18"/>
    </row>
    <row r="125" spans="1:38" ht="26.65" customHeight="1" x14ac:dyDescent="0.25">
      <c r="A125" s="10" t="s">
        <v>875</v>
      </c>
      <c r="B125" s="9" t="s">
        <v>75</v>
      </c>
      <c r="C125" s="9" t="s">
        <v>34</v>
      </c>
      <c r="D125" s="9" t="s">
        <v>67</v>
      </c>
      <c r="E125" s="9" t="s">
        <v>35</v>
      </c>
      <c r="F125" s="9" t="s">
        <v>36</v>
      </c>
      <c r="G125" s="9">
        <v>6</v>
      </c>
      <c r="H125" s="9">
        <v>84212300</v>
      </c>
      <c r="I125" s="11" t="s">
        <v>37</v>
      </c>
      <c r="J125" s="12">
        <v>2.3E-2</v>
      </c>
      <c r="K125" s="12">
        <v>0.108</v>
      </c>
      <c r="L125" s="12">
        <v>5.1999999999999998E-2</v>
      </c>
      <c r="M125" s="13">
        <v>8003453044890</v>
      </c>
      <c r="N125" s="14">
        <v>1.59</v>
      </c>
      <c r="O125" s="14">
        <v>1.714</v>
      </c>
      <c r="P125" s="15">
        <v>45139</v>
      </c>
      <c r="Q125" s="16" t="s">
        <v>876</v>
      </c>
      <c r="R125" s="17" t="s">
        <v>877</v>
      </c>
      <c r="S125" s="17" t="s">
        <v>878</v>
      </c>
      <c r="T125" s="17" t="s">
        <v>35</v>
      </c>
      <c r="U125" s="17" t="s">
        <v>35</v>
      </c>
      <c r="V125" s="17" t="s">
        <v>879</v>
      </c>
      <c r="W125" s="17" t="s">
        <v>35</v>
      </c>
      <c r="X125" s="17" t="s">
        <v>880</v>
      </c>
      <c r="Y125" s="17" t="s">
        <v>35</v>
      </c>
      <c r="Z125" s="17" t="s">
        <v>881</v>
      </c>
      <c r="AA125" s="17" t="s">
        <v>35</v>
      </c>
      <c r="AB125" s="17" t="s">
        <v>882</v>
      </c>
      <c r="AC125" s="17" t="s">
        <v>9539</v>
      </c>
      <c r="AD125" s="42">
        <v>146.54</v>
      </c>
      <c r="AE125" s="42">
        <v>154.16</v>
      </c>
      <c r="AF125" s="48"/>
      <c r="AG125" s="44"/>
      <c r="AH125" s="7">
        <f t="shared" si="1"/>
        <v>0</v>
      </c>
      <c r="AI125" s="18"/>
      <c r="AJ125" s="18"/>
    </row>
    <row r="126" spans="1:38" ht="26.65" customHeight="1" x14ac:dyDescent="0.25">
      <c r="A126" s="10" t="s">
        <v>883</v>
      </c>
      <c r="B126" s="9" t="s">
        <v>75</v>
      </c>
      <c r="C126" s="9" t="s">
        <v>34</v>
      </c>
      <c r="D126" s="9" t="s">
        <v>67</v>
      </c>
      <c r="E126" s="9" t="s">
        <v>35</v>
      </c>
      <c r="F126" s="9" t="s">
        <v>36</v>
      </c>
      <c r="G126" s="9">
        <v>1</v>
      </c>
      <c r="H126" s="9">
        <v>84212300</v>
      </c>
      <c r="I126" s="11" t="s">
        <v>37</v>
      </c>
      <c r="J126" s="12">
        <v>2.3E-2</v>
      </c>
      <c r="K126" s="12">
        <v>0.108</v>
      </c>
      <c r="L126" s="12">
        <v>5.1999999999999998E-2</v>
      </c>
      <c r="M126" s="13">
        <v>8003453044906</v>
      </c>
      <c r="N126" s="14">
        <v>1.59</v>
      </c>
      <c r="O126" s="14">
        <v>1.6950000000000001</v>
      </c>
      <c r="P126" s="15">
        <v>44896</v>
      </c>
      <c r="Q126" s="16" t="s">
        <v>884</v>
      </c>
      <c r="R126" s="17" t="s">
        <v>885</v>
      </c>
      <c r="S126" s="17" t="s">
        <v>886</v>
      </c>
      <c r="T126" s="17" t="s">
        <v>887</v>
      </c>
      <c r="U126" s="17" t="s">
        <v>35</v>
      </c>
      <c r="V126" s="17" t="s">
        <v>35</v>
      </c>
      <c r="W126" s="17" t="s">
        <v>35</v>
      </c>
      <c r="X126" s="17" t="s">
        <v>35</v>
      </c>
      <c r="Y126" s="17" t="s">
        <v>35</v>
      </c>
      <c r="Z126" s="17" t="s">
        <v>888</v>
      </c>
      <c r="AA126" s="17" t="s">
        <v>35</v>
      </c>
      <c r="AB126" s="17" t="s">
        <v>882</v>
      </c>
      <c r="AC126" s="17" t="s">
        <v>9539</v>
      </c>
      <c r="AD126" s="42">
        <v>165.6</v>
      </c>
      <c r="AE126" s="42">
        <v>174.21</v>
      </c>
      <c r="AF126" s="48"/>
      <c r="AG126" s="44"/>
      <c r="AH126" s="7">
        <f t="shared" si="1"/>
        <v>0</v>
      </c>
      <c r="AI126" s="18"/>
      <c r="AJ126" s="18"/>
    </row>
    <row r="127" spans="1:38" ht="26.65" customHeight="1" x14ac:dyDescent="0.25">
      <c r="A127" s="10" t="s">
        <v>9969</v>
      </c>
      <c r="B127" s="9" t="s">
        <v>75</v>
      </c>
      <c r="C127" s="9" t="s">
        <v>34</v>
      </c>
      <c r="D127" s="9" t="s">
        <v>48</v>
      </c>
      <c r="E127" s="9" t="s">
        <v>35</v>
      </c>
      <c r="F127" s="9" t="s">
        <v>36</v>
      </c>
      <c r="G127" s="9">
        <v>6</v>
      </c>
      <c r="H127" s="9">
        <v>84212300</v>
      </c>
      <c r="I127" s="11" t="s">
        <v>37</v>
      </c>
      <c r="J127" s="12">
        <v>2.3E-2</v>
      </c>
      <c r="K127" s="12">
        <v>0.108</v>
      </c>
      <c r="L127" s="12">
        <v>5.1999999999999998E-2</v>
      </c>
      <c r="M127" s="13">
        <v>8003453809888</v>
      </c>
      <c r="N127" s="14">
        <v>0</v>
      </c>
      <c r="O127" s="14">
        <v>0</v>
      </c>
      <c r="P127" s="15">
        <v>45566</v>
      </c>
      <c r="Q127" s="16" t="s">
        <v>9970</v>
      </c>
      <c r="R127" s="17" t="s">
        <v>9971</v>
      </c>
      <c r="S127" s="17" t="s">
        <v>886</v>
      </c>
      <c r="T127" s="17" t="s">
        <v>887</v>
      </c>
      <c r="U127" s="17" t="s">
        <v>35</v>
      </c>
      <c r="V127" s="17" t="s">
        <v>879</v>
      </c>
      <c r="W127" s="17" t="s">
        <v>35</v>
      </c>
      <c r="X127" s="17" t="s">
        <v>35</v>
      </c>
      <c r="Y127" s="17" t="s">
        <v>9972</v>
      </c>
      <c r="Z127" s="17" t="s">
        <v>888</v>
      </c>
      <c r="AA127" s="17" t="s">
        <v>35</v>
      </c>
      <c r="AB127" s="17" t="s">
        <v>9973</v>
      </c>
      <c r="AC127" s="17" t="s">
        <v>9539</v>
      </c>
      <c r="AD127" s="41">
        <v>120.07</v>
      </c>
      <c r="AE127" s="41">
        <v>126.31</v>
      </c>
      <c r="AF127" s="48"/>
      <c r="AG127" s="44"/>
      <c r="AH127" s="7">
        <f t="shared" si="1"/>
        <v>0</v>
      </c>
      <c r="AI127" s="18"/>
      <c r="AJ127" s="18"/>
    </row>
    <row r="128" spans="1:38" ht="26.65" customHeight="1" x14ac:dyDescent="0.25">
      <c r="A128" s="10" t="s">
        <v>9974</v>
      </c>
      <c r="B128" s="9" t="s">
        <v>75</v>
      </c>
      <c r="C128" s="9" t="s">
        <v>34</v>
      </c>
      <c r="D128" s="9" t="s">
        <v>48</v>
      </c>
      <c r="E128" s="9" t="s">
        <v>35</v>
      </c>
      <c r="F128" s="9" t="s">
        <v>36</v>
      </c>
      <c r="G128" s="9">
        <v>6</v>
      </c>
      <c r="H128" s="9">
        <v>84212300</v>
      </c>
      <c r="I128" s="11" t="s">
        <v>37</v>
      </c>
      <c r="J128" s="12">
        <v>2.3E-2</v>
      </c>
      <c r="K128" s="12">
        <v>0.108</v>
      </c>
      <c r="L128" s="12">
        <v>5.1999999999999998E-2</v>
      </c>
      <c r="M128" s="13">
        <v>8003453808836</v>
      </c>
      <c r="N128" s="14">
        <v>0</v>
      </c>
      <c r="O128" s="14">
        <v>0</v>
      </c>
      <c r="P128" s="15">
        <v>45566</v>
      </c>
      <c r="Q128" s="16" t="s">
        <v>9975</v>
      </c>
      <c r="R128" s="17" t="s">
        <v>9976</v>
      </c>
      <c r="S128" s="17" t="s">
        <v>35</v>
      </c>
      <c r="T128" s="17" t="s">
        <v>35</v>
      </c>
      <c r="U128" s="17" t="s">
        <v>35</v>
      </c>
      <c r="V128" s="17" t="s">
        <v>35</v>
      </c>
      <c r="W128" s="17" t="s">
        <v>35</v>
      </c>
      <c r="X128" s="17" t="s">
        <v>35</v>
      </c>
      <c r="Y128" s="17" t="s">
        <v>35</v>
      </c>
      <c r="Z128" s="17" t="s">
        <v>35</v>
      </c>
      <c r="AA128" s="17" t="s">
        <v>35</v>
      </c>
      <c r="AB128" s="17" t="s">
        <v>8616</v>
      </c>
      <c r="AC128" s="17" t="s">
        <v>9539</v>
      </c>
      <c r="AD128" s="41">
        <v>74.95</v>
      </c>
      <c r="AE128" s="41">
        <v>78.849999999999994</v>
      </c>
      <c r="AF128" s="48"/>
      <c r="AG128" s="44"/>
      <c r="AH128" s="7">
        <f t="shared" si="1"/>
        <v>0</v>
      </c>
      <c r="AI128" s="18"/>
      <c r="AJ128" s="18"/>
    </row>
    <row r="129" spans="1:38" ht="26.65" customHeight="1" x14ac:dyDescent="0.25">
      <c r="A129" s="10" t="s">
        <v>9977</v>
      </c>
      <c r="B129" s="9" t="s">
        <v>75</v>
      </c>
      <c r="C129" s="9" t="s">
        <v>43</v>
      </c>
      <c r="D129" s="9" t="s">
        <v>48</v>
      </c>
      <c r="E129" s="9" t="s">
        <v>35</v>
      </c>
      <c r="F129" s="9" t="s">
        <v>36</v>
      </c>
      <c r="G129" s="9">
        <v>6</v>
      </c>
      <c r="H129" s="9">
        <v>84212300</v>
      </c>
      <c r="I129" s="11" t="s">
        <v>37</v>
      </c>
      <c r="J129" s="12">
        <v>2.3E-2</v>
      </c>
      <c r="K129" s="12">
        <v>0.108</v>
      </c>
      <c r="L129" s="12">
        <v>5.1999999999999998E-2</v>
      </c>
      <c r="M129" s="13">
        <v>8003453044913</v>
      </c>
      <c r="N129" s="14">
        <v>0</v>
      </c>
      <c r="O129" s="14">
        <v>0</v>
      </c>
      <c r="P129" s="15">
        <v>45566</v>
      </c>
      <c r="Q129" s="16" t="s">
        <v>9978</v>
      </c>
      <c r="R129" s="17" t="s">
        <v>35</v>
      </c>
      <c r="S129" s="17" t="s">
        <v>9979</v>
      </c>
      <c r="T129" s="17" t="s">
        <v>9980</v>
      </c>
      <c r="U129" s="17" t="s">
        <v>9981</v>
      </c>
      <c r="V129" s="17" t="s">
        <v>35</v>
      </c>
      <c r="W129" s="17" t="s">
        <v>35</v>
      </c>
      <c r="X129" s="17" t="s">
        <v>9982</v>
      </c>
      <c r="Y129" s="17" t="s">
        <v>35</v>
      </c>
      <c r="Z129" s="17" t="s">
        <v>9983</v>
      </c>
      <c r="AA129" s="17" t="s">
        <v>35</v>
      </c>
      <c r="AB129" s="17" t="s">
        <v>35</v>
      </c>
      <c r="AC129" s="17" t="s">
        <v>9539</v>
      </c>
      <c r="AD129" s="41">
        <v>28.43</v>
      </c>
      <c r="AE129" s="41">
        <v>29.91</v>
      </c>
      <c r="AF129" s="48"/>
      <c r="AG129" s="44"/>
      <c r="AH129" s="7">
        <f t="shared" si="1"/>
        <v>0</v>
      </c>
      <c r="AI129" s="18"/>
      <c r="AJ129" s="18"/>
    </row>
    <row r="130" spans="1:38" ht="26.65" customHeight="1" x14ac:dyDescent="0.25">
      <c r="A130" s="10" t="s">
        <v>8606</v>
      </c>
      <c r="B130" s="9" t="s">
        <v>510</v>
      </c>
      <c r="C130" s="9" t="s">
        <v>58</v>
      </c>
      <c r="D130" s="9" t="s">
        <v>67</v>
      </c>
      <c r="E130" s="9" t="s">
        <v>35</v>
      </c>
      <c r="F130" s="9" t="s">
        <v>36</v>
      </c>
      <c r="G130" s="9">
        <v>6</v>
      </c>
      <c r="H130" s="9">
        <v>84212300</v>
      </c>
      <c r="I130" s="11" t="s">
        <v>37</v>
      </c>
      <c r="J130" s="12">
        <v>2.3E-2</v>
      </c>
      <c r="K130" s="12">
        <v>0.108</v>
      </c>
      <c r="L130" s="12">
        <v>5.1999999999999998E-2</v>
      </c>
      <c r="M130" s="13">
        <v>8003453044937</v>
      </c>
      <c r="N130" s="14">
        <v>1.06</v>
      </c>
      <c r="O130" s="14">
        <v>1.151</v>
      </c>
      <c r="P130" s="15">
        <v>45292</v>
      </c>
      <c r="Q130" s="16" t="s">
        <v>8607</v>
      </c>
      <c r="R130" s="17" t="s">
        <v>8608</v>
      </c>
      <c r="S130" s="17" t="s">
        <v>8609</v>
      </c>
      <c r="T130" s="17" t="s">
        <v>229</v>
      </c>
      <c r="U130" s="17" t="s">
        <v>8610</v>
      </c>
      <c r="V130" s="17" t="s">
        <v>231</v>
      </c>
      <c r="W130" s="17" t="s">
        <v>232</v>
      </c>
      <c r="X130" s="17" t="s">
        <v>35</v>
      </c>
      <c r="Y130" s="17" t="s">
        <v>35</v>
      </c>
      <c r="Z130" s="17" t="s">
        <v>245</v>
      </c>
      <c r="AA130" s="17" t="s">
        <v>35</v>
      </c>
      <c r="AB130" s="17" t="s">
        <v>246</v>
      </c>
      <c r="AC130" s="17" t="s">
        <v>9539</v>
      </c>
      <c r="AD130" s="42">
        <v>99.7</v>
      </c>
      <c r="AE130" s="42">
        <v>104.88</v>
      </c>
      <c r="AF130" s="48"/>
      <c r="AG130" s="44"/>
      <c r="AH130" s="7">
        <f t="shared" si="1"/>
        <v>0</v>
      </c>
      <c r="AI130" s="18"/>
      <c r="AJ130" s="18"/>
    </row>
    <row r="131" spans="1:38" ht="26.65" customHeight="1" x14ac:dyDescent="0.25">
      <c r="A131" s="10" t="s">
        <v>889</v>
      </c>
      <c r="B131" s="9" t="s">
        <v>75</v>
      </c>
      <c r="C131" s="9" t="s">
        <v>34</v>
      </c>
      <c r="D131" s="9" t="s">
        <v>48</v>
      </c>
      <c r="E131" s="9" t="s">
        <v>35</v>
      </c>
      <c r="F131" s="9" t="s">
        <v>36</v>
      </c>
      <c r="G131" s="9">
        <v>6</v>
      </c>
      <c r="H131" s="9">
        <v>84212300</v>
      </c>
      <c r="I131" s="11" t="s">
        <v>37</v>
      </c>
      <c r="J131" s="12">
        <v>2.3E-2</v>
      </c>
      <c r="K131" s="12">
        <v>0.108</v>
      </c>
      <c r="L131" s="12">
        <v>5.1999999999999998E-2</v>
      </c>
      <c r="M131" s="13">
        <v>8003453044944</v>
      </c>
      <c r="N131" s="14">
        <v>0.88900000000000001</v>
      </c>
      <c r="O131" s="14">
        <v>0.95</v>
      </c>
      <c r="P131" s="15">
        <v>45200</v>
      </c>
      <c r="Q131" s="16" t="s">
        <v>890</v>
      </c>
      <c r="R131" s="17" t="s">
        <v>891</v>
      </c>
      <c r="S131" s="17" t="s">
        <v>35</v>
      </c>
      <c r="T131" s="17" t="s">
        <v>35</v>
      </c>
      <c r="U131" s="17" t="s">
        <v>35</v>
      </c>
      <c r="V131" s="17" t="s">
        <v>35</v>
      </c>
      <c r="W131" s="17" t="s">
        <v>35</v>
      </c>
      <c r="X131" s="17" t="s">
        <v>35</v>
      </c>
      <c r="Y131" s="17" t="s">
        <v>35</v>
      </c>
      <c r="Z131" s="17" t="s">
        <v>892</v>
      </c>
      <c r="AA131" s="17" t="s">
        <v>35</v>
      </c>
      <c r="AB131" s="17" t="s">
        <v>893</v>
      </c>
      <c r="AC131" s="17" t="s">
        <v>9539</v>
      </c>
      <c r="AD131" s="42">
        <v>60.55</v>
      </c>
      <c r="AE131" s="42">
        <v>63.7</v>
      </c>
      <c r="AF131" s="48"/>
      <c r="AG131" s="44"/>
      <c r="AH131" s="7">
        <f t="shared" si="1"/>
        <v>0</v>
      </c>
      <c r="AI131" s="18"/>
      <c r="AJ131" s="18"/>
    </row>
    <row r="132" spans="1:38" ht="26.65" customHeight="1" x14ac:dyDescent="0.25">
      <c r="A132" s="10" t="s">
        <v>894</v>
      </c>
      <c r="B132" s="9" t="s">
        <v>75</v>
      </c>
      <c r="C132" s="9" t="s">
        <v>43</v>
      </c>
      <c r="D132" s="9" t="s">
        <v>67</v>
      </c>
      <c r="E132" s="9" t="s">
        <v>35</v>
      </c>
      <c r="F132" s="9" t="s">
        <v>36</v>
      </c>
      <c r="G132" s="9">
        <v>6</v>
      </c>
      <c r="H132" s="9">
        <v>84212300</v>
      </c>
      <c r="I132" s="11" t="s">
        <v>37</v>
      </c>
      <c r="J132" s="12">
        <v>2.3E-2</v>
      </c>
      <c r="K132" s="12">
        <v>0.108</v>
      </c>
      <c r="L132" s="12">
        <v>5.1999999999999998E-2</v>
      </c>
      <c r="M132" s="13">
        <v>8003453044982</v>
      </c>
      <c r="N132" s="14">
        <v>0.307</v>
      </c>
      <c r="O132" s="14">
        <v>0.33</v>
      </c>
      <c r="P132" s="15">
        <v>45139</v>
      </c>
      <c r="Q132" s="16" t="s">
        <v>895</v>
      </c>
      <c r="R132" s="17" t="s">
        <v>896</v>
      </c>
      <c r="S132" s="17" t="s">
        <v>897</v>
      </c>
      <c r="T132" s="17" t="s">
        <v>898</v>
      </c>
      <c r="U132" s="17" t="s">
        <v>899</v>
      </c>
      <c r="V132" s="17" t="s">
        <v>35</v>
      </c>
      <c r="W132" s="17" t="s">
        <v>35</v>
      </c>
      <c r="X132" s="17" t="s">
        <v>900</v>
      </c>
      <c r="Y132" s="17" t="s">
        <v>901</v>
      </c>
      <c r="Z132" s="17" t="s">
        <v>35</v>
      </c>
      <c r="AA132" s="17" t="s">
        <v>35</v>
      </c>
      <c r="AB132" s="17" t="s">
        <v>35</v>
      </c>
      <c r="AC132" s="17" t="s">
        <v>9539</v>
      </c>
      <c r="AD132" s="42">
        <v>32.590000000000003</v>
      </c>
      <c r="AE132" s="42">
        <v>34.28</v>
      </c>
      <c r="AF132" s="48"/>
      <c r="AG132" s="44"/>
      <c r="AH132" s="7">
        <f t="shared" ref="AH132:AH195" si="2">AG132*AE132</f>
        <v>0</v>
      </c>
      <c r="AI132" s="18"/>
      <c r="AJ132" s="18"/>
    </row>
    <row r="133" spans="1:38" ht="26.65" customHeight="1" x14ac:dyDescent="0.25">
      <c r="A133" s="10" t="s">
        <v>8899</v>
      </c>
      <c r="B133" s="9" t="s">
        <v>75</v>
      </c>
      <c r="C133" s="9" t="s">
        <v>34</v>
      </c>
      <c r="D133" s="9" t="s">
        <v>67</v>
      </c>
      <c r="E133" s="9" t="s">
        <v>35</v>
      </c>
      <c r="F133" s="9" t="s">
        <v>36</v>
      </c>
      <c r="G133" s="9">
        <v>6</v>
      </c>
      <c r="H133" s="9">
        <v>84212300</v>
      </c>
      <c r="I133" s="11" t="s">
        <v>37</v>
      </c>
      <c r="J133" s="12">
        <v>2.3E-2</v>
      </c>
      <c r="K133" s="12">
        <v>0.108</v>
      </c>
      <c r="L133" s="12">
        <v>5.1999999999999998E-2</v>
      </c>
      <c r="M133" s="13">
        <v>8003453045088</v>
      </c>
      <c r="N133" s="14">
        <v>0</v>
      </c>
      <c r="O133" s="14">
        <v>0</v>
      </c>
      <c r="P133" s="15">
        <v>45352</v>
      </c>
      <c r="Q133" s="16" t="s">
        <v>8900</v>
      </c>
      <c r="R133" s="17" t="s">
        <v>35</v>
      </c>
      <c r="S133" s="17" t="s">
        <v>8901</v>
      </c>
      <c r="T133" s="17" t="s">
        <v>8902</v>
      </c>
      <c r="U133" s="17" t="s">
        <v>35</v>
      </c>
      <c r="V133" s="17" t="s">
        <v>35</v>
      </c>
      <c r="W133" s="17" t="s">
        <v>35</v>
      </c>
      <c r="X133" s="17" t="s">
        <v>35</v>
      </c>
      <c r="Y133" s="17" t="s">
        <v>35</v>
      </c>
      <c r="Z133" s="17" t="s">
        <v>530</v>
      </c>
      <c r="AA133" s="17" t="s">
        <v>35</v>
      </c>
      <c r="AB133" s="17" t="s">
        <v>8903</v>
      </c>
      <c r="AC133" s="17" t="s">
        <v>9539</v>
      </c>
      <c r="AD133" s="42">
        <v>82.9</v>
      </c>
      <c r="AE133" s="42">
        <v>87.21</v>
      </c>
      <c r="AF133" s="48"/>
      <c r="AG133" s="44"/>
      <c r="AH133" s="7">
        <f t="shared" si="2"/>
        <v>0</v>
      </c>
      <c r="AI133" s="18"/>
      <c r="AJ133" s="18"/>
    </row>
    <row r="134" spans="1:38" ht="26.65" customHeight="1" x14ac:dyDescent="0.25">
      <c r="A134" s="10" t="s">
        <v>8611</v>
      </c>
      <c r="B134" s="9" t="s">
        <v>75</v>
      </c>
      <c r="C134" s="9" t="s">
        <v>34</v>
      </c>
      <c r="D134" s="9" t="s">
        <v>67</v>
      </c>
      <c r="E134" s="9" t="s">
        <v>35</v>
      </c>
      <c r="F134" s="9" t="s">
        <v>36</v>
      </c>
      <c r="G134" s="9">
        <v>1</v>
      </c>
      <c r="H134" s="9">
        <v>84212300</v>
      </c>
      <c r="I134" s="11" t="s">
        <v>37</v>
      </c>
      <c r="J134" s="12">
        <v>2.3E-2</v>
      </c>
      <c r="K134" s="12">
        <v>0.108</v>
      </c>
      <c r="L134" s="12">
        <v>5.1999999999999998E-2</v>
      </c>
      <c r="M134" s="13">
        <v>8003453045101</v>
      </c>
      <c r="N134" s="14" t="s">
        <v>35</v>
      </c>
      <c r="O134" s="14" t="s">
        <v>35</v>
      </c>
      <c r="P134" s="15">
        <v>45292</v>
      </c>
      <c r="Q134" s="16" t="s">
        <v>8612</v>
      </c>
      <c r="R134" s="17" t="s">
        <v>35</v>
      </c>
      <c r="S134" s="17" t="s">
        <v>8613</v>
      </c>
      <c r="T134" s="17" t="s">
        <v>8614</v>
      </c>
      <c r="U134" s="17" t="s">
        <v>35</v>
      </c>
      <c r="V134" s="17" t="s">
        <v>35</v>
      </c>
      <c r="W134" s="17" t="s">
        <v>35</v>
      </c>
      <c r="X134" s="17" t="s">
        <v>35</v>
      </c>
      <c r="Y134" s="17" t="s">
        <v>35</v>
      </c>
      <c r="Z134" s="17" t="s">
        <v>8615</v>
      </c>
      <c r="AA134" s="17" t="s">
        <v>35</v>
      </c>
      <c r="AB134" s="17" t="s">
        <v>8616</v>
      </c>
      <c r="AC134" s="17" t="s">
        <v>9539</v>
      </c>
      <c r="AD134" s="42">
        <v>83.87</v>
      </c>
      <c r="AE134" s="42">
        <v>88.23</v>
      </c>
      <c r="AF134" s="48"/>
      <c r="AG134" s="44"/>
      <c r="AH134" s="7">
        <f t="shared" si="2"/>
        <v>0</v>
      </c>
      <c r="AI134" s="18"/>
      <c r="AJ134" s="18"/>
    </row>
    <row r="135" spans="1:38" ht="26.65" customHeight="1" x14ac:dyDescent="0.25">
      <c r="A135" s="10" t="s">
        <v>9984</v>
      </c>
      <c r="B135" s="9" t="s">
        <v>75</v>
      </c>
      <c r="C135" s="9" t="s">
        <v>34</v>
      </c>
      <c r="D135" s="9" t="s">
        <v>48</v>
      </c>
      <c r="E135" s="9" t="s">
        <v>35</v>
      </c>
      <c r="F135" s="9" t="s">
        <v>36</v>
      </c>
      <c r="G135" s="9">
        <v>6</v>
      </c>
      <c r="H135" s="9">
        <v>84212300</v>
      </c>
      <c r="I135" s="11" t="s">
        <v>37</v>
      </c>
      <c r="J135" s="12">
        <v>2.3E-2</v>
      </c>
      <c r="K135" s="12">
        <v>0.108</v>
      </c>
      <c r="L135" s="12">
        <v>5.1999999999999998E-2</v>
      </c>
      <c r="M135" s="13">
        <v>8003453810228</v>
      </c>
      <c r="N135" s="14">
        <v>0</v>
      </c>
      <c r="O135" s="14">
        <v>0</v>
      </c>
      <c r="P135" s="15">
        <v>45566</v>
      </c>
      <c r="Q135" s="16" t="s">
        <v>9985</v>
      </c>
      <c r="R135" s="17" t="s">
        <v>9986</v>
      </c>
      <c r="S135" s="17" t="s">
        <v>35</v>
      </c>
      <c r="T135" s="17" t="s">
        <v>35</v>
      </c>
      <c r="U135" s="17" t="s">
        <v>35</v>
      </c>
      <c r="V135" s="17" t="s">
        <v>35</v>
      </c>
      <c r="W135" s="17" t="s">
        <v>35</v>
      </c>
      <c r="X135" s="17" t="s">
        <v>35</v>
      </c>
      <c r="Y135" s="17" t="s">
        <v>35</v>
      </c>
      <c r="Z135" s="17" t="s">
        <v>9987</v>
      </c>
      <c r="AA135" s="17" t="s">
        <v>35</v>
      </c>
      <c r="AB135" s="17" t="s">
        <v>9988</v>
      </c>
      <c r="AC135" s="17" t="s">
        <v>9539</v>
      </c>
      <c r="AD135" s="41">
        <v>81.08</v>
      </c>
      <c r="AE135" s="41">
        <v>85.3</v>
      </c>
      <c r="AF135" s="48"/>
      <c r="AG135" s="44"/>
      <c r="AH135" s="7">
        <f t="shared" si="2"/>
        <v>0</v>
      </c>
      <c r="AI135" s="18"/>
      <c r="AJ135" s="18"/>
    </row>
    <row r="136" spans="1:38" ht="26.65" customHeight="1" x14ac:dyDescent="0.25">
      <c r="A136" s="10" t="s">
        <v>9795</v>
      </c>
      <c r="B136" s="9" t="s">
        <v>75</v>
      </c>
      <c r="C136" s="9" t="s">
        <v>34</v>
      </c>
      <c r="D136" s="9" t="s">
        <v>9796</v>
      </c>
      <c r="E136" s="9" t="s">
        <v>35</v>
      </c>
      <c r="F136" s="9" t="s">
        <v>36</v>
      </c>
      <c r="G136" s="9">
        <v>6</v>
      </c>
      <c r="H136" s="9">
        <v>84212300</v>
      </c>
      <c r="I136" s="11" t="s">
        <v>37</v>
      </c>
      <c r="J136" s="12">
        <v>2.3E-2</v>
      </c>
      <c r="K136" s="12">
        <v>0.108</v>
      </c>
      <c r="L136" s="12">
        <v>5.1999999999999998E-2</v>
      </c>
      <c r="M136" s="13">
        <v>8003453810785</v>
      </c>
      <c r="N136" s="14">
        <v>0.56000000000000005</v>
      </c>
      <c r="O136" s="14">
        <v>0.65</v>
      </c>
      <c r="P136" s="15">
        <v>45536</v>
      </c>
      <c r="Q136" s="16" t="s">
        <v>9797</v>
      </c>
      <c r="R136" s="17" t="s">
        <v>9798</v>
      </c>
      <c r="S136" s="17" t="s">
        <v>9799</v>
      </c>
      <c r="T136" s="17" t="s">
        <v>9800</v>
      </c>
      <c r="U136" s="17" t="s">
        <v>9801</v>
      </c>
      <c r="V136" s="17" t="s">
        <v>9802</v>
      </c>
      <c r="W136" s="17" t="s">
        <v>9803</v>
      </c>
      <c r="X136" s="17" t="s">
        <v>9804</v>
      </c>
      <c r="Y136" s="17" t="s">
        <v>9805</v>
      </c>
      <c r="Z136" s="17" t="s">
        <v>9806</v>
      </c>
      <c r="AA136" s="17" t="s">
        <v>9807</v>
      </c>
      <c r="AB136" s="17" t="s">
        <v>9808</v>
      </c>
      <c r="AC136" s="17" t="s">
        <v>9539</v>
      </c>
      <c r="AD136" s="41">
        <v>22.26</v>
      </c>
      <c r="AE136" s="41">
        <v>23.42</v>
      </c>
      <c r="AF136" s="48"/>
      <c r="AG136" s="44"/>
      <c r="AH136" s="7">
        <f t="shared" si="2"/>
        <v>0</v>
      </c>
      <c r="AI136" s="18"/>
      <c r="AJ136" s="18"/>
    </row>
    <row r="137" spans="1:38" ht="26.65" customHeight="1" x14ac:dyDescent="0.25">
      <c r="A137" s="10" t="s">
        <v>9809</v>
      </c>
      <c r="B137" s="9" t="s">
        <v>75</v>
      </c>
      <c r="C137" s="9" t="s">
        <v>34</v>
      </c>
      <c r="D137" s="9" t="s">
        <v>67</v>
      </c>
      <c r="E137" s="9" t="s">
        <v>35</v>
      </c>
      <c r="F137" s="9" t="s">
        <v>36</v>
      </c>
      <c r="G137" s="9">
        <v>6</v>
      </c>
      <c r="H137" s="9">
        <v>84212300</v>
      </c>
      <c r="I137" s="11" t="s">
        <v>37</v>
      </c>
      <c r="J137" s="12">
        <v>2.3E-2</v>
      </c>
      <c r="K137" s="12">
        <v>0.108</v>
      </c>
      <c r="L137" s="12">
        <v>5.1999999999999998E-2</v>
      </c>
      <c r="M137" s="13">
        <v>8003453810976</v>
      </c>
      <c r="N137" s="14">
        <v>1.3149999999999999</v>
      </c>
      <c r="O137" s="14">
        <v>1.429</v>
      </c>
      <c r="P137" s="15">
        <v>45536</v>
      </c>
      <c r="Q137" s="16" t="s">
        <v>9810</v>
      </c>
      <c r="R137" s="17" t="s">
        <v>9811</v>
      </c>
      <c r="S137" s="17" t="s">
        <v>9812</v>
      </c>
      <c r="T137" s="17" t="s">
        <v>35</v>
      </c>
      <c r="U137" s="17" t="s">
        <v>35</v>
      </c>
      <c r="V137" s="17" t="s">
        <v>35</v>
      </c>
      <c r="W137" s="17" t="s">
        <v>35</v>
      </c>
      <c r="X137" s="17" t="s">
        <v>35</v>
      </c>
      <c r="Y137" s="17" t="s">
        <v>9813</v>
      </c>
      <c r="Z137" s="17" t="s">
        <v>9814</v>
      </c>
      <c r="AA137" s="17" t="s">
        <v>35</v>
      </c>
      <c r="AB137" s="17" t="s">
        <v>9815</v>
      </c>
      <c r="AC137" s="17" t="s">
        <v>9539</v>
      </c>
      <c r="AD137" s="41">
        <v>66.08</v>
      </c>
      <c r="AE137" s="41">
        <v>69.52</v>
      </c>
      <c r="AF137" s="48"/>
      <c r="AG137" s="44"/>
      <c r="AH137" s="7">
        <f t="shared" si="2"/>
        <v>0</v>
      </c>
      <c r="AI137" s="18"/>
      <c r="AJ137" s="18"/>
    </row>
    <row r="138" spans="1:38" ht="26.65" customHeight="1" x14ac:dyDescent="0.25">
      <c r="A138" s="10" t="s">
        <v>902</v>
      </c>
      <c r="B138" s="9" t="s">
        <v>903</v>
      </c>
      <c r="C138" s="9" t="s">
        <v>43</v>
      </c>
      <c r="D138" s="9" t="s">
        <v>904</v>
      </c>
      <c r="E138" s="9" t="s">
        <v>35</v>
      </c>
      <c r="F138" s="9" t="s">
        <v>36</v>
      </c>
      <c r="G138" s="9">
        <v>6</v>
      </c>
      <c r="H138" s="9">
        <v>84212300</v>
      </c>
      <c r="I138" s="11" t="s">
        <v>37</v>
      </c>
      <c r="J138" s="12">
        <v>2.3E-2</v>
      </c>
      <c r="K138" s="12">
        <v>0.108</v>
      </c>
      <c r="L138" s="12">
        <v>5.1999999999999998E-2</v>
      </c>
      <c r="M138" s="13">
        <v>8003453061422</v>
      </c>
      <c r="N138" s="14">
        <v>0.32200000000000001</v>
      </c>
      <c r="O138" s="14">
        <v>0.32800000000000001</v>
      </c>
      <c r="P138" s="15" t="s">
        <v>35</v>
      </c>
      <c r="Q138" s="16" t="s">
        <v>905</v>
      </c>
      <c r="R138" s="17" t="s">
        <v>35</v>
      </c>
      <c r="S138" s="17" t="s">
        <v>906</v>
      </c>
      <c r="T138" s="17" t="s">
        <v>907</v>
      </c>
      <c r="U138" s="17" t="s">
        <v>908</v>
      </c>
      <c r="V138" s="17" t="s">
        <v>909</v>
      </c>
      <c r="W138" s="17" t="s">
        <v>910</v>
      </c>
      <c r="X138" s="17" t="s">
        <v>911</v>
      </c>
      <c r="Y138" s="17" t="s">
        <v>912</v>
      </c>
      <c r="Z138" s="17" t="s">
        <v>35</v>
      </c>
      <c r="AA138" s="17" t="s">
        <v>35</v>
      </c>
      <c r="AB138" s="17" t="s">
        <v>35</v>
      </c>
      <c r="AC138" s="17" t="s">
        <v>9539</v>
      </c>
      <c r="AD138" s="42">
        <v>47.2</v>
      </c>
      <c r="AE138" s="42">
        <v>49.65</v>
      </c>
      <c r="AF138" s="48"/>
      <c r="AG138" s="44"/>
      <c r="AH138" s="7">
        <f t="shared" si="2"/>
        <v>0</v>
      </c>
      <c r="AI138" s="18"/>
      <c r="AJ138" s="18"/>
    </row>
    <row r="139" spans="1:38" ht="26.65" customHeight="1" x14ac:dyDescent="0.25">
      <c r="A139" s="10" t="s">
        <v>913</v>
      </c>
      <c r="B139" s="9" t="s">
        <v>903</v>
      </c>
      <c r="C139" s="9" t="s">
        <v>34</v>
      </c>
      <c r="D139" s="9" t="s">
        <v>904</v>
      </c>
      <c r="E139" s="9" t="s">
        <v>122</v>
      </c>
      <c r="F139" s="9" t="s">
        <v>36</v>
      </c>
      <c r="G139" s="9">
        <v>6</v>
      </c>
      <c r="H139" s="9">
        <v>84212300</v>
      </c>
      <c r="I139" s="11" t="s">
        <v>37</v>
      </c>
      <c r="J139" s="12">
        <v>2.3E-2</v>
      </c>
      <c r="K139" s="12">
        <v>0.108</v>
      </c>
      <c r="L139" s="12">
        <v>5.1999999999999998E-2</v>
      </c>
      <c r="M139" s="13">
        <v>8003453062733</v>
      </c>
      <c r="N139" s="14">
        <v>0.92800000000000005</v>
      </c>
      <c r="O139" s="14">
        <v>1.0029999999999999</v>
      </c>
      <c r="P139" s="15" t="s">
        <v>35</v>
      </c>
      <c r="Q139" s="16" t="s">
        <v>914</v>
      </c>
      <c r="R139" s="17" t="s">
        <v>915</v>
      </c>
      <c r="S139" s="17" t="s">
        <v>916</v>
      </c>
      <c r="T139" s="17" t="s">
        <v>35</v>
      </c>
      <c r="U139" s="17" t="s">
        <v>35</v>
      </c>
      <c r="V139" s="17" t="s">
        <v>917</v>
      </c>
      <c r="W139" s="17" t="s">
        <v>35</v>
      </c>
      <c r="X139" s="17" t="s">
        <v>35</v>
      </c>
      <c r="Y139" s="17" t="s">
        <v>918</v>
      </c>
      <c r="Z139" s="17" t="s">
        <v>919</v>
      </c>
      <c r="AA139" s="17" t="s">
        <v>35</v>
      </c>
      <c r="AB139" s="17" t="s">
        <v>35</v>
      </c>
      <c r="AC139" s="17" t="s">
        <v>9539</v>
      </c>
      <c r="AD139" s="41">
        <v>56.72</v>
      </c>
      <c r="AE139" s="41">
        <v>59.67</v>
      </c>
      <c r="AF139" s="48"/>
      <c r="AG139" s="44"/>
      <c r="AH139" s="7">
        <f t="shared" si="2"/>
        <v>0</v>
      </c>
      <c r="AI139" s="18"/>
      <c r="AJ139" s="18"/>
      <c r="AL139" s="18"/>
    </row>
    <row r="140" spans="1:38" ht="26.65" customHeight="1" x14ac:dyDescent="0.25">
      <c r="A140" s="10" t="s">
        <v>9087</v>
      </c>
      <c r="B140" s="9" t="s">
        <v>903</v>
      </c>
      <c r="C140" s="9" t="s">
        <v>58</v>
      </c>
      <c r="D140" s="9" t="s">
        <v>904</v>
      </c>
      <c r="E140" s="9" t="s">
        <v>35</v>
      </c>
      <c r="F140" s="9" t="s">
        <v>36</v>
      </c>
      <c r="G140" s="9">
        <v>6</v>
      </c>
      <c r="H140" s="9">
        <v>84212300</v>
      </c>
      <c r="I140" s="11" t="s">
        <v>37</v>
      </c>
      <c r="J140" s="12">
        <v>2.3E-2</v>
      </c>
      <c r="K140" s="12">
        <v>0.108</v>
      </c>
      <c r="L140" s="12">
        <v>5.1999999999999998E-2</v>
      </c>
      <c r="M140" s="13" t="s">
        <v>35</v>
      </c>
      <c r="N140" s="14">
        <v>0.625</v>
      </c>
      <c r="O140" s="14">
        <v>0.69</v>
      </c>
      <c r="P140" s="15">
        <v>45383</v>
      </c>
      <c r="Q140" s="16" t="s">
        <v>238</v>
      </c>
      <c r="R140" s="17" t="s">
        <v>35</v>
      </c>
      <c r="S140" s="17" t="s">
        <v>9088</v>
      </c>
      <c r="T140" s="17" t="s">
        <v>9089</v>
      </c>
      <c r="U140" s="17" t="s">
        <v>9090</v>
      </c>
      <c r="V140" s="17" t="s">
        <v>9091</v>
      </c>
      <c r="W140" s="17" t="s">
        <v>9092</v>
      </c>
      <c r="X140" s="17" t="s">
        <v>9093</v>
      </c>
      <c r="Y140" s="17" t="s">
        <v>9094</v>
      </c>
      <c r="Z140" s="17" t="s">
        <v>9095</v>
      </c>
      <c r="AA140" s="17" t="s">
        <v>35</v>
      </c>
      <c r="AB140" s="17" t="s">
        <v>9096</v>
      </c>
      <c r="AC140" s="17" t="s">
        <v>9539</v>
      </c>
      <c r="AD140" s="42">
        <v>26.16</v>
      </c>
      <c r="AE140" s="42">
        <v>27.52</v>
      </c>
      <c r="AF140" s="48"/>
      <c r="AG140" s="44"/>
      <c r="AH140" s="7">
        <f t="shared" si="2"/>
        <v>0</v>
      </c>
      <c r="AI140" s="18"/>
      <c r="AJ140" s="18"/>
    </row>
    <row r="141" spans="1:38" ht="26.65" customHeight="1" x14ac:dyDescent="0.25">
      <c r="A141" s="10" t="s">
        <v>920</v>
      </c>
      <c r="B141" s="9" t="s">
        <v>903</v>
      </c>
      <c r="C141" s="9" t="s">
        <v>34</v>
      </c>
      <c r="D141" s="9" t="s">
        <v>904</v>
      </c>
      <c r="E141" s="9" t="s">
        <v>122</v>
      </c>
      <c r="F141" s="9" t="s">
        <v>36</v>
      </c>
      <c r="G141" s="9">
        <v>6</v>
      </c>
      <c r="H141" s="9">
        <v>84212300</v>
      </c>
      <c r="I141" s="11" t="s">
        <v>37</v>
      </c>
      <c r="J141" s="12">
        <v>2.3E-2</v>
      </c>
      <c r="K141" s="12">
        <v>0.108</v>
      </c>
      <c r="L141" s="12">
        <v>5.1999999999999998E-2</v>
      </c>
      <c r="M141" s="13">
        <v>8003453061712</v>
      </c>
      <c r="N141" s="14">
        <v>0.51900000000000002</v>
      </c>
      <c r="O141" s="14">
        <v>0.54900000000000004</v>
      </c>
      <c r="P141" s="15" t="s">
        <v>35</v>
      </c>
      <c r="Q141" s="16" t="s">
        <v>921</v>
      </c>
      <c r="R141" s="17" t="s">
        <v>922</v>
      </c>
      <c r="S141" s="17" t="s">
        <v>923</v>
      </c>
      <c r="T141" s="17" t="s">
        <v>924</v>
      </c>
      <c r="U141" s="17" t="s">
        <v>35</v>
      </c>
      <c r="V141" s="17" t="s">
        <v>35</v>
      </c>
      <c r="W141" s="17" t="s">
        <v>35</v>
      </c>
      <c r="X141" s="17" t="s">
        <v>35</v>
      </c>
      <c r="Y141" s="17" t="s">
        <v>35</v>
      </c>
      <c r="Z141" s="17" t="s">
        <v>35</v>
      </c>
      <c r="AA141" s="17" t="s">
        <v>35</v>
      </c>
      <c r="AB141" s="17" t="s">
        <v>35</v>
      </c>
      <c r="AC141" s="17" t="s">
        <v>9539</v>
      </c>
      <c r="AD141" s="41">
        <v>61.98</v>
      </c>
      <c r="AE141" s="41">
        <v>65.2</v>
      </c>
      <c r="AF141" s="48"/>
      <c r="AG141" s="44"/>
      <c r="AH141" s="7">
        <f t="shared" si="2"/>
        <v>0</v>
      </c>
      <c r="AI141" s="18"/>
      <c r="AJ141" s="18"/>
    </row>
    <row r="142" spans="1:38" ht="26.65" customHeight="1" x14ac:dyDescent="0.25">
      <c r="A142" s="10" t="s">
        <v>925</v>
      </c>
      <c r="B142" s="9" t="s">
        <v>903</v>
      </c>
      <c r="C142" s="9" t="s">
        <v>34</v>
      </c>
      <c r="D142" s="9" t="s">
        <v>59</v>
      </c>
      <c r="E142" s="9" t="s">
        <v>122</v>
      </c>
      <c r="F142" s="9" t="s">
        <v>36</v>
      </c>
      <c r="G142" s="9">
        <v>6</v>
      </c>
      <c r="H142" s="9">
        <v>84212300</v>
      </c>
      <c r="I142" s="11" t="s">
        <v>37</v>
      </c>
      <c r="J142" s="12">
        <v>2.3E-2</v>
      </c>
      <c r="K142" s="12">
        <v>0.108</v>
      </c>
      <c r="L142" s="12">
        <v>5.1999999999999998E-2</v>
      </c>
      <c r="M142" s="13">
        <v>8003453061927</v>
      </c>
      <c r="N142" s="14">
        <v>0.51100000000000001</v>
      </c>
      <c r="O142" s="14">
        <v>0.54400000000000004</v>
      </c>
      <c r="P142" s="15">
        <v>45231</v>
      </c>
      <c r="Q142" s="16" t="s">
        <v>926</v>
      </c>
      <c r="R142" s="17" t="s">
        <v>927</v>
      </c>
      <c r="S142" s="17" t="s">
        <v>928</v>
      </c>
      <c r="T142" s="17" t="s">
        <v>929</v>
      </c>
      <c r="U142" s="17" t="s">
        <v>35</v>
      </c>
      <c r="V142" s="17" t="s">
        <v>35</v>
      </c>
      <c r="W142" s="17" t="s">
        <v>35</v>
      </c>
      <c r="X142" s="17" t="s">
        <v>35</v>
      </c>
      <c r="Y142" s="17" t="s">
        <v>35</v>
      </c>
      <c r="Z142" s="17" t="s">
        <v>930</v>
      </c>
      <c r="AA142" s="17" t="s">
        <v>35</v>
      </c>
      <c r="AB142" s="17" t="s">
        <v>931</v>
      </c>
      <c r="AC142" s="17" t="s">
        <v>9539</v>
      </c>
      <c r="AD142" s="42">
        <v>64</v>
      </c>
      <c r="AE142" s="42">
        <v>67.33</v>
      </c>
      <c r="AF142" s="48"/>
      <c r="AG142" s="44"/>
      <c r="AH142" s="7">
        <f t="shared" si="2"/>
        <v>0</v>
      </c>
      <c r="AI142" s="18"/>
      <c r="AJ142" s="18"/>
    </row>
    <row r="143" spans="1:38" ht="26.65" customHeight="1" x14ac:dyDescent="0.25">
      <c r="A143" s="10" t="s">
        <v>9989</v>
      </c>
      <c r="B143" s="9" t="s">
        <v>903</v>
      </c>
      <c r="C143" s="9" t="s">
        <v>58</v>
      </c>
      <c r="D143" s="9" t="s">
        <v>59</v>
      </c>
      <c r="E143" s="9" t="s">
        <v>35</v>
      </c>
      <c r="F143" s="9" t="s">
        <v>36</v>
      </c>
      <c r="G143" s="9">
        <v>6</v>
      </c>
      <c r="H143" s="9">
        <v>84212300</v>
      </c>
      <c r="I143" s="11" t="s">
        <v>37</v>
      </c>
      <c r="J143" s="12">
        <v>2.3E-2</v>
      </c>
      <c r="K143" s="12">
        <v>0.108</v>
      </c>
      <c r="L143" s="12">
        <v>5.1999999999999998E-2</v>
      </c>
      <c r="M143" s="13">
        <v>8003453809802</v>
      </c>
      <c r="N143" s="14">
        <v>0</v>
      </c>
      <c r="O143" s="14">
        <v>0</v>
      </c>
      <c r="P143" s="15">
        <v>45566</v>
      </c>
      <c r="Q143" s="16" t="s">
        <v>9990</v>
      </c>
      <c r="R143" s="17" t="s">
        <v>9991</v>
      </c>
      <c r="S143" s="17" t="s">
        <v>9992</v>
      </c>
      <c r="T143" s="17" t="s">
        <v>9993</v>
      </c>
      <c r="U143" s="17" t="s">
        <v>9994</v>
      </c>
      <c r="V143" s="17" t="s">
        <v>35</v>
      </c>
      <c r="W143" s="17" t="s">
        <v>35</v>
      </c>
      <c r="X143" s="17" t="s">
        <v>9995</v>
      </c>
      <c r="Y143" s="17" t="s">
        <v>35</v>
      </c>
      <c r="Z143" s="17" t="s">
        <v>9996</v>
      </c>
      <c r="AA143" s="17" t="s">
        <v>35</v>
      </c>
      <c r="AB143" s="17" t="s">
        <v>9997</v>
      </c>
      <c r="AC143" s="17" t="s">
        <v>9539</v>
      </c>
      <c r="AD143" s="41">
        <v>42.64</v>
      </c>
      <c r="AE143" s="41">
        <v>44.86</v>
      </c>
      <c r="AF143" s="48"/>
      <c r="AG143" s="44"/>
      <c r="AH143" s="7">
        <f t="shared" si="2"/>
        <v>0</v>
      </c>
      <c r="AI143" s="18"/>
      <c r="AJ143" s="18"/>
    </row>
    <row r="144" spans="1:38" ht="26.65" customHeight="1" x14ac:dyDescent="0.25">
      <c r="A144" s="10" t="s">
        <v>9998</v>
      </c>
      <c r="B144" s="9" t="s">
        <v>903</v>
      </c>
      <c r="C144" s="9" t="s">
        <v>34</v>
      </c>
      <c r="D144" s="9" t="s">
        <v>59</v>
      </c>
      <c r="E144" s="9" t="s">
        <v>35</v>
      </c>
      <c r="F144" s="9" t="s">
        <v>36</v>
      </c>
      <c r="G144" s="9">
        <v>6</v>
      </c>
      <c r="H144" s="9">
        <v>84212300</v>
      </c>
      <c r="I144" s="11" t="s">
        <v>37</v>
      </c>
      <c r="J144" s="12">
        <v>2.3E-2</v>
      </c>
      <c r="K144" s="12">
        <v>0.108</v>
      </c>
      <c r="L144" s="12">
        <v>5.1999999999999998E-2</v>
      </c>
      <c r="M144" s="13">
        <v>8003453801547</v>
      </c>
      <c r="N144" s="14">
        <v>0</v>
      </c>
      <c r="O144" s="14">
        <v>0</v>
      </c>
      <c r="P144" s="15">
        <v>45566</v>
      </c>
      <c r="Q144" s="16" t="s">
        <v>9999</v>
      </c>
      <c r="R144" s="17">
        <v>6732716111</v>
      </c>
      <c r="S144" s="17" t="s">
        <v>10000</v>
      </c>
      <c r="T144" s="17" t="s">
        <v>35</v>
      </c>
      <c r="U144" s="17" t="s">
        <v>35</v>
      </c>
      <c r="V144" s="17" t="s">
        <v>35</v>
      </c>
      <c r="W144" s="17" t="s">
        <v>35</v>
      </c>
      <c r="X144" s="17" t="s">
        <v>35</v>
      </c>
      <c r="Y144" s="17" t="s">
        <v>1255</v>
      </c>
      <c r="Z144" s="17" t="s">
        <v>10001</v>
      </c>
      <c r="AA144" s="17" t="s">
        <v>35</v>
      </c>
      <c r="AB144" s="17" t="s">
        <v>10002</v>
      </c>
      <c r="AC144" s="17" t="s">
        <v>9539</v>
      </c>
      <c r="AD144" s="41">
        <v>18.04</v>
      </c>
      <c r="AE144" s="41">
        <v>18.98</v>
      </c>
      <c r="AF144" s="48"/>
      <c r="AG144" s="44"/>
      <c r="AH144" s="7">
        <f t="shared" si="2"/>
        <v>0</v>
      </c>
      <c r="AI144" s="18"/>
      <c r="AJ144" s="18"/>
    </row>
    <row r="145" spans="1:38" ht="26.65" customHeight="1" x14ac:dyDescent="0.25">
      <c r="A145" s="10" t="s">
        <v>932</v>
      </c>
      <c r="B145" s="9" t="s">
        <v>903</v>
      </c>
      <c r="C145" s="9" t="s">
        <v>34</v>
      </c>
      <c r="D145" s="9" t="s">
        <v>904</v>
      </c>
      <c r="E145" s="9" t="s">
        <v>35</v>
      </c>
      <c r="F145" s="9" t="s">
        <v>36</v>
      </c>
      <c r="G145" s="9">
        <v>6</v>
      </c>
      <c r="H145" s="9">
        <v>84212300</v>
      </c>
      <c r="I145" s="11" t="s">
        <v>37</v>
      </c>
      <c r="J145" s="12">
        <v>2.3E-2</v>
      </c>
      <c r="K145" s="12">
        <v>0.108</v>
      </c>
      <c r="L145" s="12">
        <v>5.1999999999999998E-2</v>
      </c>
      <c r="M145" s="13">
        <v>8003453062498</v>
      </c>
      <c r="N145" s="14">
        <v>0.61299999999999999</v>
      </c>
      <c r="O145" s="14">
        <v>0.68200000000000005</v>
      </c>
      <c r="P145" s="15">
        <v>45170</v>
      </c>
      <c r="Q145" s="16" t="s">
        <v>933</v>
      </c>
      <c r="R145" s="17" t="s">
        <v>934</v>
      </c>
      <c r="S145" s="17" t="s">
        <v>935</v>
      </c>
      <c r="T145" s="17" t="s">
        <v>936</v>
      </c>
      <c r="U145" s="17" t="s">
        <v>937</v>
      </c>
      <c r="V145" s="17" t="s">
        <v>938</v>
      </c>
      <c r="W145" s="17" t="s">
        <v>35</v>
      </c>
      <c r="X145" s="17" t="s">
        <v>35</v>
      </c>
      <c r="Y145" s="17" t="s">
        <v>939</v>
      </c>
      <c r="Z145" s="17" t="s">
        <v>35</v>
      </c>
      <c r="AA145" s="17" t="s">
        <v>35</v>
      </c>
      <c r="AB145" s="17" t="s">
        <v>35</v>
      </c>
      <c r="AC145" s="17" t="s">
        <v>9539</v>
      </c>
      <c r="AD145" s="42">
        <v>29.39</v>
      </c>
      <c r="AE145" s="42">
        <v>30.92</v>
      </c>
      <c r="AF145" s="48"/>
      <c r="AG145" s="44"/>
      <c r="AH145" s="7">
        <f t="shared" si="2"/>
        <v>0</v>
      </c>
      <c r="AI145" s="18"/>
      <c r="AJ145" s="18"/>
    </row>
    <row r="146" spans="1:38" ht="26.65" customHeight="1" x14ac:dyDescent="0.25">
      <c r="A146" s="10" t="s">
        <v>10003</v>
      </c>
      <c r="B146" s="9" t="s">
        <v>903</v>
      </c>
      <c r="C146" s="9" t="s">
        <v>34</v>
      </c>
      <c r="D146" s="9" t="s">
        <v>59</v>
      </c>
      <c r="E146" s="9" t="s">
        <v>35</v>
      </c>
      <c r="F146" s="9" t="s">
        <v>36</v>
      </c>
      <c r="G146" s="9">
        <v>6</v>
      </c>
      <c r="H146" s="9">
        <v>84212300</v>
      </c>
      <c r="I146" s="11" t="s">
        <v>37</v>
      </c>
      <c r="J146" s="12">
        <v>2.3E-2</v>
      </c>
      <c r="K146" s="12">
        <v>0.108</v>
      </c>
      <c r="L146" s="12">
        <v>5.1999999999999998E-2</v>
      </c>
      <c r="M146" s="13">
        <v>8003453804289</v>
      </c>
      <c r="N146" s="14">
        <v>0</v>
      </c>
      <c r="O146" s="14">
        <v>0</v>
      </c>
      <c r="P146" s="15">
        <v>45566</v>
      </c>
      <c r="Q146" s="16" t="s">
        <v>10004</v>
      </c>
      <c r="R146" s="17">
        <v>612630080088</v>
      </c>
      <c r="S146" s="17" t="s">
        <v>10005</v>
      </c>
      <c r="T146" s="17" t="s">
        <v>35</v>
      </c>
      <c r="U146" s="17" t="s">
        <v>35</v>
      </c>
      <c r="V146" s="17" t="s">
        <v>35</v>
      </c>
      <c r="W146" s="17" t="s">
        <v>35</v>
      </c>
      <c r="X146" s="17" t="s">
        <v>35</v>
      </c>
      <c r="Y146" s="17" t="s">
        <v>1050</v>
      </c>
      <c r="Z146" s="17" t="s">
        <v>35</v>
      </c>
      <c r="AA146" s="17" t="s">
        <v>35</v>
      </c>
      <c r="AB146" s="17" t="s">
        <v>10006</v>
      </c>
      <c r="AC146" s="17" t="s">
        <v>9539</v>
      </c>
      <c r="AD146" s="41">
        <v>64.03</v>
      </c>
      <c r="AE146" s="41">
        <v>67.36</v>
      </c>
      <c r="AF146" s="48"/>
      <c r="AG146" s="44"/>
      <c r="AH146" s="7">
        <f t="shared" si="2"/>
        <v>0</v>
      </c>
      <c r="AI146" s="18"/>
      <c r="AJ146" s="18"/>
    </row>
    <row r="147" spans="1:38" ht="26.65" customHeight="1" x14ac:dyDescent="0.25">
      <c r="A147" s="10" t="s">
        <v>940</v>
      </c>
      <c r="B147" s="9" t="s">
        <v>903</v>
      </c>
      <c r="C147" s="9" t="s">
        <v>58</v>
      </c>
      <c r="D147" s="9" t="s">
        <v>904</v>
      </c>
      <c r="E147" s="9" t="s">
        <v>35</v>
      </c>
      <c r="F147" s="9" t="s">
        <v>36</v>
      </c>
      <c r="G147" s="9">
        <v>6</v>
      </c>
      <c r="H147" s="9">
        <v>84212300</v>
      </c>
      <c r="I147" s="11" t="s">
        <v>37</v>
      </c>
      <c r="J147" s="12">
        <v>2.3E-2</v>
      </c>
      <c r="K147" s="12">
        <v>0.108</v>
      </c>
      <c r="L147" s="12">
        <v>5.1999999999999998E-2</v>
      </c>
      <c r="M147" s="13">
        <v>8003453062658</v>
      </c>
      <c r="N147" s="14">
        <v>0.86699999999999999</v>
      </c>
      <c r="O147" s="14">
        <v>0.97299999999999998</v>
      </c>
      <c r="P147" s="15" t="s">
        <v>35</v>
      </c>
      <c r="Q147" s="16" t="s">
        <v>941</v>
      </c>
      <c r="R147" s="17" t="s">
        <v>942</v>
      </c>
      <c r="S147" s="17" t="s">
        <v>943</v>
      </c>
      <c r="T147" s="17" t="s">
        <v>944</v>
      </c>
      <c r="U147" s="17" t="s">
        <v>945</v>
      </c>
      <c r="V147" s="17" t="s">
        <v>35</v>
      </c>
      <c r="W147" s="17" t="s">
        <v>35</v>
      </c>
      <c r="X147" s="17" t="s">
        <v>946</v>
      </c>
      <c r="Y147" s="17" t="s">
        <v>35</v>
      </c>
      <c r="Z147" s="17" t="s">
        <v>35</v>
      </c>
      <c r="AA147" s="17" t="s">
        <v>35</v>
      </c>
      <c r="AB147" s="17" t="s">
        <v>35</v>
      </c>
      <c r="AC147" s="17" t="s">
        <v>9539</v>
      </c>
      <c r="AD147" s="42">
        <v>103.8</v>
      </c>
      <c r="AE147" s="42">
        <v>109.2</v>
      </c>
      <c r="AF147" s="48"/>
      <c r="AG147" s="44"/>
      <c r="AH147" s="7">
        <f t="shared" si="2"/>
        <v>0</v>
      </c>
      <c r="AI147" s="18"/>
      <c r="AJ147" s="18"/>
    </row>
    <row r="148" spans="1:38" ht="26.65" customHeight="1" x14ac:dyDescent="0.25">
      <c r="A148" s="10" t="s">
        <v>947</v>
      </c>
      <c r="B148" s="9" t="s">
        <v>903</v>
      </c>
      <c r="C148" s="9" t="s">
        <v>43</v>
      </c>
      <c r="D148" s="9" t="s">
        <v>904</v>
      </c>
      <c r="E148" s="9" t="s">
        <v>35</v>
      </c>
      <c r="F148" s="9" t="s">
        <v>36</v>
      </c>
      <c r="G148" s="9">
        <v>6</v>
      </c>
      <c r="H148" s="9">
        <v>84212300</v>
      </c>
      <c r="I148" s="11" t="s">
        <v>37</v>
      </c>
      <c r="J148" s="12">
        <v>2.3E-2</v>
      </c>
      <c r="K148" s="12">
        <v>0.108</v>
      </c>
      <c r="L148" s="12">
        <v>5.1999999999999998E-2</v>
      </c>
      <c r="M148" s="13">
        <v>8003453062061</v>
      </c>
      <c r="N148" s="14">
        <v>0.33</v>
      </c>
      <c r="O148" s="14">
        <v>0.372</v>
      </c>
      <c r="P148" s="15" t="s">
        <v>35</v>
      </c>
      <c r="Q148" s="16" t="s">
        <v>948</v>
      </c>
      <c r="R148" s="17" t="s">
        <v>35</v>
      </c>
      <c r="S148" s="17" t="s">
        <v>949</v>
      </c>
      <c r="T148" s="17" t="s">
        <v>950</v>
      </c>
      <c r="U148" s="17" t="s">
        <v>951</v>
      </c>
      <c r="V148" s="17" t="s">
        <v>35</v>
      </c>
      <c r="W148" s="17" t="s">
        <v>35</v>
      </c>
      <c r="X148" s="17" t="s">
        <v>952</v>
      </c>
      <c r="Y148" s="17" t="s">
        <v>953</v>
      </c>
      <c r="Z148" s="17" t="s">
        <v>35</v>
      </c>
      <c r="AA148" s="17" t="s">
        <v>35</v>
      </c>
      <c r="AB148" s="17" t="s">
        <v>35</v>
      </c>
      <c r="AC148" s="17" t="s">
        <v>9539</v>
      </c>
      <c r="AD148" s="42">
        <v>65.459999999999994</v>
      </c>
      <c r="AE148" s="42">
        <v>68.86</v>
      </c>
      <c r="AF148" s="48"/>
      <c r="AG148" s="44"/>
      <c r="AH148" s="7">
        <f t="shared" si="2"/>
        <v>0</v>
      </c>
      <c r="AI148" s="18"/>
      <c r="AJ148" s="18"/>
    </row>
    <row r="149" spans="1:38" ht="26.65" customHeight="1" x14ac:dyDescent="0.25">
      <c r="A149" s="10" t="s">
        <v>954</v>
      </c>
      <c r="B149" s="9" t="s">
        <v>903</v>
      </c>
      <c r="C149" s="9" t="s">
        <v>43</v>
      </c>
      <c r="D149" s="9" t="s">
        <v>904</v>
      </c>
      <c r="E149" s="9" t="s">
        <v>35</v>
      </c>
      <c r="F149" s="9" t="s">
        <v>36</v>
      </c>
      <c r="G149" s="9">
        <v>6</v>
      </c>
      <c r="H149" s="9">
        <v>84212300</v>
      </c>
      <c r="I149" s="11" t="s">
        <v>37</v>
      </c>
      <c r="J149" s="12">
        <v>2.3E-2</v>
      </c>
      <c r="K149" s="12">
        <v>0.108</v>
      </c>
      <c r="L149" s="12">
        <v>5.1999999999999998E-2</v>
      </c>
      <c r="M149" s="13">
        <v>8003453062092</v>
      </c>
      <c r="N149" s="14">
        <v>0.33</v>
      </c>
      <c r="O149" s="14">
        <v>0.36499999999999999</v>
      </c>
      <c r="P149" s="15" t="s">
        <v>35</v>
      </c>
      <c r="Q149" s="16" t="s">
        <v>955</v>
      </c>
      <c r="R149" s="17" t="s">
        <v>35</v>
      </c>
      <c r="S149" s="17" t="s">
        <v>956</v>
      </c>
      <c r="T149" s="17" t="s">
        <v>957</v>
      </c>
      <c r="U149" s="17" t="s">
        <v>35</v>
      </c>
      <c r="V149" s="17" t="s">
        <v>35</v>
      </c>
      <c r="W149" s="17" t="s">
        <v>35</v>
      </c>
      <c r="X149" s="17" t="s">
        <v>35</v>
      </c>
      <c r="Y149" s="17" t="s">
        <v>958</v>
      </c>
      <c r="Z149" s="17" t="s">
        <v>959</v>
      </c>
      <c r="AA149" s="17" t="s">
        <v>35</v>
      </c>
      <c r="AB149" s="17" t="s">
        <v>35</v>
      </c>
      <c r="AC149" s="17" t="s">
        <v>9539</v>
      </c>
      <c r="AD149" s="41">
        <v>126.09</v>
      </c>
      <c r="AE149" s="41">
        <v>132.65</v>
      </c>
      <c r="AF149" s="48"/>
      <c r="AG149" s="44"/>
      <c r="AH149" s="7">
        <f t="shared" si="2"/>
        <v>0</v>
      </c>
      <c r="AI149" s="18"/>
      <c r="AJ149" s="18"/>
      <c r="AL149" s="18"/>
    </row>
    <row r="150" spans="1:38" ht="26.65" customHeight="1" x14ac:dyDescent="0.25">
      <c r="A150" s="10" t="s">
        <v>960</v>
      </c>
      <c r="B150" s="9" t="s">
        <v>903</v>
      </c>
      <c r="C150" s="9" t="s">
        <v>58</v>
      </c>
      <c r="D150" s="9" t="s">
        <v>59</v>
      </c>
      <c r="E150" s="9" t="s">
        <v>35</v>
      </c>
      <c r="F150" s="9" t="s">
        <v>36</v>
      </c>
      <c r="G150" s="9">
        <v>6</v>
      </c>
      <c r="H150" s="9">
        <v>84212300</v>
      </c>
      <c r="I150" s="11" t="s">
        <v>37</v>
      </c>
      <c r="J150" s="12">
        <v>2.3E-2</v>
      </c>
      <c r="K150" s="12">
        <v>0.108</v>
      </c>
      <c r="L150" s="12">
        <v>5.1999999999999998E-2</v>
      </c>
      <c r="M150" s="13">
        <v>8003453062108</v>
      </c>
      <c r="N150" s="14">
        <v>0.37</v>
      </c>
      <c r="O150" s="14">
        <v>0.41199999999999998</v>
      </c>
      <c r="P150" s="15">
        <v>45231</v>
      </c>
      <c r="Q150" s="16" t="s">
        <v>961</v>
      </c>
      <c r="R150" s="17" t="s">
        <v>962</v>
      </c>
      <c r="S150" s="17" t="s">
        <v>963</v>
      </c>
      <c r="T150" s="17" t="s">
        <v>964</v>
      </c>
      <c r="U150" s="17" t="s">
        <v>965</v>
      </c>
      <c r="V150" s="17" t="s">
        <v>35</v>
      </c>
      <c r="W150" s="17" t="s">
        <v>35</v>
      </c>
      <c r="X150" s="17" t="s">
        <v>966</v>
      </c>
      <c r="Y150" s="17" t="s">
        <v>35</v>
      </c>
      <c r="Z150" s="17" t="s">
        <v>35</v>
      </c>
      <c r="AA150" s="17" t="s">
        <v>35</v>
      </c>
      <c r="AB150" s="17" t="s">
        <v>35</v>
      </c>
      <c r="AC150" s="17" t="s">
        <v>9539</v>
      </c>
      <c r="AD150" s="42">
        <v>47.13</v>
      </c>
      <c r="AE150" s="42">
        <v>49.58</v>
      </c>
      <c r="AF150" s="48"/>
      <c r="AG150" s="44"/>
      <c r="AH150" s="7">
        <f t="shared" si="2"/>
        <v>0</v>
      </c>
      <c r="AI150" s="18"/>
      <c r="AJ150" s="18"/>
    </row>
    <row r="151" spans="1:38" ht="26.65" customHeight="1" x14ac:dyDescent="0.25">
      <c r="A151" s="10" t="s">
        <v>967</v>
      </c>
      <c r="B151" s="9" t="s">
        <v>903</v>
      </c>
      <c r="C151" s="9" t="s">
        <v>43</v>
      </c>
      <c r="D151" s="9" t="s">
        <v>904</v>
      </c>
      <c r="E151" s="9" t="s">
        <v>35</v>
      </c>
      <c r="F151" s="9" t="s">
        <v>36</v>
      </c>
      <c r="G151" s="9">
        <v>6</v>
      </c>
      <c r="H151" s="9">
        <v>84212300</v>
      </c>
      <c r="I151" s="11" t="s">
        <v>37</v>
      </c>
      <c r="J151" s="12">
        <v>2.3E-2</v>
      </c>
      <c r="K151" s="12">
        <v>0.108</v>
      </c>
      <c r="L151" s="12">
        <v>5.1999999999999998E-2</v>
      </c>
      <c r="M151" s="13">
        <v>8003453062184</v>
      </c>
      <c r="N151" s="14">
        <v>0.61</v>
      </c>
      <c r="O151" s="14">
        <v>0.64</v>
      </c>
      <c r="P151" s="15">
        <v>44868</v>
      </c>
      <c r="Q151" s="16" t="s">
        <v>968</v>
      </c>
      <c r="R151" s="17" t="s">
        <v>969</v>
      </c>
      <c r="S151" s="17" t="s">
        <v>970</v>
      </c>
      <c r="T151" s="17" t="s">
        <v>35</v>
      </c>
      <c r="U151" s="17" t="s">
        <v>971</v>
      </c>
      <c r="V151" s="17" t="s">
        <v>972</v>
      </c>
      <c r="W151" s="17" t="s">
        <v>973</v>
      </c>
      <c r="X151" s="17" t="s">
        <v>35</v>
      </c>
      <c r="Y151" s="17" t="s">
        <v>974</v>
      </c>
      <c r="Z151" s="17" t="s">
        <v>35</v>
      </c>
      <c r="AA151" s="17" t="s">
        <v>975</v>
      </c>
      <c r="AB151" s="17" t="s">
        <v>35</v>
      </c>
      <c r="AC151" s="17" t="s">
        <v>9539</v>
      </c>
      <c r="AD151" s="42">
        <v>50.66</v>
      </c>
      <c r="AE151" s="42">
        <v>53.29</v>
      </c>
      <c r="AF151" s="48"/>
      <c r="AG151" s="44"/>
      <c r="AH151" s="7">
        <f t="shared" si="2"/>
        <v>0</v>
      </c>
      <c r="AI151" s="18"/>
      <c r="AJ151" s="18"/>
    </row>
    <row r="152" spans="1:38" ht="26.65" customHeight="1" x14ac:dyDescent="0.25">
      <c r="A152" s="10" t="s">
        <v>976</v>
      </c>
      <c r="B152" s="9" t="s">
        <v>903</v>
      </c>
      <c r="C152" s="9" t="s">
        <v>58</v>
      </c>
      <c r="D152" s="9" t="s">
        <v>904</v>
      </c>
      <c r="E152" s="9" t="s">
        <v>35</v>
      </c>
      <c r="F152" s="9" t="s">
        <v>36</v>
      </c>
      <c r="G152" s="9">
        <v>6</v>
      </c>
      <c r="H152" s="9">
        <v>84212300</v>
      </c>
      <c r="I152" s="11" t="s">
        <v>37</v>
      </c>
      <c r="J152" s="12">
        <v>2.3E-2</v>
      </c>
      <c r="K152" s="12">
        <v>0.108</v>
      </c>
      <c r="L152" s="12">
        <v>5.1999999999999998E-2</v>
      </c>
      <c r="M152" s="13">
        <v>8003453062191</v>
      </c>
      <c r="N152" s="14">
        <v>1.17</v>
      </c>
      <c r="O152" s="14">
        <v>1.32</v>
      </c>
      <c r="P152" s="15" t="s">
        <v>35</v>
      </c>
      <c r="Q152" s="16" t="s">
        <v>977</v>
      </c>
      <c r="R152" s="17" t="s">
        <v>978</v>
      </c>
      <c r="S152" s="17" t="s">
        <v>979</v>
      </c>
      <c r="T152" s="17" t="s">
        <v>980</v>
      </c>
      <c r="U152" s="17" t="s">
        <v>981</v>
      </c>
      <c r="V152" s="17" t="s">
        <v>982</v>
      </c>
      <c r="W152" s="17" t="s">
        <v>983</v>
      </c>
      <c r="X152" s="17" t="s">
        <v>35</v>
      </c>
      <c r="Y152" s="17" t="s">
        <v>984</v>
      </c>
      <c r="Z152" s="17" t="s">
        <v>985</v>
      </c>
      <c r="AA152" s="17" t="s">
        <v>986</v>
      </c>
      <c r="AB152" s="17" t="s">
        <v>35</v>
      </c>
      <c r="AC152" s="17" t="s">
        <v>9539</v>
      </c>
      <c r="AD152" s="41">
        <v>66.56</v>
      </c>
      <c r="AE152" s="41">
        <v>70.02</v>
      </c>
      <c r="AF152" s="48"/>
      <c r="AG152" s="44"/>
      <c r="AH152" s="7">
        <f t="shared" si="2"/>
        <v>0</v>
      </c>
      <c r="AI152" s="18"/>
      <c r="AJ152" s="18"/>
      <c r="AL152" s="18"/>
    </row>
    <row r="153" spans="1:38" ht="26.65" customHeight="1" x14ac:dyDescent="0.25">
      <c r="A153" s="10" t="s">
        <v>8617</v>
      </c>
      <c r="B153" s="9" t="s">
        <v>903</v>
      </c>
      <c r="C153" s="9" t="s">
        <v>58</v>
      </c>
      <c r="D153" s="9" t="s">
        <v>904</v>
      </c>
      <c r="E153" s="9" t="s">
        <v>35</v>
      </c>
      <c r="F153" s="9" t="s">
        <v>36</v>
      </c>
      <c r="G153" s="9">
        <v>6</v>
      </c>
      <c r="H153" s="9">
        <v>84212300</v>
      </c>
      <c r="I153" s="11" t="s">
        <v>37</v>
      </c>
      <c r="J153" s="12">
        <v>2.3E-2</v>
      </c>
      <c r="K153" s="12">
        <v>0.108</v>
      </c>
      <c r="L153" s="12">
        <v>5.1999999999999998E-2</v>
      </c>
      <c r="M153" s="13">
        <v>8003453062207</v>
      </c>
      <c r="N153" s="14">
        <v>1</v>
      </c>
      <c r="O153" s="14">
        <v>1.1339999999999999</v>
      </c>
      <c r="P153" s="15">
        <v>45292</v>
      </c>
      <c r="Q153" s="16" t="s">
        <v>987</v>
      </c>
      <c r="R153" s="17" t="s">
        <v>35</v>
      </c>
      <c r="S153" s="17" t="s">
        <v>988</v>
      </c>
      <c r="T153" s="17" t="s">
        <v>989</v>
      </c>
      <c r="U153" s="17" t="s">
        <v>35</v>
      </c>
      <c r="V153" s="17" t="s">
        <v>990</v>
      </c>
      <c r="W153" s="17" t="s">
        <v>35</v>
      </c>
      <c r="X153" s="17" t="s">
        <v>35</v>
      </c>
      <c r="Y153" s="17" t="s">
        <v>991</v>
      </c>
      <c r="Z153" s="17" t="s">
        <v>992</v>
      </c>
      <c r="AA153" s="17" t="s">
        <v>35</v>
      </c>
      <c r="AB153" s="17" t="s">
        <v>35</v>
      </c>
      <c r="AC153" s="17" t="s">
        <v>9539</v>
      </c>
      <c r="AD153" s="42">
        <v>71.27</v>
      </c>
      <c r="AE153" s="42">
        <v>74.98</v>
      </c>
      <c r="AF153" s="48"/>
      <c r="AG153" s="44"/>
      <c r="AH153" s="7">
        <f t="shared" si="2"/>
        <v>0</v>
      </c>
      <c r="AI153" s="18"/>
      <c r="AJ153" s="18"/>
    </row>
    <row r="154" spans="1:38" ht="26.65" customHeight="1" x14ac:dyDescent="0.25">
      <c r="A154" s="38" t="s">
        <v>993</v>
      </c>
      <c r="B154" s="9" t="s">
        <v>903</v>
      </c>
      <c r="C154" s="9" t="s">
        <v>43</v>
      </c>
      <c r="D154" s="9" t="s">
        <v>904</v>
      </c>
      <c r="E154" s="9" t="s">
        <v>35</v>
      </c>
      <c r="F154" s="9" t="s">
        <v>36</v>
      </c>
      <c r="G154" s="9">
        <v>6</v>
      </c>
      <c r="H154" s="9">
        <v>84212300</v>
      </c>
      <c r="I154" s="11" t="s">
        <v>37</v>
      </c>
      <c r="J154" s="12">
        <v>2.3E-2</v>
      </c>
      <c r="K154" s="12">
        <v>0.108</v>
      </c>
      <c r="L154" s="12">
        <v>5.1999999999999998E-2</v>
      </c>
      <c r="M154" s="13">
        <v>8003453062214</v>
      </c>
      <c r="N154" s="14">
        <v>0.41599999999999998</v>
      </c>
      <c r="O154" s="14">
        <v>0.47299999999999998</v>
      </c>
      <c r="P154" s="15" t="s">
        <v>35</v>
      </c>
      <c r="Q154" s="16" t="s">
        <v>994</v>
      </c>
      <c r="R154" s="17" t="s">
        <v>35</v>
      </c>
      <c r="S154" s="17" t="s">
        <v>995</v>
      </c>
      <c r="T154" s="17" t="s">
        <v>35</v>
      </c>
      <c r="U154" s="17" t="s">
        <v>35</v>
      </c>
      <c r="V154" s="17" t="s">
        <v>35</v>
      </c>
      <c r="W154" s="17" t="s">
        <v>35</v>
      </c>
      <c r="X154" s="17" t="s">
        <v>35</v>
      </c>
      <c r="Y154" s="17" t="s">
        <v>996</v>
      </c>
      <c r="Z154" s="17" t="s">
        <v>35</v>
      </c>
      <c r="AA154" s="17" t="s">
        <v>35</v>
      </c>
      <c r="AB154" s="17" t="s">
        <v>35</v>
      </c>
      <c r="AC154" s="17" t="s">
        <v>9538</v>
      </c>
      <c r="AD154" s="41">
        <v>37.380000000000003</v>
      </c>
      <c r="AE154" s="41">
        <v>39.32</v>
      </c>
      <c r="AF154" s="48"/>
      <c r="AG154" s="44"/>
      <c r="AH154" s="7">
        <f t="shared" si="2"/>
        <v>0</v>
      </c>
      <c r="AI154" s="18"/>
      <c r="AJ154" s="18"/>
      <c r="AL154" s="18"/>
    </row>
    <row r="155" spans="1:38" ht="26.65" customHeight="1" x14ac:dyDescent="0.25">
      <c r="A155" s="10" t="s">
        <v>997</v>
      </c>
      <c r="B155" s="9" t="s">
        <v>903</v>
      </c>
      <c r="C155" s="9" t="s">
        <v>43</v>
      </c>
      <c r="D155" s="9" t="s">
        <v>904</v>
      </c>
      <c r="E155" s="9" t="s">
        <v>35</v>
      </c>
      <c r="F155" s="9" t="s">
        <v>36</v>
      </c>
      <c r="G155" s="9">
        <v>6</v>
      </c>
      <c r="H155" s="9">
        <v>84212300</v>
      </c>
      <c r="I155" s="11" t="s">
        <v>37</v>
      </c>
      <c r="J155" s="12">
        <v>2.3E-2</v>
      </c>
      <c r="K155" s="12">
        <v>0.108</v>
      </c>
      <c r="L155" s="12">
        <v>5.1999999999999998E-2</v>
      </c>
      <c r="M155" s="13">
        <v>8003453062313</v>
      </c>
      <c r="N155" s="14">
        <v>0.45300000000000001</v>
      </c>
      <c r="O155" s="14">
        <v>0.496</v>
      </c>
      <c r="P155" s="15">
        <v>44531</v>
      </c>
      <c r="Q155" s="16" t="s">
        <v>998</v>
      </c>
      <c r="R155" s="17">
        <v>6650921001</v>
      </c>
      <c r="S155" s="17" t="s">
        <v>999</v>
      </c>
      <c r="T155" s="17" t="s">
        <v>35</v>
      </c>
      <c r="U155" s="17" t="s">
        <v>35</v>
      </c>
      <c r="V155" s="17" t="s">
        <v>1000</v>
      </c>
      <c r="W155" s="17" t="s">
        <v>35</v>
      </c>
      <c r="X155" s="17" t="s">
        <v>1001</v>
      </c>
      <c r="Y155" s="17" t="s">
        <v>1002</v>
      </c>
      <c r="Z155" s="17" t="s">
        <v>35</v>
      </c>
      <c r="AA155" s="17" t="s">
        <v>35</v>
      </c>
      <c r="AB155" s="17" t="s">
        <v>35</v>
      </c>
      <c r="AC155" s="17" t="s">
        <v>9539</v>
      </c>
      <c r="AD155" s="41">
        <v>33.14</v>
      </c>
      <c r="AE155" s="41">
        <v>34.86</v>
      </c>
      <c r="AF155" s="48"/>
      <c r="AG155" s="44"/>
      <c r="AH155" s="7">
        <f t="shared" si="2"/>
        <v>0</v>
      </c>
      <c r="AI155" s="18"/>
      <c r="AJ155" s="18"/>
      <c r="AL155" s="18"/>
    </row>
    <row r="156" spans="1:38" ht="26.65" customHeight="1" x14ac:dyDescent="0.25">
      <c r="A156" s="10" t="s">
        <v>1003</v>
      </c>
      <c r="B156" s="9" t="s">
        <v>903</v>
      </c>
      <c r="C156" s="9" t="s">
        <v>58</v>
      </c>
      <c r="D156" s="9" t="s">
        <v>904</v>
      </c>
      <c r="E156" s="9" t="s">
        <v>35</v>
      </c>
      <c r="F156" s="9" t="s">
        <v>36</v>
      </c>
      <c r="G156" s="9">
        <v>6</v>
      </c>
      <c r="H156" s="9">
        <v>84212300</v>
      </c>
      <c r="I156" s="11" t="s">
        <v>37</v>
      </c>
      <c r="J156" s="12">
        <v>2.3E-2</v>
      </c>
      <c r="K156" s="12">
        <v>0.108</v>
      </c>
      <c r="L156" s="12">
        <v>5.1999999999999998E-2</v>
      </c>
      <c r="M156" s="13">
        <v>8003453062504</v>
      </c>
      <c r="N156" s="14">
        <v>0.71599999999999997</v>
      </c>
      <c r="O156" s="14">
        <v>0.82399999999999995</v>
      </c>
      <c r="P156" s="15" t="s">
        <v>35</v>
      </c>
      <c r="Q156" s="16" t="s">
        <v>1004</v>
      </c>
      <c r="R156" s="17" t="s">
        <v>35</v>
      </c>
      <c r="S156" s="17" t="s">
        <v>1005</v>
      </c>
      <c r="T156" s="17" t="s">
        <v>1006</v>
      </c>
      <c r="U156" s="17" t="s">
        <v>1007</v>
      </c>
      <c r="V156" s="17" t="s">
        <v>1008</v>
      </c>
      <c r="W156" s="17" t="s">
        <v>1009</v>
      </c>
      <c r="X156" s="17" t="s">
        <v>1010</v>
      </c>
      <c r="Y156" s="17" t="s">
        <v>1011</v>
      </c>
      <c r="Z156" s="17" t="s">
        <v>1012</v>
      </c>
      <c r="AA156" s="17" t="s">
        <v>35</v>
      </c>
      <c r="AB156" s="17" t="s">
        <v>1013</v>
      </c>
      <c r="AC156" s="17" t="s">
        <v>9539</v>
      </c>
      <c r="AD156" s="42">
        <v>61.72</v>
      </c>
      <c r="AE156" s="42">
        <v>64.930000000000007</v>
      </c>
      <c r="AF156" s="48"/>
      <c r="AG156" s="44"/>
      <c r="AH156" s="7">
        <f t="shared" si="2"/>
        <v>0</v>
      </c>
      <c r="AI156" s="18"/>
      <c r="AJ156" s="18"/>
    </row>
    <row r="157" spans="1:38" ht="26.65" customHeight="1" x14ac:dyDescent="0.25">
      <c r="A157" s="10" t="s">
        <v>1014</v>
      </c>
      <c r="B157" s="9" t="s">
        <v>903</v>
      </c>
      <c r="C157" s="9" t="s">
        <v>34</v>
      </c>
      <c r="D157" s="9" t="s">
        <v>904</v>
      </c>
      <c r="E157" s="9" t="s">
        <v>35</v>
      </c>
      <c r="F157" s="9" t="s">
        <v>36</v>
      </c>
      <c r="G157" s="9">
        <v>6</v>
      </c>
      <c r="H157" s="9">
        <v>84212300</v>
      </c>
      <c r="I157" s="11" t="s">
        <v>37</v>
      </c>
      <c r="J157" s="12">
        <v>2.3E-2</v>
      </c>
      <c r="K157" s="12">
        <v>0.108</v>
      </c>
      <c r="L157" s="12">
        <v>5.1999999999999998E-2</v>
      </c>
      <c r="M157" s="13">
        <v>8003453062511</v>
      </c>
      <c r="N157" s="14">
        <v>0.7</v>
      </c>
      <c r="O157" s="14">
        <v>0.78</v>
      </c>
      <c r="P157" s="15">
        <v>45170</v>
      </c>
      <c r="Q157" s="16" t="s">
        <v>1015</v>
      </c>
      <c r="R157" s="17" t="s">
        <v>1016</v>
      </c>
      <c r="S157" s="17" t="s">
        <v>1017</v>
      </c>
      <c r="T157" s="17" t="s">
        <v>1018</v>
      </c>
      <c r="U157" s="17" t="s">
        <v>1019</v>
      </c>
      <c r="V157" s="17" t="s">
        <v>35</v>
      </c>
      <c r="W157" s="17" t="s">
        <v>35</v>
      </c>
      <c r="X157" s="17" t="s">
        <v>35</v>
      </c>
      <c r="Y157" s="17" t="s">
        <v>35</v>
      </c>
      <c r="Z157" s="17" t="s">
        <v>1020</v>
      </c>
      <c r="AA157" s="17" t="s">
        <v>35</v>
      </c>
      <c r="AB157" s="17" t="s">
        <v>1021</v>
      </c>
      <c r="AC157" s="17" t="s">
        <v>9539</v>
      </c>
      <c r="AD157" s="42">
        <v>52.84</v>
      </c>
      <c r="AE157" s="42">
        <v>55.59</v>
      </c>
      <c r="AF157" s="48"/>
      <c r="AG157" s="44"/>
      <c r="AH157" s="7">
        <f t="shared" si="2"/>
        <v>0</v>
      </c>
      <c r="AI157" s="18"/>
      <c r="AJ157" s="18"/>
    </row>
    <row r="158" spans="1:38" ht="26.65" customHeight="1" x14ac:dyDescent="0.25">
      <c r="A158" s="10" t="s">
        <v>1022</v>
      </c>
      <c r="B158" s="9" t="s">
        <v>903</v>
      </c>
      <c r="C158" s="9" t="s">
        <v>34</v>
      </c>
      <c r="D158" s="9" t="s">
        <v>59</v>
      </c>
      <c r="E158" s="9" t="s">
        <v>35</v>
      </c>
      <c r="F158" s="9" t="s">
        <v>36</v>
      </c>
      <c r="G158" s="9">
        <v>6</v>
      </c>
      <c r="H158" s="9">
        <v>84212300</v>
      </c>
      <c r="I158" s="11" t="s">
        <v>37</v>
      </c>
      <c r="J158" s="12">
        <v>2.3E-2</v>
      </c>
      <c r="K158" s="12">
        <v>0.108</v>
      </c>
      <c r="L158" s="12">
        <v>5.1999999999999998E-2</v>
      </c>
      <c r="M158" s="13">
        <v>8003453062528</v>
      </c>
      <c r="N158" s="14">
        <v>0.32</v>
      </c>
      <c r="O158" s="14">
        <v>0.43</v>
      </c>
      <c r="P158" s="15">
        <v>45108</v>
      </c>
      <c r="Q158" s="16" t="s">
        <v>1023</v>
      </c>
      <c r="R158" s="17" t="s">
        <v>1024</v>
      </c>
      <c r="S158" s="17" t="s">
        <v>1025</v>
      </c>
      <c r="T158" s="17" t="s">
        <v>1026</v>
      </c>
      <c r="U158" s="17" t="s">
        <v>1027</v>
      </c>
      <c r="V158" s="17" t="s">
        <v>1028</v>
      </c>
      <c r="W158" s="17" t="s">
        <v>1029</v>
      </c>
      <c r="X158" s="17" t="s">
        <v>1030</v>
      </c>
      <c r="Y158" s="17" t="s">
        <v>1031</v>
      </c>
      <c r="Z158" s="17" t="s">
        <v>1032</v>
      </c>
      <c r="AA158" s="17" t="s">
        <v>1033</v>
      </c>
      <c r="AB158" s="17" t="s">
        <v>1034</v>
      </c>
      <c r="AC158" s="17" t="s">
        <v>9539</v>
      </c>
      <c r="AD158" s="41">
        <v>30.03</v>
      </c>
      <c r="AE158" s="41">
        <v>31.59</v>
      </c>
      <c r="AF158" s="48"/>
      <c r="AG158" s="44"/>
      <c r="AH158" s="7">
        <f t="shared" si="2"/>
        <v>0</v>
      </c>
      <c r="AI158" s="18"/>
      <c r="AJ158" s="18"/>
      <c r="AL158" s="18"/>
    </row>
    <row r="159" spans="1:38" ht="26.65" customHeight="1" x14ac:dyDescent="0.25">
      <c r="A159" s="10" t="s">
        <v>1035</v>
      </c>
      <c r="B159" s="9" t="s">
        <v>903</v>
      </c>
      <c r="C159" s="9" t="s">
        <v>34</v>
      </c>
      <c r="D159" s="9" t="s">
        <v>904</v>
      </c>
      <c r="E159" s="9" t="s">
        <v>35</v>
      </c>
      <c r="F159" s="9" t="s">
        <v>36</v>
      </c>
      <c r="G159" s="9">
        <v>6</v>
      </c>
      <c r="H159" s="9">
        <v>84212300</v>
      </c>
      <c r="I159" s="11" t="s">
        <v>37</v>
      </c>
      <c r="J159" s="12">
        <v>2.3E-2</v>
      </c>
      <c r="K159" s="12">
        <v>0.108</v>
      </c>
      <c r="L159" s="12">
        <v>5.1999999999999998E-2</v>
      </c>
      <c r="M159" s="13">
        <v>8003453062535</v>
      </c>
      <c r="N159" s="14">
        <v>0.6</v>
      </c>
      <c r="O159" s="14">
        <v>0.66</v>
      </c>
      <c r="P159" s="15">
        <v>45047</v>
      </c>
      <c r="Q159" s="16" t="s">
        <v>1036</v>
      </c>
      <c r="R159" s="17" t="s">
        <v>1037</v>
      </c>
      <c r="S159" s="17" t="s">
        <v>1038</v>
      </c>
      <c r="T159" s="17" t="s">
        <v>1039</v>
      </c>
      <c r="U159" s="17" t="s">
        <v>35</v>
      </c>
      <c r="V159" s="17" t="s">
        <v>1040</v>
      </c>
      <c r="W159" s="17" t="s">
        <v>35</v>
      </c>
      <c r="X159" s="17" t="s">
        <v>35</v>
      </c>
      <c r="Y159" s="17" t="s">
        <v>35</v>
      </c>
      <c r="Z159" s="17" t="s">
        <v>1041</v>
      </c>
      <c r="AA159" s="17" t="s">
        <v>35</v>
      </c>
      <c r="AB159" s="17" t="s">
        <v>1042</v>
      </c>
      <c r="AC159" s="17" t="s">
        <v>9539</v>
      </c>
      <c r="AD159" s="42">
        <v>34.11</v>
      </c>
      <c r="AE159" s="42">
        <v>35.880000000000003</v>
      </c>
      <c r="AF159" s="48"/>
      <c r="AG159" s="44"/>
      <c r="AH159" s="7">
        <f t="shared" si="2"/>
        <v>0</v>
      </c>
      <c r="AI159" s="18"/>
      <c r="AJ159" s="18"/>
    </row>
    <row r="160" spans="1:38" ht="26.65" customHeight="1" x14ac:dyDescent="0.25">
      <c r="A160" s="38" t="s">
        <v>1043</v>
      </c>
      <c r="B160" s="9" t="s">
        <v>903</v>
      </c>
      <c r="C160" s="9" t="s">
        <v>58</v>
      </c>
      <c r="D160" s="9" t="s">
        <v>904</v>
      </c>
      <c r="E160" s="9" t="s">
        <v>35</v>
      </c>
      <c r="F160" s="9" t="s">
        <v>36</v>
      </c>
      <c r="G160" s="9">
        <v>6</v>
      </c>
      <c r="H160" s="9">
        <v>84212300</v>
      </c>
      <c r="I160" s="11" t="s">
        <v>37</v>
      </c>
      <c r="J160" s="12">
        <v>2.3E-2</v>
      </c>
      <c r="K160" s="12">
        <v>0.108</v>
      </c>
      <c r="L160" s="12">
        <v>5.1999999999999998E-2</v>
      </c>
      <c r="M160" s="13">
        <v>8003453062542</v>
      </c>
      <c r="N160" s="14">
        <v>1.073</v>
      </c>
      <c r="O160" s="14">
        <v>1.141</v>
      </c>
      <c r="P160" s="15">
        <v>45231</v>
      </c>
      <c r="Q160" s="16" t="s">
        <v>1044</v>
      </c>
      <c r="R160" s="17" t="s">
        <v>1045</v>
      </c>
      <c r="S160" s="17" t="s">
        <v>1046</v>
      </c>
      <c r="T160" s="17" t="s">
        <v>1047</v>
      </c>
      <c r="U160" s="17" t="s">
        <v>1048</v>
      </c>
      <c r="V160" s="17" t="s">
        <v>1049</v>
      </c>
      <c r="W160" s="17" t="s">
        <v>35</v>
      </c>
      <c r="X160" s="17" t="s">
        <v>35</v>
      </c>
      <c r="Y160" s="17" t="s">
        <v>1050</v>
      </c>
      <c r="Z160" s="17" t="s">
        <v>1051</v>
      </c>
      <c r="AA160" s="17" t="s">
        <v>35</v>
      </c>
      <c r="AB160" s="17" t="s">
        <v>1052</v>
      </c>
      <c r="AC160" s="17" t="s">
        <v>9538</v>
      </c>
      <c r="AD160" s="42">
        <v>80.099999999999994</v>
      </c>
      <c r="AE160" s="42">
        <v>84.27</v>
      </c>
      <c r="AF160" s="48"/>
      <c r="AG160" s="44"/>
      <c r="AH160" s="7">
        <f t="shared" si="2"/>
        <v>0</v>
      </c>
      <c r="AI160" s="18"/>
      <c r="AJ160" s="18"/>
    </row>
    <row r="161" spans="1:38" ht="26.65" customHeight="1" x14ac:dyDescent="0.25">
      <c r="A161" s="10" t="s">
        <v>1053</v>
      </c>
      <c r="B161" s="9" t="s">
        <v>903</v>
      </c>
      <c r="C161" s="9" t="s">
        <v>58</v>
      </c>
      <c r="D161" s="9" t="s">
        <v>904</v>
      </c>
      <c r="E161" s="9" t="s">
        <v>35</v>
      </c>
      <c r="F161" s="9" t="s">
        <v>36</v>
      </c>
      <c r="G161" s="9">
        <v>6</v>
      </c>
      <c r="H161" s="9">
        <v>84212300</v>
      </c>
      <c r="I161" s="11" t="s">
        <v>37</v>
      </c>
      <c r="J161" s="12">
        <v>2.3E-2</v>
      </c>
      <c r="K161" s="12">
        <v>0.108</v>
      </c>
      <c r="L161" s="12">
        <v>5.1999999999999998E-2</v>
      </c>
      <c r="M161" s="13">
        <v>8003453062559</v>
      </c>
      <c r="N161" s="14">
        <v>0.71599999999999997</v>
      </c>
      <c r="O161" s="14">
        <v>0.82399999999999995</v>
      </c>
      <c r="P161" s="15" t="s">
        <v>35</v>
      </c>
      <c r="Q161" s="16" t="s">
        <v>1054</v>
      </c>
      <c r="R161" s="17" t="s">
        <v>35</v>
      </c>
      <c r="S161" s="17" t="s">
        <v>1055</v>
      </c>
      <c r="T161" s="17" t="s">
        <v>1056</v>
      </c>
      <c r="U161" s="17" t="s">
        <v>1057</v>
      </c>
      <c r="V161" s="17" t="s">
        <v>1058</v>
      </c>
      <c r="W161" s="17" t="s">
        <v>1059</v>
      </c>
      <c r="X161" s="17" t="s">
        <v>1060</v>
      </c>
      <c r="Y161" s="17" t="s">
        <v>1061</v>
      </c>
      <c r="Z161" s="17" t="s">
        <v>1062</v>
      </c>
      <c r="AA161" s="17" t="s">
        <v>35</v>
      </c>
      <c r="AB161" s="17" t="s">
        <v>1063</v>
      </c>
      <c r="AC161" s="17" t="s">
        <v>9539</v>
      </c>
      <c r="AD161" s="42">
        <v>54.96</v>
      </c>
      <c r="AE161" s="42">
        <v>57.82</v>
      </c>
      <c r="AF161" s="48"/>
      <c r="AG161" s="44"/>
      <c r="AH161" s="7">
        <f t="shared" si="2"/>
        <v>0</v>
      </c>
      <c r="AI161" s="18"/>
      <c r="AJ161" s="18"/>
    </row>
    <row r="162" spans="1:38" ht="26.65" customHeight="1" x14ac:dyDescent="0.25">
      <c r="A162" s="38" t="s">
        <v>1064</v>
      </c>
      <c r="B162" s="9" t="s">
        <v>903</v>
      </c>
      <c r="C162" s="9" t="s">
        <v>43</v>
      </c>
      <c r="D162" s="9" t="s">
        <v>904</v>
      </c>
      <c r="E162" s="9" t="s">
        <v>35</v>
      </c>
      <c r="F162" s="9" t="s">
        <v>36</v>
      </c>
      <c r="G162" s="9">
        <v>6</v>
      </c>
      <c r="H162" s="9">
        <v>84212300</v>
      </c>
      <c r="I162" s="11" t="s">
        <v>37</v>
      </c>
      <c r="J162" s="12">
        <v>2.3E-2</v>
      </c>
      <c r="K162" s="12">
        <v>0.108</v>
      </c>
      <c r="L162" s="12">
        <v>5.1999999999999998E-2</v>
      </c>
      <c r="M162" s="13">
        <v>8003453062573</v>
      </c>
      <c r="N162" s="14">
        <v>0.40600000000000003</v>
      </c>
      <c r="O162" s="14">
        <v>0.48399999999999999</v>
      </c>
      <c r="P162" s="15" t="s">
        <v>35</v>
      </c>
      <c r="Q162" s="16" t="s">
        <v>1065</v>
      </c>
      <c r="R162" s="17" t="s">
        <v>8618</v>
      </c>
      <c r="S162" s="17" t="s">
        <v>1066</v>
      </c>
      <c r="T162" s="17" t="s">
        <v>1067</v>
      </c>
      <c r="U162" s="17" t="s">
        <v>1068</v>
      </c>
      <c r="V162" s="17" t="s">
        <v>1069</v>
      </c>
      <c r="W162" s="17" t="s">
        <v>1070</v>
      </c>
      <c r="X162" s="17" t="s">
        <v>1071</v>
      </c>
      <c r="Y162" s="17" t="s">
        <v>1072</v>
      </c>
      <c r="Z162" s="17" t="s">
        <v>1073</v>
      </c>
      <c r="AA162" s="17" t="s">
        <v>35</v>
      </c>
      <c r="AB162" s="17" t="s">
        <v>35</v>
      </c>
      <c r="AC162" s="17" t="s">
        <v>9538</v>
      </c>
      <c r="AD162" s="41">
        <v>68.47</v>
      </c>
      <c r="AE162" s="41">
        <v>72.03</v>
      </c>
      <c r="AF162" s="48"/>
      <c r="AG162" s="44"/>
      <c r="AH162" s="7">
        <f t="shared" si="2"/>
        <v>0</v>
      </c>
      <c r="AI162" s="18"/>
      <c r="AJ162" s="18"/>
    </row>
    <row r="163" spans="1:38" ht="26.65" customHeight="1" x14ac:dyDescent="0.25">
      <c r="A163" s="38" t="s">
        <v>1074</v>
      </c>
      <c r="B163" s="9" t="s">
        <v>903</v>
      </c>
      <c r="C163" s="9" t="s">
        <v>58</v>
      </c>
      <c r="D163" s="9" t="s">
        <v>904</v>
      </c>
      <c r="E163" s="9" t="s">
        <v>35</v>
      </c>
      <c r="F163" s="9" t="s">
        <v>36</v>
      </c>
      <c r="G163" s="9">
        <v>6</v>
      </c>
      <c r="H163" s="9">
        <v>84212300</v>
      </c>
      <c r="I163" s="11" t="s">
        <v>37</v>
      </c>
      <c r="J163" s="12">
        <v>2.3E-2</v>
      </c>
      <c r="K163" s="12">
        <v>0.108</v>
      </c>
      <c r="L163" s="12">
        <v>5.1999999999999998E-2</v>
      </c>
      <c r="M163" s="13">
        <v>8003453062580</v>
      </c>
      <c r="N163" s="14">
        <v>0.84</v>
      </c>
      <c r="O163" s="14">
        <v>0.94099999999999995</v>
      </c>
      <c r="P163" s="15" t="s">
        <v>35</v>
      </c>
      <c r="Q163" s="16" t="s">
        <v>1075</v>
      </c>
      <c r="R163" s="17" t="s">
        <v>35</v>
      </c>
      <c r="S163" s="17" t="s">
        <v>1076</v>
      </c>
      <c r="T163" s="17" t="s">
        <v>1077</v>
      </c>
      <c r="U163" s="17" t="s">
        <v>35</v>
      </c>
      <c r="V163" s="17" t="s">
        <v>1078</v>
      </c>
      <c r="W163" s="17" t="s">
        <v>1079</v>
      </c>
      <c r="X163" s="17" t="s">
        <v>35</v>
      </c>
      <c r="Y163" s="17" t="s">
        <v>1080</v>
      </c>
      <c r="Z163" s="17" t="s">
        <v>1081</v>
      </c>
      <c r="AA163" s="17" t="s">
        <v>35</v>
      </c>
      <c r="AB163" s="17" t="s">
        <v>1082</v>
      </c>
      <c r="AC163" s="17" t="s">
        <v>9538</v>
      </c>
      <c r="AD163" s="42">
        <v>70.03</v>
      </c>
      <c r="AE163" s="42">
        <v>73.67</v>
      </c>
      <c r="AF163" s="48"/>
      <c r="AG163" s="44"/>
      <c r="AH163" s="7">
        <f t="shared" si="2"/>
        <v>0</v>
      </c>
      <c r="AI163" s="18"/>
      <c r="AJ163" s="18"/>
    </row>
    <row r="164" spans="1:38" ht="26.65" customHeight="1" x14ac:dyDescent="0.25">
      <c r="A164" s="10" t="s">
        <v>1083</v>
      </c>
      <c r="B164" s="9" t="s">
        <v>903</v>
      </c>
      <c r="C164" s="9" t="s">
        <v>43</v>
      </c>
      <c r="D164" s="9" t="s">
        <v>904</v>
      </c>
      <c r="E164" s="9" t="s">
        <v>35</v>
      </c>
      <c r="F164" s="9" t="s">
        <v>36</v>
      </c>
      <c r="G164" s="9">
        <v>6</v>
      </c>
      <c r="H164" s="9">
        <v>84212300</v>
      </c>
      <c r="I164" s="11" t="s">
        <v>37</v>
      </c>
      <c r="J164" s="12">
        <v>2.3E-2</v>
      </c>
      <c r="K164" s="12">
        <v>0.108</v>
      </c>
      <c r="L164" s="12">
        <v>5.1999999999999998E-2</v>
      </c>
      <c r="M164" s="13">
        <v>8003453062627</v>
      </c>
      <c r="N164" s="14">
        <v>0.45</v>
      </c>
      <c r="O164" s="14">
        <v>0.56000000000000005</v>
      </c>
      <c r="P164" s="15">
        <v>44774</v>
      </c>
      <c r="Q164" s="16" t="s">
        <v>1084</v>
      </c>
      <c r="R164" s="17" t="s">
        <v>35</v>
      </c>
      <c r="S164" s="17" t="s">
        <v>1085</v>
      </c>
      <c r="T164" s="17" t="s">
        <v>1086</v>
      </c>
      <c r="U164" s="17" t="s">
        <v>35</v>
      </c>
      <c r="V164" s="17" t="s">
        <v>1087</v>
      </c>
      <c r="W164" s="17" t="s">
        <v>1088</v>
      </c>
      <c r="X164" s="17" t="s">
        <v>35</v>
      </c>
      <c r="Y164" s="17" t="s">
        <v>1089</v>
      </c>
      <c r="Z164" s="17" t="s">
        <v>35</v>
      </c>
      <c r="AA164" s="17" t="s">
        <v>35</v>
      </c>
      <c r="AB164" s="17" t="s">
        <v>35</v>
      </c>
      <c r="AC164" s="17" t="s">
        <v>9539</v>
      </c>
      <c r="AD164" s="41">
        <v>220.64</v>
      </c>
      <c r="AE164" s="41">
        <v>232.11</v>
      </c>
      <c r="AF164" s="48"/>
      <c r="AG164" s="44"/>
      <c r="AH164" s="7">
        <f t="shared" si="2"/>
        <v>0</v>
      </c>
      <c r="AI164" s="18"/>
      <c r="AJ164" s="18"/>
      <c r="AL164" s="18"/>
    </row>
    <row r="165" spans="1:38" ht="26.65" customHeight="1" x14ac:dyDescent="0.25">
      <c r="A165" s="10" t="s">
        <v>1090</v>
      </c>
      <c r="B165" s="9" t="s">
        <v>903</v>
      </c>
      <c r="C165" s="9" t="s">
        <v>43</v>
      </c>
      <c r="D165" s="9" t="s">
        <v>904</v>
      </c>
      <c r="E165" s="9" t="s">
        <v>35</v>
      </c>
      <c r="F165" s="9" t="s">
        <v>36</v>
      </c>
      <c r="G165" s="9">
        <v>6</v>
      </c>
      <c r="H165" s="9">
        <v>84212300</v>
      </c>
      <c r="I165" s="11" t="s">
        <v>37</v>
      </c>
      <c r="J165" s="12">
        <v>2.3E-2</v>
      </c>
      <c r="K165" s="12">
        <v>0.108</v>
      </c>
      <c r="L165" s="12">
        <v>5.1999999999999998E-2</v>
      </c>
      <c r="M165" s="13">
        <v>8003453062641</v>
      </c>
      <c r="N165" s="14">
        <v>0.42099999999999999</v>
      </c>
      <c r="O165" s="14">
        <v>0.5</v>
      </c>
      <c r="P165" s="15">
        <v>45170</v>
      </c>
      <c r="Q165" s="16" t="s">
        <v>1091</v>
      </c>
      <c r="R165" s="17" t="s">
        <v>1092</v>
      </c>
      <c r="S165" s="17" t="s">
        <v>1093</v>
      </c>
      <c r="T165" s="17" t="s">
        <v>1094</v>
      </c>
      <c r="U165" s="17" t="s">
        <v>35</v>
      </c>
      <c r="V165" s="17" t="s">
        <v>1095</v>
      </c>
      <c r="W165" s="17" t="s">
        <v>35</v>
      </c>
      <c r="X165" s="17" t="s">
        <v>1096</v>
      </c>
      <c r="Y165" s="17" t="s">
        <v>1097</v>
      </c>
      <c r="Z165" s="17" t="s">
        <v>35</v>
      </c>
      <c r="AA165" s="17" t="s">
        <v>35</v>
      </c>
      <c r="AB165" s="17" t="s">
        <v>35</v>
      </c>
      <c r="AC165" s="17" t="s">
        <v>9539</v>
      </c>
      <c r="AD165" s="42">
        <v>401.54</v>
      </c>
      <c r="AE165" s="42">
        <v>422.42</v>
      </c>
      <c r="AF165" s="48"/>
      <c r="AG165" s="44"/>
      <c r="AH165" s="7">
        <f t="shared" si="2"/>
        <v>0</v>
      </c>
      <c r="AI165" s="18"/>
      <c r="AJ165" s="18"/>
    </row>
    <row r="166" spans="1:38" ht="26.65" customHeight="1" x14ac:dyDescent="0.25">
      <c r="A166" s="10" t="s">
        <v>1098</v>
      </c>
      <c r="B166" s="9" t="s">
        <v>903</v>
      </c>
      <c r="C166" s="9" t="s">
        <v>34</v>
      </c>
      <c r="D166" s="9" t="s">
        <v>59</v>
      </c>
      <c r="E166" s="9" t="s">
        <v>35</v>
      </c>
      <c r="F166" s="9" t="s">
        <v>36</v>
      </c>
      <c r="G166" s="9">
        <v>6</v>
      </c>
      <c r="H166" s="9">
        <v>84212300</v>
      </c>
      <c r="I166" s="11" t="s">
        <v>37</v>
      </c>
      <c r="J166" s="12">
        <v>2.3E-2</v>
      </c>
      <c r="K166" s="12">
        <v>0.108</v>
      </c>
      <c r="L166" s="12">
        <v>5.1999999999999998E-2</v>
      </c>
      <c r="M166" s="13">
        <v>8003453062665</v>
      </c>
      <c r="N166" s="14">
        <v>1.0089999999999999</v>
      </c>
      <c r="O166" s="14">
        <v>1.083</v>
      </c>
      <c r="P166" s="15">
        <v>45108</v>
      </c>
      <c r="Q166" s="16" t="s">
        <v>1099</v>
      </c>
      <c r="R166" s="17" t="s">
        <v>1100</v>
      </c>
      <c r="S166" s="17" t="s">
        <v>1101</v>
      </c>
      <c r="T166" s="17" t="s">
        <v>1102</v>
      </c>
      <c r="U166" s="17" t="s">
        <v>35</v>
      </c>
      <c r="V166" s="17" t="s">
        <v>35</v>
      </c>
      <c r="W166" s="17" t="s">
        <v>35</v>
      </c>
      <c r="X166" s="17" t="s">
        <v>35</v>
      </c>
      <c r="Y166" s="17" t="s">
        <v>35</v>
      </c>
      <c r="Z166" s="17" t="s">
        <v>1103</v>
      </c>
      <c r="AA166" s="17" t="s">
        <v>35</v>
      </c>
      <c r="AB166" s="17" t="s">
        <v>35</v>
      </c>
      <c r="AC166" s="17" t="s">
        <v>9539</v>
      </c>
      <c r="AD166" s="42">
        <v>156.06</v>
      </c>
      <c r="AE166" s="42">
        <v>164.18</v>
      </c>
      <c r="AF166" s="48"/>
      <c r="AG166" s="44"/>
      <c r="AH166" s="7">
        <f t="shared" si="2"/>
        <v>0</v>
      </c>
      <c r="AI166" s="18"/>
      <c r="AJ166" s="18"/>
    </row>
    <row r="167" spans="1:38" ht="26.65" customHeight="1" x14ac:dyDescent="0.25">
      <c r="A167" s="10" t="s">
        <v>1104</v>
      </c>
      <c r="B167" s="9" t="s">
        <v>903</v>
      </c>
      <c r="C167" s="9" t="s">
        <v>43</v>
      </c>
      <c r="D167" s="9" t="s">
        <v>904</v>
      </c>
      <c r="E167" s="9" t="s">
        <v>35</v>
      </c>
      <c r="F167" s="9" t="s">
        <v>36</v>
      </c>
      <c r="G167" s="9">
        <v>6</v>
      </c>
      <c r="H167" s="9">
        <v>84212300</v>
      </c>
      <c r="I167" s="11" t="s">
        <v>37</v>
      </c>
      <c r="J167" s="12">
        <v>2.3E-2</v>
      </c>
      <c r="K167" s="12">
        <v>0.108</v>
      </c>
      <c r="L167" s="12">
        <v>5.1999999999999998E-2</v>
      </c>
      <c r="M167" s="13">
        <v>8003453062689</v>
      </c>
      <c r="N167" s="14">
        <v>0.36799999999999999</v>
      </c>
      <c r="O167" s="14">
        <v>0.42499999999999999</v>
      </c>
      <c r="P167" s="15" t="s">
        <v>35</v>
      </c>
      <c r="Q167" s="16" t="s">
        <v>1105</v>
      </c>
      <c r="R167" s="17" t="s">
        <v>1106</v>
      </c>
      <c r="S167" s="17" t="s">
        <v>1107</v>
      </c>
      <c r="T167" s="17" t="s">
        <v>1108</v>
      </c>
      <c r="U167" s="17" t="s">
        <v>35</v>
      </c>
      <c r="V167" s="17" t="s">
        <v>1109</v>
      </c>
      <c r="W167" s="17" t="s">
        <v>35</v>
      </c>
      <c r="X167" s="17" t="s">
        <v>35</v>
      </c>
      <c r="Y167" s="17" t="s">
        <v>1110</v>
      </c>
      <c r="Z167" s="17" t="s">
        <v>35</v>
      </c>
      <c r="AA167" s="17" t="s">
        <v>35</v>
      </c>
      <c r="AB167" s="17" t="s">
        <v>35</v>
      </c>
      <c r="AC167" s="17" t="s">
        <v>9539</v>
      </c>
      <c r="AD167" s="41">
        <v>128.69999999999999</v>
      </c>
      <c r="AE167" s="41">
        <v>135.38999999999999</v>
      </c>
      <c r="AF167" s="48"/>
      <c r="AG167" s="44"/>
      <c r="AH167" s="7">
        <f t="shared" si="2"/>
        <v>0</v>
      </c>
      <c r="AI167" s="18"/>
      <c r="AJ167" s="18"/>
      <c r="AL167" s="18"/>
    </row>
    <row r="168" spans="1:38" ht="26.65" customHeight="1" x14ac:dyDescent="0.25">
      <c r="A168" s="10" t="s">
        <v>1111</v>
      </c>
      <c r="B168" s="9" t="s">
        <v>903</v>
      </c>
      <c r="C168" s="9" t="s">
        <v>58</v>
      </c>
      <c r="D168" s="9" t="s">
        <v>904</v>
      </c>
      <c r="E168" s="9" t="s">
        <v>35</v>
      </c>
      <c r="F168" s="9" t="s">
        <v>36</v>
      </c>
      <c r="G168" s="9">
        <v>6</v>
      </c>
      <c r="H168" s="9">
        <v>84212300</v>
      </c>
      <c r="I168" s="11" t="s">
        <v>37</v>
      </c>
      <c r="J168" s="12">
        <v>2.3E-2</v>
      </c>
      <c r="K168" s="12">
        <v>0.108</v>
      </c>
      <c r="L168" s="12">
        <v>5.1999999999999998E-2</v>
      </c>
      <c r="M168" s="13">
        <v>8003453062696</v>
      </c>
      <c r="N168" s="14">
        <v>0.76300000000000001</v>
      </c>
      <c r="O168" s="14">
        <v>0.88</v>
      </c>
      <c r="P168" s="15" t="s">
        <v>35</v>
      </c>
      <c r="Q168" s="16" t="s">
        <v>1112</v>
      </c>
      <c r="R168" s="17" t="s">
        <v>35</v>
      </c>
      <c r="S168" s="17" t="s">
        <v>1113</v>
      </c>
      <c r="T168" s="17" t="s">
        <v>1114</v>
      </c>
      <c r="U168" s="17" t="s">
        <v>35</v>
      </c>
      <c r="V168" s="17" t="s">
        <v>35</v>
      </c>
      <c r="W168" s="17" t="s">
        <v>35</v>
      </c>
      <c r="X168" s="17" t="s">
        <v>35</v>
      </c>
      <c r="Y168" s="17" t="s">
        <v>35</v>
      </c>
      <c r="Z168" s="17" t="s">
        <v>1115</v>
      </c>
      <c r="AA168" s="17" t="s">
        <v>35</v>
      </c>
      <c r="AB168" s="17" t="s">
        <v>1116</v>
      </c>
      <c r="AC168" s="17" t="s">
        <v>9539</v>
      </c>
      <c r="AD168" s="41">
        <v>51.12</v>
      </c>
      <c r="AE168" s="41">
        <v>53.78</v>
      </c>
      <c r="AF168" s="48"/>
      <c r="AG168" s="44"/>
      <c r="AH168" s="7">
        <f t="shared" si="2"/>
        <v>0</v>
      </c>
      <c r="AI168" s="18"/>
      <c r="AJ168" s="18"/>
    </row>
    <row r="169" spans="1:38" ht="26.65" customHeight="1" x14ac:dyDescent="0.25">
      <c r="A169" s="10" t="s">
        <v>1117</v>
      </c>
      <c r="B169" s="9" t="s">
        <v>903</v>
      </c>
      <c r="C169" s="9" t="s">
        <v>58</v>
      </c>
      <c r="D169" s="9" t="s">
        <v>904</v>
      </c>
      <c r="E169" s="9" t="s">
        <v>35</v>
      </c>
      <c r="F169" s="9" t="s">
        <v>36</v>
      </c>
      <c r="G169" s="9">
        <v>6</v>
      </c>
      <c r="H169" s="9">
        <v>84212300</v>
      </c>
      <c r="I169" s="11" t="s">
        <v>37</v>
      </c>
      <c r="J169" s="12">
        <v>2.3E-2</v>
      </c>
      <c r="K169" s="12">
        <v>0.108</v>
      </c>
      <c r="L169" s="12">
        <v>5.1999999999999998E-2</v>
      </c>
      <c r="M169" s="13">
        <v>8003453807266</v>
      </c>
      <c r="N169" s="14">
        <v>0.74</v>
      </c>
      <c r="O169" s="14">
        <v>0.78</v>
      </c>
      <c r="P169" s="15">
        <v>44896</v>
      </c>
      <c r="Q169" s="16" t="s">
        <v>1118</v>
      </c>
      <c r="R169" s="17" t="s">
        <v>1119</v>
      </c>
      <c r="S169" s="17" t="s">
        <v>1113</v>
      </c>
      <c r="T169" s="17" t="s">
        <v>1114</v>
      </c>
      <c r="U169" s="17" t="s">
        <v>35</v>
      </c>
      <c r="V169" s="17" t="s">
        <v>1120</v>
      </c>
      <c r="W169" s="17" t="s">
        <v>35</v>
      </c>
      <c r="X169" s="17" t="s">
        <v>35</v>
      </c>
      <c r="Y169" s="17" t="s">
        <v>35</v>
      </c>
      <c r="Z169" s="17" t="s">
        <v>1115</v>
      </c>
      <c r="AA169" s="17" t="s">
        <v>1121</v>
      </c>
      <c r="AB169" s="17" t="s">
        <v>1116</v>
      </c>
      <c r="AC169" s="17" t="s">
        <v>9539</v>
      </c>
      <c r="AD169" s="42">
        <v>53.09</v>
      </c>
      <c r="AE169" s="42">
        <v>55.85</v>
      </c>
      <c r="AF169" s="48"/>
      <c r="AG169" s="44"/>
      <c r="AH169" s="7">
        <f t="shared" si="2"/>
        <v>0</v>
      </c>
      <c r="AI169" s="18"/>
      <c r="AJ169" s="18"/>
    </row>
    <row r="170" spans="1:38" ht="26.65" customHeight="1" x14ac:dyDescent="0.25">
      <c r="A170" s="10" t="s">
        <v>8904</v>
      </c>
      <c r="B170" s="9" t="s">
        <v>8905</v>
      </c>
      <c r="C170" s="9" t="s">
        <v>58</v>
      </c>
      <c r="D170" s="9" t="s">
        <v>904</v>
      </c>
      <c r="E170" s="9" t="s">
        <v>35</v>
      </c>
      <c r="F170" s="9" t="s">
        <v>36</v>
      </c>
      <c r="G170" s="9">
        <v>6</v>
      </c>
      <c r="H170" s="9">
        <v>84212300</v>
      </c>
      <c r="I170" s="11" t="s">
        <v>37</v>
      </c>
      <c r="J170" s="12">
        <v>2.3E-2</v>
      </c>
      <c r="K170" s="12">
        <v>0.108</v>
      </c>
      <c r="L170" s="12">
        <v>5.1999999999999998E-2</v>
      </c>
      <c r="M170" s="13">
        <v>8003453062719</v>
      </c>
      <c r="N170" s="14">
        <v>0.95</v>
      </c>
      <c r="O170" s="14">
        <v>1.0549999999999999</v>
      </c>
      <c r="P170" s="15">
        <v>45352</v>
      </c>
      <c r="Q170" s="16" t="s">
        <v>8906</v>
      </c>
      <c r="R170" s="17" t="s">
        <v>8907</v>
      </c>
      <c r="S170" s="17" t="s">
        <v>8908</v>
      </c>
      <c r="T170" s="17" t="s">
        <v>8909</v>
      </c>
      <c r="U170" s="17" t="s">
        <v>8910</v>
      </c>
      <c r="V170" s="17" t="s">
        <v>35</v>
      </c>
      <c r="W170" s="17" t="s">
        <v>35</v>
      </c>
      <c r="X170" s="17" t="s">
        <v>8911</v>
      </c>
      <c r="Y170" s="17" t="s">
        <v>35</v>
      </c>
      <c r="Z170" s="17" t="s">
        <v>8912</v>
      </c>
      <c r="AA170" s="17" t="s">
        <v>8913</v>
      </c>
      <c r="AB170" s="17" t="s">
        <v>8914</v>
      </c>
      <c r="AC170" s="17" t="s">
        <v>9539</v>
      </c>
      <c r="AD170" s="42">
        <v>98.16</v>
      </c>
      <c r="AE170" s="42">
        <v>103.26</v>
      </c>
      <c r="AF170" s="48"/>
      <c r="AG170" s="44"/>
      <c r="AH170" s="7">
        <f t="shared" si="2"/>
        <v>0</v>
      </c>
      <c r="AI170" s="18"/>
      <c r="AJ170" s="18"/>
    </row>
    <row r="171" spans="1:38" ht="26.65" customHeight="1" x14ac:dyDescent="0.25">
      <c r="A171" s="10" t="s">
        <v>10007</v>
      </c>
      <c r="B171" s="9" t="s">
        <v>903</v>
      </c>
      <c r="C171" s="9" t="s">
        <v>34</v>
      </c>
      <c r="D171" s="9" t="s">
        <v>59</v>
      </c>
      <c r="E171" s="9" t="s">
        <v>35</v>
      </c>
      <c r="F171" s="9" t="s">
        <v>36</v>
      </c>
      <c r="G171" s="9">
        <v>6</v>
      </c>
      <c r="H171" s="9">
        <v>84212300</v>
      </c>
      <c r="I171" s="11" t="s">
        <v>37</v>
      </c>
      <c r="J171" s="12">
        <v>2.3E-2</v>
      </c>
      <c r="K171" s="12">
        <v>0.108</v>
      </c>
      <c r="L171" s="12">
        <v>5.1999999999999998E-2</v>
      </c>
      <c r="M171" s="13">
        <v>8003453810303</v>
      </c>
      <c r="N171" s="14">
        <v>0</v>
      </c>
      <c r="O171" s="14">
        <v>0</v>
      </c>
      <c r="P171" s="15">
        <v>45566</v>
      </c>
      <c r="Q171" s="16" t="s">
        <v>10008</v>
      </c>
      <c r="R171" s="17" t="s">
        <v>10009</v>
      </c>
      <c r="S171" s="17" t="s">
        <v>35</v>
      </c>
      <c r="T171" s="17" t="s">
        <v>35</v>
      </c>
      <c r="U171" s="17" t="s">
        <v>35</v>
      </c>
      <c r="V171" s="17" t="s">
        <v>35</v>
      </c>
      <c r="W171" s="17" t="s">
        <v>35</v>
      </c>
      <c r="X171" s="17" t="s">
        <v>35</v>
      </c>
      <c r="Y171" s="17" t="s">
        <v>35</v>
      </c>
      <c r="Z171" s="17" t="s">
        <v>10010</v>
      </c>
      <c r="AA171" s="17" t="s">
        <v>35</v>
      </c>
      <c r="AB171" s="17" t="s">
        <v>10011</v>
      </c>
      <c r="AC171" s="17" t="s">
        <v>9539</v>
      </c>
      <c r="AD171" s="41">
        <v>99.06</v>
      </c>
      <c r="AE171" s="41">
        <v>104.21</v>
      </c>
      <c r="AF171" s="48"/>
      <c r="AG171" s="44"/>
      <c r="AH171" s="7">
        <f t="shared" si="2"/>
        <v>0</v>
      </c>
      <c r="AI171" s="18"/>
      <c r="AJ171" s="18"/>
    </row>
    <row r="172" spans="1:38" ht="26.65" customHeight="1" x14ac:dyDescent="0.25">
      <c r="A172" s="10" t="s">
        <v>10012</v>
      </c>
      <c r="B172" s="9" t="s">
        <v>903</v>
      </c>
      <c r="C172" s="9" t="s">
        <v>34</v>
      </c>
      <c r="D172" s="9" t="s">
        <v>59</v>
      </c>
      <c r="E172" s="9" t="s">
        <v>35</v>
      </c>
      <c r="F172" s="9" t="s">
        <v>36</v>
      </c>
      <c r="G172" s="9">
        <v>6</v>
      </c>
      <c r="H172" s="9">
        <v>84212300</v>
      </c>
      <c r="I172" s="11" t="s">
        <v>37</v>
      </c>
      <c r="J172" s="12">
        <v>2.3E-2</v>
      </c>
      <c r="K172" s="12">
        <v>0.108</v>
      </c>
      <c r="L172" s="12">
        <v>5.1999999999999998E-2</v>
      </c>
      <c r="M172" s="13">
        <v>8003453810075</v>
      </c>
      <c r="N172" s="14">
        <v>0</v>
      </c>
      <c r="O172" s="14">
        <v>0</v>
      </c>
      <c r="P172" s="15">
        <v>45566</v>
      </c>
      <c r="Q172" s="16" t="s">
        <v>10013</v>
      </c>
      <c r="R172" s="17" t="s">
        <v>10014</v>
      </c>
      <c r="S172" s="17" t="s">
        <v>35</v>
      </c>
      <c r="T172" s="17" t="s">
        <v>35</v>
      </c>
      <c r="U172" s="17" t="s">
        <v>35</v>
      </c>
      <c r="V172" s="17" t="s">
        <v>35</v>
      </c>
      <c r="W172" s="17" t="s">
        <v>35</v>
      </c>
      <c r="X172" s="17" t="s">
        <v>35</v>
      </c>
      <c r="Y172" s="17" t="s">
        <v>35</v>
      </c>
      <c r="Z172" s="17" t="s">
        <v>35</v>
      </c>
      <c r="AA172" s="17" t="s">
        <v>35</v>
      </c>
      <c r="AB172" s="17" t="s">
        <v>10015</v>
      </c>
      <c r="AC172" s="17" t="s">
        <v>9539</v>
      </c>
      <c r="AD172" s="41">
        <v>100.28</v>
      </c>
      <c r="AE172" s="41">
        <v>105.49</v>
      </c>
      <c r="AF172" s="48"/>
      <c r="AG172" s="44"/>
      <c r="AH172" s="7">
        <f t="shared" si="2"/>
        <v>0</v>
      </c>
      <c r="AI172" s="18"/>
      <c r="AJ172" s="18"/>
    </row>
    <row r="173" spans="1:38" ht="26.65" customHeight="1" x14ac:dyDescent="0.25">
      <c r="A173" s="10" t="s">
        <v>8915</v>
      </c>
      <c r="B173" s="9" t="s">
        <v>903</v>
      </c>
      <c r="C173" s="9" t="s">
        <v>34</v>
      </c>
      <c r="D173" s="9" t="s">
        <v>904</v>
      </c>
      <c r="E173" s="9" t="s">
        <v>35</v>
      </c>
      <c r="F173" s="9" t="s">
        <v>36</v>
      </c>
      <c r="G173" s="9">
        <v>6</v>
      </c>
      <c r="H173" s="9">
        <v>84212300</v>
      </c>
      <c r="I173" s="11" t="s">
        <v>37</v>
      </c>
      <c r="J173" s="12">
        <v>2.3E-2</v>
      </c>
      <c r="K173" s="12">
        <v>0.108</v>
      </c>
      <c r="L173" s="12">
        <v>5.1999999999999998E-2</v>
      </c>
      <c r="M173" s="13">
        <v>8003453063198</v>
      </c>
      <c r="N173" s="14">
        <v>0</v>
      </c>
      <c r="O173" s="14">
        <v>0</v>
      </c>
      <c r="P173" s="15">
        <v>45352</v>
      </c>
      <c r="Q173" s="16" t="s">
        <v>8916</v>
      </c>
      <c r="R173" s="17" t="s">
        <v>8917</v>
      </c>
      <c r="S173" s="17" t="s">
        <v>1101</v>
      </c>
      <c r="T173" s="17" t="s">
        <v>1102</v>
      </c>
      <c r="U173" s="17" t="s">
        <v>35</v>
      </c>
      <c r="V173" s="17" t="s">
        <v>35</v>
      </c>
      <c r="W173" s="17" t="s">
        <v>35</v>
      </c>
      <c r="X173" s="17" t="s">
        <v>35</v>
      </c>
      <c r="Y173" s="17" t="s">
        <v>35</v>
      </c>
      <c r="Z173" s="17" t="s">
        <v>1103</v>
      </c>
      <c r="AA173" s="17" t="s">
        <v>35</v>
      </c>
      <c r="AB173" s="17" t="s">
        <v>8918</v>
      </c>
      <c r="AC173" s="17" t="s">
        <v>9539</v>
      </c>
      <c r="AD173" s="42">
        <v>138.38999999999999</v>
      </c>
      <c r="AE173" s="42">
        <v>145.59</v>
      </c>
      <c r="AF173" s="48"/>
      <c r="AG173" s="44"/>
      <c r="AH173" s="7">
        <f t="shared" si="2"/>
        <v>0</v>
      </c>
      <c r="AI173" s="18"/>
      <c r="AJ173" s="18"/>
    </row>
    <row r="174" spans="1:38" ht="26.65" customHeight="1" x14ac:dyDescent="0.25">
      <c r="A174" s="10" t="s">
        <v>10016</v>
      </c>
      <c r="B174" s="9" t="s">
        <v>903</v>
      </c>
      <c r="C174" s="9" t="s">
        <v>58</v>
      </c>
      <c r="D174" s="9" t="s">
        <v>59</v>
      </c>
      <c r="E174" s="9" t="s">
        <v>35</v>
      </c>
      <c r="F174" s="9" t="s">
        <v>36</v>
      </c>
      <c r="G174" s="9">
        <v>6</v>
      </c>
      <c r="H174" s="9">
        <v>84212300</v>
      </c>
      <c r="I174" s="11" t="s">
        <v>37</v>
      </c>
      <c r="J174" s="12">
        <v>2.3E-2</v>
      </c>
      <c r="K174" s="12">
        <v>0.108</v>
      </c>
      <c r="L174" s="12">
        <v>5.1999999999999998E-2</v>
      </c>
      <c r="M174" s="13">
        <v>8003453809086</v>
      </c>
      <c r="N174" s="14">
        <v>0</v>
      </c>
      <c r="O174" s="14">
        <v>0</v>
      </c>
      <c r="P174" s="15">
        <v>45566</v>
      </c>
      <c r="Q174" s="16" t="s">
        <v>10017</v>
      </c>
      <c r="R174" s="17" t="s">
        <v>10018</v>
      </c>
      <c r="S174" s="17" t="s">
        <v>35</v>
      </c>
      <c r="T174" s="17" t="s">
        <v>35</v>
      </c>
      <c r="U174" s="17" t="s">
        <v>35</v>
      </c>
      <c r="V174" s="17" t="s">
        <v>35</v>
      </c>
      <c r="W174" s="17" t="s">
        <v>35</v>
      </c>
      <c r="X174" s="17" t="s">
        <v>35</v>
      </c>
      <c r="Y174" s="17" t="s">
        <v>1315</v>
      </c>
      <c r="Z174" s="17" t="s">
        <v>1316</v>
      </c>
      <c r="AA174" s="17" t="s">
        <v>35</v>
      </c>
      <c r="AB174" s="17" t="s">
        <v>10019</v>
      </c>
      <c r="AC174" s="17" t="s">
        <v>9539</v>
      </c>
      <c r="AD174" s="41">
        <v>30.16</v>
      </c>
      <c r="AE174" s="41">
        <v>31.73</v>
      </c>
      <c r="AF174" s="48"/>
      <c r="AG174" s="44"/>
      <c r="AH174" s="7">
        <f t="shared" si="2"/>
        <v>0</v>
      </c>
      <c r="AI174" s="18"/>
      <c r="AJ174" s="18"/>
    </row>
    <row r="175" spans="1:38" ht="26.65" customHeight="1" x14ac:dyDescent="0.25">
      <c r="A175" s="10" t="s">
        <v>10020</v>
      </c>
      <c r="B175" s="9" t="s">
        <v>903</v>
      </c>
      <c r="C175" s="9" t="s">
        <v>34</v>
      </c>
      <c r="D175" s="9" t="s">
        <v>59</v>
      </c>
      <c r="E175" s="9" t="s">
        <v>35</v>
      </c>
      <c r="F175" s="9" t="s">
        <v>36</v>
      </c>
      <c r="G175" s="9">
        <v>6</v>
      </c>
      <c r="H175" s="9">
        <v>84212300</v>
      </c>
      <c r="I175" s="11" t="s">
        <v>37</v>
      </c>
      <c r="J175" s="12">
        <v>2.3E-2</v>
      </c>
      <c r="K175" s="12">
        <v>0.108</v>
      </c>
      <c r="L175" s="12">
        <v>5.1999999999999998E-2</v>
      </c>
      <c r="M175" s="13">
        <v>8003453810068</v>
      </c>
      <c r="N175" s="14">
        <v>0</v>
      </c>
      <c r="O175" s="14">
        <v>0</v>
      </c>
      <c r="P175" s="15">
        <v>45566</v>
      </c>
      <c r="Q175" s="16" t="s">
        <v>10021</v>
      </c>
      <c r="R175" s="17" t="s">
        <v>10022</v>
      </c>
      <c r="S175" s="17" t="s">
        <v>35</v>
      </c>
      <c r="T175" s="17" t="s">
        <v>35</v>
      </c>
      <c r="U175" s="17" t="s">
        <v>35</v>
      </c>
      <c r="V175" s="17" t="s">
        <v>35</v>
      </c>
      <c r="W175" s="17" t="s">
        <v>35</v>
      </c>
      <c r="X175" s="17" t="s">
        <v>35</v>
      </c>
      <c r="Y175" s="17" t="s">
        <v>35</v>
      </c>
      <c r="Z175" s="17" t="s">
        <v>10023</v>
      </c>
      <c r="AA175" s="17" t="s">
        <v>35</v>
      </c>
      <c r="AB175" s="17" t="s">
        <v>10024</v>
      </c>
      <c r="AC175" s="17" t="s">
        <v>9539</v>
      </c>
      <c r="AD175" s="41">
        <v>46.69</v>
      </c>
      <c r="AE175" s="41">
        <v>49.12</v>
      </c>
      <c r="AF175" s="48"/>
      <c r="AG175" s="44"/>
      <c r="AH175" s="7">
        <f t="shared" si="2"/>
        <v>0</v>
      </c>
      <c r="AI175" s="18"/>
      <c r="AJ175" s="18"/>
    </row>
    <row r="176" spans="1:38" ht="26.65" customHeight="1" x14ac:dyDescent="0.25">
      <c r="A176" s="10" t="s">
        <v>1122</v>
      </c>
      <c r="B176" s="9" t="s">
        <v>903</v>
      </c>
      <c r="C176" s="9" t="s">
        <v>43</v>
      </c>
      <c r="D176" s="9" t="s">
        <v>904</v>
      </c>
      <c r="E176" s="9" t="s">
        <v>35</v>
      </c>
      <c r="F176" s="9" t="s">
        <v>36</v>
      </c>
      <c r="G176" s="9">
        <v>6</v>
      </c>
      <c r="H176" s="9">
        <v>84212300</v>
      </c>
      <c r="I176" s="11" t="s">
        <v>37</v>
      </c>
      <c r="J176" s="12">
        <v>2.3E-2</v>
      </c>
      <c r="K176" s="12">
        <v>0.108</v>
      </c>
      <c r="L176" s="12">
        <v>5.1999999999999998E-2</v>
      </c>
      <c r="M176" s="13">
        <v>8003453062917</v>
      </c>
      <c r="N176" s="14">
        <v>0.45400000000000001</v>
      </c>
      <c r="O176" s="14">
        <v>0.496</v>
      </c>
      <c r="P176" s="15">
        <v>44805</v>
      </c>
      <c r="Q176" s="16" t="s">
        <v>1123</v>
      </c>
      <c r="R176" s="17" t="s">
        <v>1124</v>
      </c>
      <c r="S176" s="17" t="s">
        <v>35</v>
      </c>
      <c r="T176" s="17" t="s">
        <v>1125</v>
      </c>
      <c r="U176" s="17" t="s">
        <v>35</v>
      </c>
      <c r="V176" s="17" t="s">
        <v>35</v>
      </c>
      <c r="W176" s="17" t="s">
        <v>35</v>
      </c>
      <c r="X176" s="17" t="s">
        <v>35</v>
      </c>
      <c r="Y176" s="17" t="s">
        <v>35</v>
      </c>
      <c r="Z176" s="17" t="s">
        <v>35</v>
      </c>
      <c r="AA176" s="17" t="s">
        <v>35</v>
      </c>
      <c r="AB176" s="17" t="s">
        <v>35</v>
      </c>
      <c r="AC176" s="17" t="s">
        <v>9539</v>
      </c>
      <c r="AD176" s="42">
        <v>99.01</v>
      </c>
      <c r="AE176" s="42">
        <v>104.16</v>
      </c>
      <c r="AF176" s="48"/>
      <c r="AG176" s="44"/>
      <c r="AH176" s="7">
        <f t="shared" si="2"/>
        <v>0</v>
      </c>
      <c r="AI176" s="18"/>
      <c r="AJ176" s="18"/>
    </row>
    <row r="177" spans="1:36" ht="26.65" customHeight="1" x14ac:dyDescent="0.25">
      <c r="A177" s="10" t="s">
        <v>1126</v>
      </c>
      <c r="B177" s="9" t="s">
        <v>903</v>
      </c>
      <c r="C177" s="9" t="s">
        <v>43</v>
      </c>
      <c r="D177" s="9" t="s">
        <v>904</v>
      </c>
      <c r="E177" s="9" t="s">
        <v>35</v>
      </c>
      <c r="F177" s="9" t="s">
        <v>36</v>
      </c>
      <c r="G177" s="9">
        <v>6</v>
      </c>
      <c r="H177" s="9">
        <v>84212300</v>
      </c>
      <c r="I177" s="11" t="s">
        <v>37</v>
      </c>
      <c r="J177" s="12">
        <v>2.3E-2</v>
      </c>
      <c r="K177" s="12">
        <v>0.108</v>
      </c>
      <c r="L177" s="12">
        <v>5.1999999999999998E-2</v>
      </c>
      <c r="M177" s="13">
        <v>8003453062931</v>
      </c>
      <c r="N177" s="14">
        <v>0.44</v>
      </c>
      <c r="O177" s="14">
        <v>0.47799999999999998</v>
      </c>
      <c r="P177" s="15">
        <v>45170</v>
      </c>
      <c r="Q177" s="16" t="s">
        <v>1127</v>
      </c>
      <c r="R177" s="17" t="s">
        <v>1128</v>
      </c>
      <c r="S177" s="17" t="s">
        <v>1129</v>
      </c>
      <c r="T177" s="17" t="s">
        <v>1130</v>
      </c>
      <c r="U177" s="17" t="s">
        <v>35</v>
      </c>
      <c r="V177" s="17" t="s">
        <v>35</v>
      </c>
      <c r="W177" s="17" t="s">
        <v>35</v>
      </c>
      <c r="X177" s="17" t="s">
        <v>1131</v>
      </c>
      <c r="Y177" s="17" t="s">
        <v>1132</v>
      </c>
      <c r="Z177" s="17" t="s">
        <v>35</v>
      </c>
      <c r="AA177" s="17" t="s">
        <v>35</v>
      </c>
      <c r="AB177" s="17" t="s">
        <v>35</v>
      </c>
      <c r="AC177" s="17" t="s">
        <v>9539</v>
      </c>
      <c r="AD177" s="42">
        <v>230.92</v>
      </c>
      <c r="AE177" s="42">
        <v>242.93</v>
      </c>
      <c r="AF177" s="48"/>
      <c r="AG177" s="44"/>
      <c r="AH177" s="7">
        <f t="shared" si="2"/>
        <v>0</v>
      </c>
      <c r="AI177" s="18"/>
      <c r="AJ177" s="18"/>
    </row>
    <row r="178" spans="1:36" ht="26.65" customHeight="1" x14ac:dyDescent="0.25">
      <c r="A178" s="10" t="s">
        <v>10025</v>
      </c>
      <c r="B178" s="9" t="s">
        <v>903</v>
      </c>
      <c r="C178" s="9" t="s">
        <v>34</v>
      </c>
      <c r="D178" s="9" t="s">
        <v>59</v>
      </c>
      <c r="E178" s="9" t="s">
        <v>35</v>
      </c>
      <c r="F178" s="9" t="s">
        <v>36</v>
      </c>
      <c r="G178" s="9">
        <v>6</v>
      </c>
      <c r="H178" s="9">
        <v>84212300</v>
      </c>
      <c r="I178" s="11" t="s">
        <v>37</v>
      </c>
      <c r="J178" s="12">
        <v>2.3E-2</v>
      </c>
      <c r="K178" s="12">
        <v>0.108</v>
      </c>
      <c r="L178" s="12">
        <v>5.1999999999999998E-2</v>
      </c>
      <c r="M178" s="13">
        <v>8003453808843</v>
      </c>
      <c r="N178" s="14">
        <v>0</v>
      </c>
      <c r="O178" s="14">
        <v>0</v>
      </c>
      <c r="P178" s="15">
        <v>45566</v>
      </c>
      <c r="Q178" s="16" t="s">
        <v>10026</v>
      </c>
      <c r="R178" s="17" t="s">
        <v>10027</v>
      </c>
      <c r="S178" s="17" t="s">
        <v>35</v>
      </c>
      <c r="T178" s="17" t="s">
        <v>35</v>
      </c>
      <c r="U178" s="17" t="s">
        <v>35</v>
      </c>
      <c r="V178" s="17" t="s">
        <v>35</v>
      </c>
      <c r="W178" s="17" t="s">
        <v>35</v>
      </c>
      <c r="X178" s="17" t="s">
        <v>35</v>
      </c>
      <c r="Y178" s="17" t="s">
        <v>10028</v>
      </c>
      <c r="Z178" s="17" t="s">
        <v>10029</v>
      </c>
      <c r="AA178" s="17" t="s">
        <v>35</v>
      </c>
      <c r="AB178" s="17" t="s">
        <v>35</v>
      </c>
      <c r="AC178" s="17" t="s">
        <v>9539</v>
      </c>
      <c r="AD178" s="41">
        <v>90.23</v>
      </c>
      <c r="AE178" s="41">
        <v>94.92</v>
      </c>
      <c r="AF178" s="48"/>
      <c r="AG178" s="44"/>
      <c r="AH178" s="7">
        <f t="shared" si="2"/>
        <v>0</v>
      </c>
      <c r="AI178" s="18"/>
      <c r="AJ178" s="18"/>
    </row>
    <row r="179" spans="1:36" ht="26.65" customHeight="1" x14ac:dyDescent="0.25">
      <c r="A179" s="10" t="s">
        <v>10030</v>
      </c>
      <c r="B179" s="9" t="s">
        <v>903</v>
      </c>
      <c r="C179" s="9" t="s">
        <v>34</v>
      </c>
      <c r="D179" s="9" t="s">
        <v>59</v>
      </c>
      <c r="E179" s="9" t="s">
        <v>35</v>
      </c>
      <c r="F179" s="9" t="s">
        <v>36</v>
      </c>
      <c r="G179" s="9">
        <v>6</v>
      </c>
      <c r="H179" s="9">
        <v>84212300</v>
      </c>
      <c r="I179" s="11" t="s">
        <v>37</v>
      </c>
      <c r="J179" s="12">
        <v>2.3E-2</v>
      </c>
      <c r="K179" s="12">
        <v>0.108</v>
      </c>
      <c r="L179" s="12">
        <v>5.1999999999999998E-2</v>
      </c>
      <c r="M179" s="13">
        <v>8003453802742</v>
      </c>
      <c r="N179" s="14">
        <v>0</v>
      </c>
      <c r="O179" s="14">
        <v>0</v>
      </c>
      <c r="P179" s="15">
        <v>45566</v>
      </c>
      <c r="Q179" s="16" t="s">
        <v>10031</v>
      </c>
      <c r="R179" s="17" t="s">
        <v>10032</v>
      </c>
      <c r="S179" s="17" t="s">
        <v>1025</v>
      </c>
      <c r="T179" s="17" t="s">
        <v>35</v>
      </c>
      <c r="U179" s="17" t="s">
        <v>35</v>
      </c>
      <c r="V179" s="17" t="s">
        <v>35</v>
      </c>
      <c r="W179" s="17" t="s">
        <v>35</v>
      </c>
      <c r="X179" s="17" t="s">
        <v>35</v>
      </c>
      <c r="Y179" s="17" t="s">
        <v>1031</v>
      </c>
      <c r="Z179" s="17" t="s">
        <v>10033</v>
      </c>
      <c r="AA179" s="17" t="s">
        <v>35</v>
      </c>
      <c r="AB179" s="17" t="s">
        <v>1034</v>
      </c>
      <c r="AC179" s="17" t="s">
        <v>9539</v>
      </c>
      <c r="AD179" s="41">
        <v>33.68</v>
      </c>
      <c r="AE179" s="41">
        <v>35.43</v>
      </c>
      <c r="AF179" s="48"/>
      <c r="AG179" s="44"/>
      <c r="AH179" s="7">
        <f t="shared" si="2"/>
        <v>0</v>
      </c>
      <c r="AI179" s="18"/>
      <c r="AJ179" s="18"/>
    </row>
    <row r="180" spans="1:36" ht="26.65" customHeight="1" x14ac:dyDescent="0.25">
      <c r="A180" s="10" t="s">
        <v>10036</v>
      </c>
      <c r="B180" s="9" t="s">
        <v>903</v>
      </c>
      <c r="C180" s="9" t="s">
        <v>34</v>
      </c>
      <c r="D180" s="9" t="s">
        <v>59</v>
      </c>
      <c r="E180" s="9" t="s">
        <v>35</v>
      </c>
      <c r="F180" s="9" t="s">
        <v>36</v>
      </c>
      <c r="G180" s="9">
        <v>6</v>
      </c>
      <c r="H180" s="9">
        <v>84212300</v>
      </c>
      <c r="I180" s="11" t="s">
        <v>37</v>
      </c>
      <c r="J180" s="12">
        <v>2.3E-2</v>
      </c>
      <c r="K180" s="12">
        <v>0.108</v>
      </c>
      <c r="L180" s="12">
        <v>5.1999999999999998E-2</v>
      </c>
      <c r="M180" s="13">
        <v>8003453802773</v>
      </c>
      <c r="N180" s="14">
        <v>0</v>
      </c>
      <c r="O180" s="14">
        <v>0</v>
      </c>
      <c r="P180" s="15">
        <v>45566</v>
      </c>
      <c r="Q180" s="16" t="s">
        <v>10037</v>
      </c>
      <c r="R180" s="17">
        <v>4326739</v>
      </c>
      <c r="S180" s="17" t="s">
        <v>10038</v>
      </c>
      <c r="T180" s="17" t="s">
        <v>10039</v>
      </c>
      <c r="U180" s="17" t="s">
        <v>35</v>
      </c>
      <c r="V180" s="17" t="s">
        <v>35</v>
      </c>
      <c r="W180" s="17" t="s">
        <v>35</v>
      </c>
      <c r="X180" s="17" t="s">
        <v>35</v>
      </c>
      <c r="Y180" s="17" t="s">
        <v>35</v>
      </c>
      <c r="Z180" s="17" t="s">
        <v>10040</v>
      </c>
      <c r="AA180" s="17" t="s">
        <v>35</v>
      </c>
      <c r="AB180" s="17" t="s">
        <v>10041</v>
      </c>
      <c r="AC180" s="17" t="s">
        <v>9539</v>
      </c>
      <c r="AD180" s="41">
        <v>27.95</v>
      </c>
      <c r="AE180" s="41">
        <v>29.4</v>
      </c>
      <c r="AF180" s="48"/>
      <c r="AG180" s="44"/>
      <c r="AH180" s="7">
        <f t="shared" si="2"/>
        <v>0</v>
      </c>
      <c r="AI180" s="18"/>
      <c r="AJ180" s="18"/>
    </row>
    <row r="181" spans="1:36" ht="26.65" customHeight="1" x14ac:dyDescent="0.25">
      <c r="A181" s="10" t="s">
        <v>10042</v>
      </c>
      <c r="B181" s="9" t="s">
        <v>903</v>
      </c>
      <c r="C181" s="9" t="s">
        <v>34</v>
      </c>
      <c r="D181" s="9" t="s">
        <v>59</v>
      </c>
      <c r="E181" s="9" t="s">
        <v>35</v>
      </c>
      <c r="F181" s="9" t="s">
        <v>36</v>
      </c>
      <c r="G181" s="9">
        <v>6</v>
      </c>
      <c r="H181" s="9">
        <v>84212300</v>
      </c>
      <c r="I181" s="11" t="s">
        <v>37</v>
      </c>
      <c r="J181" s="12">
        <v>2.3E-2</v>
      </c>
      <c r="K181" s="12">
        <v>0.108</v>
      </c>
      <c r="L181" s="12">
        <v>5.1999999999999998E-2</v>
      </c>
      <c r="M181" s="13">
        <v>8003453802780</v>
      </c>
      <c r="N181" s="14">
        <v>0</v>
      </c>
      <c r="O181" s="14">
        <v>0</v>
      </c>
      <c r="P181" s="15">
        <v>45566</v>
      </c>
      <c r="Q181" s="16" t="s">
        <v>10043</v>
      </c>
      <c r="R181" s="17">
        <v>3820664</v>
      </c>
      <c r="S181" s="17" t="s">
        <v>35</v>
      </c>
      <c r="T181" s="17" t="s">
        <v>35</v>
      </c>
      <c r="U181" s="17" t="s">
        <v>35</v>
      </c>
      <c r="V181" s="17" t="s">
        <v>35</v>
      </c>
      <c r="W181" s="17" t="s">
        <v>35</v>
      </c>
      <c r="X181" s="17" t="s">
        <v>35</v>
      </c>
      <c r="Y181" s="17" t="s">
        <v>10044</v>
      </c>
      <c r="Z181" s="17" t="s">
        <v>10045</v>
      </c>
      <c r="AA181" s="17" t="s">
        <v>35</v>
      </c>
      <c r="AB181" s="17" t="s">
        <v>10046</v>
      </c>
      <c r="AC181" s="17" t="s">
        <v>9539</v>
      </c>
      <c r="AD181" s="41">
        <v>192.79</v>
      </c>
      <c r="AE181" s="41">
        <v>202.82</v>
      </c>
      <c r="AF181" s="48"/>
      <c r="AG181" s="44"/>
      <c r="AH181" s="7">
        <f t="shared" si="2"/>
        <v>0</v>
      </c>
      <c r="AI181" s="18"/>
      <c r="AJ181" s="18"/>
    </row>
    <row r="182" spans="1:36" ht="26.65" customHeight="1" x14ac:dyDescent="0.25">
      <c r="A182" s="10" t="s">
        <v>10047</v>
      </c>
      <c r="B182" s="9" t="s">
        <v>903</v>
      </c>
      <c r="C182" s="9" t="s">
        <v>34</v>
      </c>
      <c r="D182" s="9" t="s">
        <v>59</v>
      </c>
      <c r="E182" s="9" t="s">
        <v>35</v>
      </c>
      <c r="F182" s="9" t="s">
        <v>36</v>
      </c>
      <c r="G182" s="9">
        <v>6</v>
      </c>
      <c r="H182" s="9">
        <v>84212300</v>
      </c>
      <c r="I182" s="11" t="s">
        <v>37</v>
      </c>
      <c r="J182" s="12">
        <v>2.3E-2</v>
      </c>
      <c r="K182" s="12">
        <v>0.108</v>
      </c>
      <c r="L182" s="12">
        <v>5.1999999999999998E-2</v>
      </c>
      <c r="M182" s="13" t="s">
        <v>10048</v>
      </c>
      <c r="N182" s="14">
        <v>0</v>
      </c>
      <c r="O182" s="14">
        <v>0</v>
      </c>
      <c r="P182" s="15">
        <v>45566</v>
      </c>
      <c r="Q182" s="16" t="s">
        <v>10049</v>
      </c>
      <c r="R182" s="17" t="s">
        <v>10050</v>
      </c>
      <c r="S182" s="17" t="s">
        <v>35</v>
      </c>
      <c r="T182" s="17" t="s">
        <v>35</v>
      </c>
      <c r="U182" s="17" t="s">
        <v>35</v>
      </c>
      <c r="V182" s="17" t="s">
        <v>35</v>
      </c>
      <c r="W182" s="17" t="s">
        <v>35</v>
      </c>
      <c r="X182" s="17" t="s">
        <v>35</v>
      </c>
      <c r="Y182" s="17" t="s">
        <v>35</v>
      </c>
      <c r="Z182" s="17" t="s">
        <v>10051</v>
      </c>
      <c r="AA182" s="17" t="s">
        <v>35</v>
      </c>
      <c r="AB182" s="17" t="s">
        <v>10052</v>
      </c>
      <c r="AC182" s="17" t="s">
        <v>9539</v>
      </c>
      <c r="AD182" s="41">
        <v>117.7</v>
      </c>
      <c r="AE182" s="41">
        <v>123.82</v>
      </c>
      <c r="AF182" s="48"/>
      <c r="AG182" s="44"/>
      <c r="AH182" s="7">
        <f t="shared" si="2"/>
        <v>0</v>
      </c>
      <c r="AI182" s="18"/>
      <c r="AJ182" s="18"/>
    </row>
    <row r="183" spans="1:36" ht="26.65" customHeight="1" x14ac:dyDescent="0.25">
      <c r="A183" s="10" t="s">
        <v>10053</v>
      </c>
      <c r="B183" s="9" t="s">
        <v>903</v>
      </c>
      <c r="C183" s="9" t="s">
        <v>34</v>
      </c>
      <c r="D183" s="9" t="s">
        <v>59</v>
      </c>
      <c r="E183" s="9" t="s">
        <v>35</v>
      </c>
      <c r="F183" s="9" t="s">
        <v>36</v>
      </c>
      <c r="G183" s="9">
        <v>6</v>
      </c>
      <c r="H183" s="9">
        <v>84212300</v>
      </c>
      <c r="I183" s="11" t="s">
        <v>37</v>
      </c>
      <c r="J183" s="12">
        <v>2.3E-2</v>
      </c>
      <c r="K183" s="12">
        <v>0.108</v>
      </c>
      <c r="L183" s="12">
        <v>5.1999999999999998E-2</v>
      </c>
      <c r="M183" s="13" t="s">
        <v>10054</v>
      </c>
      <c r="N183" s="14">
        <v>0</v>
      </c>
      <c r="O183" s="14">
        <v>0</v>
      </c>
      <c r="P183" s="15">
        <v>45566</v>
      </c>
      <c r="Q183" s="16" t="s">
        <v>10034</v>
      </c>
      <c r="R183" s="17" t="s">
        <v>10055</v>
      </c>
      <c r="S183" s="17" t="s">
        <v>35</v>
      </c>
      <c r="T183" s="17" t="s">
        <v>35</v>
      </c>
      <c r="U183" s="17" t="s">
        <v>35</v>
      </c>
      <c r="V183" s="17" t="s">
        <v>35</v>
      </c>
      <c r="W183" s="17" t="s">
        <v>35</v>
      </c>
      <c r="X183" s="17" t="s">
        <v>35</v>
      </c>
      <c r="Y183" s="17" t="s">
        <v>10035</v>
      </c>
      <c r="Z183" s="17" t="s">
        <v>10056</v>
      </c>
      <c r="AA183" s="17" t="s">
        <v>35</v>
      </c>
      <c r="AB183" s="17" t="s">
        <v>10057</v>
      </c>
      <c r="AC183" s="17" t="s">
        <v>9539</v>
      </c>
      <c r="AD183" s="41">
        <v>73.290000000000006</v>
      </c>
      <c r="AE183" s="41">
        <v>77.099999999999994</v>
      </c>
      <c r="AF183" s="48"/>
      <c r="AG183" s="44"/>
      <c r="AH183" s="7">
        <f t="shared" si="2"/>
        <v>0</v>
      </c>
      <c r="AI183" s="18"/>
      <c r="AJ183" s="18"/>
    </row>
    <row r="184" spans="1:36" ht="26.65" customHeight="1" x14ac:dyDescent="0.25">
      <c r="A184" s="10" t="s">
        <v>1133</v>
      </c>
      <c r="B184" s="9" t="s">
        <v>903</v>
      </c>
      <c r="C184" s="9" t="s">
        <v>34</v>
      </c>
      <c r="D184" s="9" t="s">
        <v>59</v>
      </c>
      <c r="E184" s="9" t="s">
        <v>35</v>
      </c>
      <c r="F184" s="9" t="s">
        <v>36</v>
      </c>
      <c r="G184" s="9">
        <v>6</v>
      </c>
      <c r="H184" s="9">
        <v>84212300</v>
      </c>
      <c r="I184" s="11" t="s">
        <v>37</v>
      </c>
      <c r="J184" s="12">
        <v>2.3E-2</v>
      </c>
      <c r="K184" s="12">
        <v>0.108</v>
      </c>
      <c r="L184" s="12">
        <v>5.1999999999999998E-2</v>
      </c>
      <c r="M184" s="13">
        <v>8003453063105</v>
      </c>
      <c r="N184" s="14">
        <v>1.1359999999999999</v>
      </c>
      <c r="O184" s="14">
        <v>1.196</v>
      </c>
      <c r="P184" s="15">
        <v>45078</v>
      </c>
      <c r="Q184" s="16" t="s">
        <v>1134</v>
      </c>
      <c r="R184" s="17" t="s">
        <v>1135</v>
      </c>
      <c r="S184" s="17" t="s">
        <v>35</v>
      </c>
      <c r="T184" s="17" t="s">
        <v>35</v>
      </c>
      <c r="U184" s="17" t="s">
        <v>35</v>
      </c>
      <c r="V184" s="17" t="s">
        <v>1136</v>
      </c>
      <c r="W184" s="17" t="s">
        <v>35</v>
      </c>
      <c r="X184" s="17" t="s">
        <v>35</v>
      </c>
      <c r="Y184" s="17" t="s">
        <v>35</v>
      </c>
      <c r="Z184" s="17" t="s">
        <v>1137</v>
      </c>
      <c r="AA184" s="17" t="s">
        <v>35</v>
      </c>
      <c r="AB184" s="17" t="s">
        <v>1138</v>
      </c>
      <c r="AC184" s="17" t="s">
        <v>9539</v>
      </c>
      <c r="AD184" s="42">
        <v>45.93</v>
      </c>
      <c r="AE184" s="42">
        <v>48.32</v>
      </c>
      <c r="AF184" s="48"/>
      <c r="AG184" s="44"/>
      <c r="AH184" s="7">
        <f t="shared" si="2"/>
        <v>0</v>
      </c>
      <c r="AI184" s="18"/>
      <c r="AJ184" s="18"/>
    </row>
    <row r="185" spans="1:36" ht="26.65" customHeight="1" x14ac:dyDescent="0.25">
      <c r="A185" s="10" t="s">
        <v>1139</v>
      </c>
      <c r="B185" s="9" t="s">
        <v>903</v>
      </c>
      <c r="C185" s="9" t="s">
        <v>34</v>
      </c>
      <c r="D185" s="9" t="s">
        <v>904</v>
      </c>
      <c r="E185" s="9" t="s">
        <v>35</v>
      </c>
      <c r="F185" s="9" t="s">
        <v>36</v>
      </c>
      <c r="G185" s="9">
        <v>6</v>
      </c>
      <c r="H185" s="9">
        <v>84212300</v>
      </c>
      <c r="I185" s="11" t="s">
        <v>37</v>
      </c>
      <c r="J185" s="12">
        <v>2.3E-2</v>
      </c>
      <c r="K185" s="12">
        <v>0.108</v>
      </c>
      <c r="L185" s="12">
        <v>5.1999999999999998E-2</v>
      </c>
      <c r="M185" s="13">
        <v>8003453063112</v>
      </c>
      <c r="N185" s="14">
        <v>0.45100000000000001</v>
      </c>
      <c r="O185" s="14">
        <v>0.48599999999999999</v>
      </c>
      <c r="P185" s="15">
        <v>45170</v>
      </c>
      <c r="Q185" s="16" t="s">
        <v>1140</v>
      </c>
      <c r="R185" s="17" t="s">
        <v>1141</v>
      </c>
      <c r="S185" s="17" t="s">
        <v>1142</v>
      </c>
      <c r="T185" s="17" t="s">
        <v>1143</v>
      </c>
      <c r="U185" s="17" t="s">
        <v>35</v>
      </c>
      <c r="V185" s="17" t="s">
        <v>35</v>
      </c>
      <c r="W185" s="17" t="s">
        <v>35</v>
      </c>
      <c r="X185" s="17" t="s">
        <v>35</v>
      </c>
      <c r="Y185" s="17" t="s">
        <v>35</v>
      </c>
      <c r="Z185" s="17" t="s">
        <v>1144</v>
      </c>
      <c r="AA185" s="17" t="s">
        <v>35</v>
      </c>
      <c r="AB185" s="17" t="s">
        <v>1145</v>
      </c>
      <c r="AC185" s="17" t="s">
        <v>9539</v>
      </c>
      <c r="AD185" s="42">
        <v>34.49</v>
      </c>
      <c r="AE185" s="42">
        <v>36.28</v>
      </c>
      <c r="AF185" s="48"/>
      <c r="AG185" s="44"/>
      <c r="AH185" s="7">
        <f t="shared" si="2"/>
        <v>0</v>
      </c>
      <c r="AI185" s="18"/>
      <c r="AJ185" s="18"/>
    </row>
    <row r="186" spans="1:36" ht="26.65" customHeight="1" x14ac:dyDescent="0.25">
      <c r="A186" s="10" t="s">
        <v>9097</v>
      </c>
      <c r="B186" s="9" t="s">
        <v>9098</v>
      </c>
      <c r="C186" s="9" t="s">
        <v>34</v>
      </c>
      <c r="D186" s="9" t="s">
        <v>904</v>
      </c>
      <c r="E186" s="9" t="s">
        <v>35</v>
      </c>
      <c r="F186" s="9" t="s">
        <v>36</v>
      </c>
      <c r="G186" s="9">
        <v>6</v>
      </c>
      <c r="H186" s="9">
        <v>84212300</v>
      </c>
      <c r="I186" s="11" t="s">
        <v>37</v>
      </c>
      <c r="J186" s="12">
        <v>2.3E-2</v>
      </c>
      <c r="K186" s="12">
        <v>0.108</v>
      </c>
      <c r="L186" s="12">
        <v>5.1999999999999998E-2</v>
      </c>
      <c r="M186" s="13">
        <v>8003453063167</v>
      </c>
      <c r="N186" s="14">
        <v>1.22</v>
      </c>
      <c r="O186" s="14">
        <v>1.3140000000000001</v>
      </c>
      <c r="P186" s="15">
        <v>45383</v>
      </c>
      <c r="Q186" s="16" t="s">
        <v>9099</v>
      </c>
      <c r="R186" s="17" t="s">
        <v>35</v>
      </c>
      <c r="S186" s="17" t="s">
        <v>35</v>
      </c>
      <c r="T186" s="17" t="s">
        <v>35</v>
      </c>
      <c r="U186" s="17" t="s">
        <v>35</v>
      </c>
      <c r="V186" s="17" t="s">
        <v>35</v>
      </c>
      <c r="W186" s="17" t="s">
        <v>35</v>
      </c>
      <c r="X186" s="17" t="s">
        <v>35</v>
      </c>
      <c r="Y186" s="17" t="s">
        <v>35</v>
      </c>
      <c r="Z186" s="17" t="s">
        <v>9100</v>
      </c>
      <c r="AA186" s="17" t="s">
        <v>35</v>
      </c>
      <c r="AB186" s="17" t="s">
        <v>35</v>
      </c>
      <c r="AC186" s="17" t="s">
        <v>9539</v>
      </c>
      <c r="AD186" s="42">
        <v>71.37</v>
      </c>
      <c r="AE186" s="42">
        <v>75.08</v>
      </c>
      <c r="AF186" s="48"/>
      <c r="AG186" s="44"/>
      <c r="AH186" s="7">
        <f t="shared" si="2"/>
        <v>0</v>
      </c>
      <c r="AI186" s="18"/>
      <c r="AJ186" s="18"/>
    </row>
    <row r="187" spans="1:36" ht="26.65" customHeight="1" x14ac:dyDescent="0.25">
      <c r="A187" s="10" t="s">
        <v>9101</v>
      </c>
      <c r="B187" s="9" t="s">
        <v>903</v>
      </c>
      <c r="C187" s="9" t="s">
        <v>34</v>
      </c>
      <c r="D187" s="9" t="s">
        <v>904</v>
      </c>
      <c r="E187" s="9" t="s">
        <v>35</v>
      </c>
      <c r="F187" s="9" t="s">
        <v>36</v>
      </c>
      <c r="G187" s="9">
        <v>6</v>
      </c>
      <c r="H187" s="9">
        <v>84212300</v>
      </c>
      <c r="I187" s="11" t="s">
        <v>37</v>
      </c>
      <c r="J187" s="12">
        <v>2.3E-2</v>
      </c>
      <c r="K187" s="12">
        <v>0.108</v>
      </c>
      <c r="L187" s="12">
        <v>5.1999999999999998E-2</v>
      </c>
      <c r="M187" s="13">
        <v>8003453063181</v>
      </c>
      <c r="N187" s="14">
        <v>0.373</v>
      </c>
      <c r="O187" s="14">
        <v>0.39800000000000002</v>
      </c>
      <c r="P187" s="15">
        <v>45383</v>
      </c>
      <c r="Q187" s="16" t="s">
        <v>9102</v>
      </c>
      <c r="R187" s="17" t="s">
        <v>35</v>
      </c>
      <c r="S187" s="17" t="s">
        <v>9103</v>
      </c>
      <c r="T187" s="17" t="s">
        <v>35</v>
      </c>
      <c r="U187" s="17" t="s">
        <v>35</v>
      </c>
      <c r="V187" s="17" t="s">
        <v>35</v>
      </c>
      <c r="W187" s="17" t="s">
        <v>35</v>
      </c>
      <c r="X187" s="17" t="s">
        <v>35</v>
      </c>
      <c r="Y187" s="17" t="s">
        <v>35</v>
      </c>
      <c r="Z187" s="17" t="s">
        <v>9104</v>
      </c>
      <c r="AA187" s="17" t="s">
        <v>35</v>
      </c>
      <c r="AB187" s="17" t="s">
        <v>9105</v>
      </c>
      <c r="AC187" s="17" t="s">
        <v>9539</v>
      </c>
      <c r="AD187" s="42">
        <v>30.81</v>
      </c>
      <c r="AE187" s="42">
        <v>32.409999999999997</v>
      </c>
      <c r="AF187" s="48"/>
      <c r="AG187" s="44"/>
      <c r="AH187" s="7">
        <f t="shared" si="2"/>
        <v>0</v>
      </c>
      <c r="AI187" s="18"/>
      <c r="AJ187" s="18"/>
    </row>
    <row r="188" spans="1:36" ht="26.65" customHeight="1" x14ac:dyDescent="0.25">
      <c r="A188" s="10" t="s">
        <v>1146</v>
      </c>
      <c r="B188" s="9" t="s">
        <v>1147</v>
      </c>
      <c r="C188" s="9" t="s">
        <v>34</v>
      </c>
      <c r="D188" s="9" t="s">
        <v>59</v>
      </c>
      <c r="E188" s="9" t="s">
        <v>35</v>
      </c>
      <c r="F188" s="9" t="s">
        <v>36</v>
      </c>
      <c r="G188" s="9">
        <v>6</v>
      </c>
      <c r="H188" s="9">
        <v>84212300</v>
      </c>
      <c r="I188" s="11" t="s">
        <v>37</v>
      </c>
      <c r="J188" s="12">
        <v>2.3E-2</v>
      </c>
      <c r="K188" s="12">
        <v>0.108</v>
      </c>
      <c r="L188" s="12">
        <v>5.1999999999999998E-2</v>
      </c>
      <c r="M188" s="13">
        <v>8003453063211</v>
      </c>
      <c r="N188" s="14">
        <v>0.67</v>
      </c>
      <c r="O188" s="14">
        <v>0.71799999999999997</v>
      </c>
      <c r="P188" s="15">
        <v>45139</v>
      </c>
      <c r="Q188" s="16" t="s">
        <v>1148</v>
      </c>
      <c r="R188" s="17" t="s">
        <v>1149</v>
      </c>
      <c r="S188" s="17" t="s">
        <v>1150</v>
      </c>
      <c r="T188" s="17" t="s">
        <v>1151</v>
      </c>
      <c r="U188" s="17" t="s">
        <v>1152</v>
      </c>
      <c r="V188" s="17" t="s">
        <v>35</v>
      </c>
      <c r="W188" s="17" t="s">
        <v>35</v>
      </c>
      <c r="X188" s="17" t="s">
        <v>35</v>
      </c>
      <c r="Y188" s="17" t="s">
        <v>35</v>
      </c>
      <c r="Z188" s="17" t="s">
        <v>1153</v>
      </c>
      <c r="AA188" s="17" t="s">
        <v>35</v>
      </c>
      <c r="AB188" s="17" t="s">
        <v>1154</v>
      </c>
      <c r="AC188" s="17" t="s">
        <v>9539</v>
      </c>
      <c r="AD188" s="42">
        <v>34.380000000000003</v>
      </c>
      <c r="AE188" s="42">
        <v>36.17</v>
      </c>
      <c r="AF188" s="48"/>
      <c r="AG188" s="44"/>
      <c r="AH188" s="7">
        <f t="shared" si="2"/>
        <v>0</v>
      </c>
      <c r="AI188" s="18"/>
      <c r="AJ188" s="18"/>
    </row>
    <row r="189" spans="1:36" ht="26.65" customHeight="1" x14ac:dyDescent="0.25">
      <c r="A189" s="10" t="s">
        <v>1155</v>
      </c>
      <c r="B189" s="9" t="s">
        <v>903</v>
      </c>
      <c r="C189" s="9" t="s">
        <v>34</v>
      </c>
      <c r="D189" s="9" t="s">
        <v>59</v>
      </c>
      <c r="E189" s="9" t="s">
        <v>35</v>
      </c>
      <c r="F189" s="9" t="s">
        <v>36</v>
      </c>
      <c r="G189" s="9">
        <v>6</v>
      </c>
      <c r="H189" s="9">
        <v>84212300</v>
      </c>
      <c r="I189" s="11" t="s">
        <v>37</v>
      </c>
      <c r="J189" s="12">
        <v>2.3E-2</v>
      </c>
      <c r="K189" s="12">
        <v>0.108</v>
      </c>
      <c r="L189" s="12">
        <v>5.1999999999999998E-2</v>
      </c>
      <c r="M189" s="13">
        <v>8003453063228</v>
      </c>
      <c r="N189" s="14">
        <v>1.25</v>
      </c>
      <c r="O189" s="14">
        <v>1.3440000000000001</v>
      </c>
      <c r="P189" s="15">
        <v>45231</v>
      </c>
      <c r="Q189" s="16" t="s">
        <v>1156</v>
      </c>
      <c r="R189" s="17" t="s">
        <v>1157</v>
      </c>
      <c r="S189" s="17" t="s">
        <v>35</v>
      </c>
      <c r="T189" s="17" t="s">
        <v>1158</v>
      </c>
      <c r="U189" s="17" t="s">
        <v>35</v>
      </c>
      <c r="V189" s="17" t="s">
        <v>35</v>
      </c>
      <c r="W189" s="17" t="s">
        <v>35</v>
      </c>
      <c r="X189" s="17" t="s">
        <v>35</v>
      </c>
      <c r="Y189" s="17" t="s">
        <v>35</v>
      </c>
      <c r="Z189" s="17" t="s">
        <v>1159</v>
      </c>
      <c r="AA189" s="17" t="s">
        <v>35</v>
      </c>
      <c r="AB189" s="17" t="s">
        <v>1160</v>
      </c>
      <c r="AC189" s="17" t="s">
        <v>9539</v>
      </c>
      <c r="AD189" s="42">
        <v>64.12</v>
      </c>
      <c r="AE189" s="42">
        <v>67.45</v>
      </c>
      <c r="AF189" s="48"/>
      <c r="AG189" s="44"/>
      <c r="AH189" s="7">
        <f t="shared" si="2"/>
        <v>0</v>
      </c>
      <c r="AI189" s="18"/>
      <c r="AJ189" s="18"/>
    </row>
    <row r="190" spans="1:36" ht="26.65" customHeight="1" x14ac:dyDescent="0.25">
      <c r="A190" s="10" t="s">
        <v>10058</v>
      </c>
      <c r="B190" s="9" t="s">
        <v>903</v>
      </c>
      <c r="C190" s="9" t="s">
        <v>34</v>
      </c>
      <c r="D190" s="9" t="s">
        <v>59</v>
      </c>
      <c r="E190" s="9" t="s">
        <v>35</v>
      </c>
      <c r="F190" s="9" t="s">
        <v>36</v>
      </c>
      <c r="G190" s="9">
        <v>6</v>
      </c>
      <c r="H190" s="9">
        <v>84212300</v>
      </c>
      <c r="I190" s="11" t="s">
        <v>37</v>
      </c>
      <c r="J190" s="12">
        <v>2.3E-2</v>
      </c>
      <c r="K190" s="12">
        <v>0.108</v>
      </c>
      <c r="L190" s="12">
        <v>5.1999999999999998E-2</v>
      </c>
      <c r="M190" s="13">
        <v>8003453808867</v>
      </c>
      <c r="N190" s="14">
        <v>0</v>
      </c>
      <c r="O190" s="14">
        <v>0</v>
      </c>
      <c r="P190" s="15">
        <v>45566</v>
      </c>
      <c r="Q190" s="16" t="s">
        <v>10059</v>
      </c>
      <c r="R190" s="17" t="s">
        <v>10060</v>
      </c>
      <c r="S190" s="17" t="s">
        <v>35</v>
      </c>
      <c r="T190" s="17" t="s">
        <v>35</v>
      </c>
      <c r="U190" s="17" t="s">
        <v>35</v>
      </c>
      <c r="V190" s="17" t="s">
        <v>35</v>
      </c>
      <c r="W190" s="17" t="s">
        <v>35</v>
      </c>
      <c r="X190" s="17" t="s">
        <v>35</v>
      </c>
      <c r="Y190" s="17" t="s">
        <v>10061</v>
      </c>
      <c r="Z190" s="17" t="s">
        <v>10062</v>
      </c>
      <c r="AA190" s="17" t="s">
        <v>35</v>
      </c>
      <c r="AB190" s="17" t="s">
        <v>10063</v>
      </c>
      <c r="AC190" s="17" t="s">
        <v>9539</v>
      </c>
      <c r="AD190" s="41">
        <v>66.849999999999994</v>
      </c>
      <c r="AE190" s="41">
        <v>70.33</v>
      </c>
      <c r="AF190" s="48"/>
      <c r="AG190" s="44"/>
      <c r="AH190" s="7">
        <f t="shared" si="2"/>
        <v>0</v>
      </c>
      <c r="AI190" s="18"/>
      <c r="AJ190" s="18"/>
    </row>
    <row r="191" spans="1:36" ht="26.65" customHeight="1" x14ac:dyDescent="0.25">
      <c r="A191" s="10" t="s">
        <v>1161</v>
      </c>
      <c r="B191" s="9" t="s">
        <v>903</v>
      </c>
      <c r="C191" s="9" t="s">
        <v>34</v>
      </c>
      <c r="D191" s="9" t="s">
        <v>904</v>
      </c>
      <c r="E191" s="9" t="s">
        <v>35</v>
      </c>
      <c r="F191" s="9" t="s">
        <v>36</v>
      </c>
      <c r="G191" s="9">
        <v>6</v>
      </c>
      <c r="H191" s="9">
        <v>84212300</v>
      </c>
      <c r="I191" s="11" t="s">
        <v>37</v>
      </c>
      <c r="J191" s="12">
        <v>2.3E-2</v>
      </c>
      <c r="K191" s="12">
        <v>0.108</v>
      </c>
      <c r="L191" s="12">
        <v>5.1999999999999998E-2</v>
      </c>
      <c r="M191" s="13">
        <v>8003453063266</v>
      </c>
      <c r="N191" s="14">
        <v>9.0999999999999998E-2</v>
      </c>
      <c r="O191" s="14">
        <v>0.96599999999999997</v>
      </c>
      <c r="P191" s="15">
        <v>45047</v>
      </c>
      <c r="Q191" s="16" t="s">
        <v>1162</v>
      </c>
      <c r="R191" s="17" t="s">
        <v>1163</v>
      </c>
      <c r="S191" s="17" t="s">
        <v>1164</v>
      </c>
      <c r="T191" s="17" t="s">
        <v>1165</v>
      </c>
      <c r="U191" s="17" t="s">
        <v>35</v>
      </c>
      <c r="V191" s="17" t="s">
        <v>1166</v>
      </c>
      <c r="W191" s="17" t="s">
        <v>1167</v>
      </c>
      <c r="X191" s="17" t="s">
        <v>35</v>
      </c>
      <c r="Y191" s="17" t="s">
        <v>35</v>
      </c>
      <c r="Z191" s="17" t="s">
        <v>1168</v>
      </c>
      <c r="AA191" s="17" t="s">
        <v>35</v>
      </c>
      <c r="AB191" s="17" t="s">
        <v>1169</v>
      </c>
      <c r="AC191" s="17" t="s">
        <v>9539</v>
      </c>
      <c r="AD191" s="42">
        <v>40.35</v>
      </c>
      <c r="AE191" s="42">
        <v>42.45</v>
      </c>
      <c r="AF191" s="48"/>
      <c r="AG191" s="44"/>
      <c r="AH191" s="7">
        <f t="shared" si="2"/>
        <v>0</v>
      </c>
      <c r="AI191" s="18"/>
      <c r="AJ191" s="18"/>
    </row>
    <row r="192" spans="1:36" ht="26.65" customHeight="1" x14ac:dyDescent="0.25">
      <c r="A192" s="10" t="s">
        <v>1170</v>
      </c>
      <c r="B192" s="9" t="s">
        <v>903</v>
      </c>
      <c r="C192" s="9" t="s">
        <v>34</v>
      </c>
      <c r="D192" s="9" t="s">
        <v>904</v>
      </c>
      <c r="E192" s="9" t="s">
        <v>35</v>
      </c>
      <c r="F192" s="9" t="s">
        <v>36</v>
      </c>
      <c r="G192" s="9">
        <v>6</v>
      </c>
      <c r="H192" s="9">
        <v>84212300</v>
      </c>
      <c r="I192" s="11" t="s">
        <v>37</v>
      </c>
      <c r="J192" s="12">
        <v>2.3E-2</v>
      </c>
      <c r="K192" s="12">
        <v>0.108</v>
      </c>
      <c r="L192" s="12">
        <v>5.1999999999999998E-2</v>
      </c>
      <c r="M192" s="13">
        <v>8003453063297</v>
      </c>
      <c r="N192" s="14">
        <v>0.74099999999999999</v>
      </c>
      <c r="O192" s="14">
        <v>0.89</v>
      </c>
      <c r="P192" s="15">
        <v>45170</v>
      </c>
      <c r="Q192" s="16" t="s">
        <v>1171</v>
      </c>
      <c r="R192" s="17" t="s">
        <v>1172</v>
      </c>
      <c r="S192" s="17" t="s">
        <v>1173</v>
      </c>
      <c r="T192" s="17" t="s">
        <v>1174</v>
      </c>
      <c r="U192" s="17" t="s">
        <v>1175</v>
      </c>
      <c r="V192" s="17" t="s">
        <v>1176</v>
      </c>
      <c r="W192" s="17" t="s">
        <v>1177</v>
      </c>
      <c r="X192" s="17" t="s">
        <v>1178</v>
      </c>
      <c r="Y192" s="17" t="s">
        <v>35</v>
      </c>
      <c r="Z192" s="17" t="s">
        <v>1179</v>
      </c>
      <c r="AA192" s="17" t="s">
        <v>35</v>
      </c>
      <c r="AB192" s="17" t="s">
        <v>1180</v>
      </c>
      <c r="AC192" s="17" t="s">
        <v>9539</v>
      </c>
      <c r="AD192" s="42">
        <v>50.21</v>
      </c>
      <c r="AE192" s="42">
        <v>52.82</v>
      </c>
      <c r="AF192" s="48"/>
      <c r="AG192" s="44"/>
      <c r="AH192" s="7">
        <f t="shared" si="2"/>
        <v>0</v>
      </c>
      <c r="AI192" s="18"/>
      <c r="AJ192" s="18"/>
    </row>
    <row r="193" spans="1:38" ht="26.65" customHeight="1" x14ac:dyDescent="0.25">
      <c r="A193" s="10" t="s">
        <v>1181</v>
      </c>
      <c r="B193" s="9" t="s">
        <v>903</v>
      </c>
      <c r="C193" s="9" t="s">
        <v>34</v>
      </c>
      <c r="D193" s="9" t="s">
        <v>59</v>
      </c>
      <c r="E193" s="9" t="s">
        <v>35</v>
      </c>
      <c r="F193" s="9" t="s">
        <v>36</v>
      </c>
      <c r="G193" s="9">
        <v>6</v>
      </c>
      <c r="H193" s="9">
        <v>84212300</v>
      </c>
      <c r="I193" s="11" t="s">
        <v>37</v>
      </c>
      <c r="J193" s="12">
        <v>2.3E-2</v>
      </c>
      <c r="K193" s="12">
        <v>0.108</v>
      </c>
      <c r="L193" s="12">
        <v>5.1999999999999998E-2</v>
      </c>
      <c r="M193" s="13">
        <v>8003453063303</v>
      </c>
      <c r="N193" s="14">
        <v>1.718</v>
      </c>
      <c r="O193" s="14">
        <v>1.8460000000000001</v>
      </c>
      <c r="P193" s="15">
        <v>44986</v>
      </c>
      <c r="Q193" s="16" t="s">
        <v>1182</v>
      </c>
      <c r="R193" s="17" t="s">
        <v>1183</v>
      </c>
      <c r="S193" s="17" t="s">
        <v>1184</v>
      </c>
      <c r="T193" s="17" t="s">
        <v>1185</v>
      </c>
      <c r="U193" s="17" t="s">
        <v>35</v>
      </c>
      <c r="V193" s="17" t="s">
        <v>1186</v>
      </c>
      <c r="W193" s="17" t="s">
        <v>35</v>
      </c>
      <c r="X193" s="17" t="s">
        <v>1187</v>
      </c>
      <c r="Y193" s="17" t="s">
        <v>35</v>
      </c>
      <c r="Z193" s="17" t="s">
        <v>1188</v>
      </c>
      <c r="AA193" s="17" t="s">
        <v>35</v>
      </c>
      <c r="AB193" s="17" t="s">
        <v>1189</v>
      </c>
      <c r="AC193" s="17" t="s">
        <v>9539</v>
      </c>
      <c r="AD193" s="41">
        <v>133.77000000000001</v>
      </c>
      <c r="AE193" s="41">
        <v>140.72999999999999</v>
      </c>
      <c r="AF193" s="48"/>
      <c r="AG193" s="44"/>
      <c r="AH193" s="7">
        <f t="shared" si="2"/>
        <v>0</v>
      </c>
      <c r="AI193" s="18"/>
      <c r="AJ193" s="18"/>
      <c r="AL193" s="18"/>
    </row>
    <row r="194" spans="1:38" ht="26.65" customHeight="1" x14ac:dyDescent="0.25">
      <c r="A194" s="38" t="s">
        <v>1190</v>
      </c>
      <c r="B194" s="9" t="s">
        <v>903</v>
      </c>
      <c r="C194" s="9" t="s">
        <v>34</v>
      </c>
      <c r="D194" s="9" t="s">
        <v>904</v>
      </c>
      <c r="E194" s="9" t="s">
        <v>35</v>
      </c>
      <c r="F194" s="9" t="s">
        <v>36</v>
      </c>
      <c r="G194" s="9">
        <v>6</v>
      </c>
      <c r="H194" s="9">
        <v>84212300</v>
      </c>
      <c r="I194" s="11" t="s">
        <v>37</v>
      </c>
      <c r="J194" s="12">
        <v>2.3E-2</v>
      </c>
      <c r="K194" s="12">
        <v>0.108</v>
      </c>
      <c r="L194" s="12">
        <v>5.1999999999999998E-2</v>
      </c>
      <c r="M194" s="13">
        <v>8003453063327</v>
      </c>
      <c r="N194" s="14">
        <v>0.442</v>
      </c>
      <c r="O194" s="14">
        <v>0.48</v>
      </c>
      <c r="P194" s="15">
        <v>44927</v>
      </c>
      <c r="Q194" s="16" t="s">
        <v>1191</v>
      </c>
      <c r="R194" s="17" t="s">
        <v>1192</v>
      </c>
      <c r="S194" s="17" t="s">
        <v>1193</v>
      </c>
      <c r="T194" s="17" t="s">
        <v>1194</v>
      </c>
      <c r="U194" s="17" t="s">
        <v>35</v>
      </c>
      <c r="V194" s="17" t="s">
        <v>1195</v>
      </c>
      <c r="W194" s="17" t="s">
        <v>35</v>
      </c>
      <c r="X194" s="17" t="s">
        <v>35</v>
      </c>
      <c r="Y194" s="17" t="s">
        <v>35</v>
      </c>
      <c r="Z194" s="17" t="s">
        <v>1196</v>
      </c>
      <c r="AA194" s="17" t="s">
        <v>35</v>
      </c>
      <c r="AB194" s="17" t="s">
        <v>1197</v>
      </c>
      <c r="AC194" s="17" t="s">
        <v>9538</v>
      </c>
      <c r="AD194" s="41">
        <v>52.47</v>
      </c>
      <c r="AE194" s="41">
        <v>55.2</v>
      </c>
      <c r="AF194" s="48"/>
      <c r="AG194" s="44"/>
      <c r="AH194" s="7">
        <f t="shared" si="2"/>
        <v>0</v>
      </c>
      <c r="AI194" s="18"/>
      <c r="AJ194" s="18"/>
    </row>
    <row r="195" spans="1:38" ht="26.65" customHeight="1" x14ac:dyDescent="0.25">
      <c r="A195" s="10" t="s">
        <v>10064</v>
      </c>
      <c r="B195" s="9" t="s">
        <v>903</v>
      </c>
      <c r="C195" s="9" t="s">
        <v>34</v>
      </c>
      <c r="D195" s="9" t="s">
        <v>59</v>
      </c>
      <c r="E195" s="9" t="s">
        <v>35</v>
      </c>
      <c r="F195" s="9" t="s">
        <v>36</v>
      </c>
      <c r="G195" s="9">
        <v>6</v>
      </c>
      <c r="H195" s="9">
        <v>84212300</v>
      </c>
      <c r="I195" s="11" t="s">
        <v>37</v>
      </c>
      <c r="J195" s="12">
        <v>2.3E-2</v>
      </c>
      <c r="K195" s="12">
        <v>0.108</v>
      </c>
      <c r="L195" s="12">
        <v>5.1999999999999998E-2</v>
      </c>
      <c r="M195" s="13">
        <v>8003453808874</v>
      </c>
      <c r="N195" s="14">
        <v>0</v>
      </c>
      <c r="O195" s="14">
        <v>0</v>
      </c>
      <c r="P195" s="15">
        <v>45566</v>
      </c>
      <c r="Q195" s="16" t="s">
        <v>10065</v>
      </c>
      <c r="R195" s="17">
        <v>5523458</v>
      </c>
      <c r="S195" s="17" t="s">
        <v>35</v>
      </c>
      <c r="T195" s="17" t="s">
        <v>35</v>
      </c>
      <c r="U195" s="17" t="s">
        <v>35</v>
      </c>
      <c r="V195" s="17" t="s">
        <v>35</v>
      </c>
      <c r="W195" s="17" t="s">
        <v>35</v>
      </c>
      <c r="X195" s="17" t="s">
        <v>35</v>
      </c>
      <c r="Y195" s="17" t="s">
        <v>1325</v>
      </c>
      <c r="Z195" s="17" t="s">
        <v>10066</v>
      </c>
      <c r="AA195" s="17" t="s">
        <v>35</v>
      </c>
      <c r="AB195" s="17" t="s">
        <v>1317</v>
      </c>
      <c r="AC195" s="17" t="s">
        <v>9539</v>
      </c>
      <c r="AD195" s="41">
        <v>35.03</v>
      </c>
      <c r="AE195" s="41">
        <v>36.85</v>
      </c>
      <c r="AF195" s="48"/>
      <c r="AG195" s="44"/>
      <c r="AH195" s="7">
        <f t="shared" si="2"/>
        <v>0</v>
      </c>
      <c r="AI195" s="18"/>
      <c r="AJ195" s="18"/>
    </row>
    <row r="196" spans="1:38" ht="26.65" customHeight="1" x14ac:dyDescent="0.25">
      <c r="A196" s="10" t="s">
        <v>1198</v>
      </c>
      <c r="B196" s="9" t="s">
        <v>903</v>
      </c>
      <c r="C196" s="9" t="s">
        <v>34</v>
      </c>
      <c r="D196" s="9" t="s">
        <v>904</v>
      </c>
      <c r="E196" s="9" t="s">
        <v>35</v>
      </c>
      <c r="F196" s="9" t="s">
        <v>36</v>
      </c>
      <c r="G196" s="9">
        <v>6</v>
      </c>
      <c r="H196" s="9">
        <v>84212300</v>
      </c>
      <c r="I196" s="11" t="s">
        <v>37</v>
      </c>
      <c r="J196" s="12">
        <v>2.3E-2</v>
      </c>
      <c r="K196" s="12">
        <v>0.108</v>
      </c>
      <c r="L196" s="12">
        <v>5.1999999999999998E-2</v>
      </c>
      <c r="M196" s="13">
        <v>8003453060647</v>
      </c>
      <c r="N196" s="14">
        <v>0.30399999999999999</v>
      </c>
      <c r="O196" s="14">
        <v>0.32900000000000001</v>
      </c>
      <c r="P196" s="15">
        <v>44805</v>
      </c>
      <c r="Q196" s="16" t="s">
        <v>1199</v>
      </c>
      <c r="R196" s="17" t="s">
        <v>1200</v>
      </c>
      <c r="S196" s="17" t="s">
        <v>1201</v>
      </c>
      <c r="T196" s="17" t="s">
        <v>1202</v>
      </c>
      <c r="U196" s="17" t="s">
        <v>35</v>
      </c>
      <c r="V196" s="17" t="s">
        <v>35</v>
      </c>
      <c r="W196" s="17" t="s">
        <v>35</v>
      </c>
      <c r="X196" s="17" t="s">
        <v>35</v>
      </c>
      <c r="Y196" s="17" t="s">
        <v>35</v>
      </c>
      <c r="Z196" s="17" t="s">
        <v>1203</v>
      </c>
      <c r="AA196" s="17" t="s">
        <v>35</v>
      </c>
      <c r="AB196" s="17" t="s">
        <v>1204</v>
      </c>
      <c r="AC196" s="17" t="s">
        <v>9539</v>
      </c>
      <c r="AD196" s="41">
        <v>21.32</v>
      </c>
      <c r="AE196" s="41">
        <v>22.43</v>
      </c>
      <c r="AF196" s="48"/>
      <c r="AG196" s="44"/>
      <c r="AH196" s="7">
        <f t="shared" ref="AH196:AH259" si="3">AG196*AE196</f>
        <v>0</v>
      </c>
      <c r="AI196" s="18"/>
      <c r="AJ196" s="18"/>
    </row>
    <row r="197" spans="1:38" ht="26.65" customHeight="1" x14ac:dyDescent="0.25">
      <c r="A197" s="10" t="s">
        <v>1205</v>
      </c>
      <c r="B197" s="9" t="s">
        <v>903</v>
      </c>
      <c r="C197" s="9" t="s">
        <v>34</v>
      </c>
      <c r="D197" s="9" t="s">
        <v>904</v>
      </c>
      <c r="E197" s="9" t="s">
        <v>35</v>
      </c>
      <c r="F197" s="9" t="s">
        <v>36</v>
      </c>
      <c r="G197" s="9">
        <v>6</v>
      </c>
      <c r="H197" s="9">
        <v>84212300</v>
      </c>
      <c r="I197" s="11" t="s">
        <v>37</v>
      </c>
      <c r="J197" s="12">
        <v>2.3E-2</v>
      </c>
      <c r="K197" s="12">
        <v>0.108</v>
      </c>
      <c r="L197" s="12">
        <v>5.1999999999999998E-2</v>
      </c>
      <c r="M197" s="13">
        <v>8003453060067</v>
      </c>
      <c r="N197" s="14">
        <v>0.92</v>
      </c>
      <c r="O197" s="14">
        <v>1.0069999999999999</v>
      </c>
      <c r="P197" s="15" t="s">
        <v>35</v>
      </c>
      <c r="Q197" s="16" t="s">
        <v>1206</v>
      </c>
      <c r="R197" s="17" t="s">
        <v>1207</v>
      </c>
      <c r="S197" s="17" t="s">
        <v>1208</v>
      </c>
      <c r="T197" s="17" t="s">
        <v>1209</v>
      </c>
      <c r="U197" s="17" t="s">
        <v>1210</v>
      </c>
      <c r="V197" s="17" t="s">
        <v>1211</v>
      </c>
      <c r="W197" s="17" t="s">
        <v>1212</v>
      </c>
      <c r="X197" s="17" t="s">
        <v>1213</v>
      </c>
      <c r="Y197" s="17" t="s">
        <v>1214</v>
      </c>
      <c r="Z197" s="17" t="s">
        <v>1215</v>
      </c>
      <c r="AA197" s="17" t="s">
        <v>35</v>
      </c>
      <c r="AB197" s="17" t="s">
        <v>1216</v>
      </c>
      <c r="AC197" s="17" t="s">
        <v>9539</v>
      </c>
      <c r="AD197" s="42">
        <v>33.799999999999997</v>
      </c>
      <c r="AE197" s="42">
        <v>35.56</v>
      </c>
      <c r="AF197" s="48"/>
      <c r="AG197" s="44"/>
      <c r="AH197" s="7">
        <f t="shared" si="3"/>
        <v>0</v>
      </c>
      <c r="AI197" s="18"/>
      <c r="AJ197" s="18"/>
    </row>
    <row r="198" spans="1:38" ht="26.65" customHeight="1" x14ac:dyDescent="0.25">
      <c r="A198" s="10" t="s">
        <v>1217</v>
      </c>
      <c r="B198" s="9" t="s">
        <v>903</v>
      </c>
      <c r="C198" s="9" t="s">
        <v>34</v>
      </c>
      <c r="D198" s="9" t="s">
        <v>59</v>
      </c>
      <c r="E198" s="9" t="s">
        <v>35</v>
      </c>
      <c r="F198" s="9" t="s">
        <v>36</v>
      </c>
      <c r="G198" s="9">
        <v>6</v>
      </c>
      <c r="H198" s="9">
        <v>84212300</v>
      </c>
      <c r="I198" s="11" t="s">
        <v>37</v>
      </c>
      <c r="J198" s="12">
        <v>2.3E-2</v>
      </c>
      <c r="K198" s="12">
        <v>0.108</v>
      </c>
      <c r="L198" s="12">
        <v>5.1999999999999998E-2</v>
      </c>
      <c r="M198" s="13">
        <v>8003453060098</v>
      </c>
      <c r="N198" s="14">
        <v>0.53200000000000003</v>
      </c>
      <c r="O198" s="14">
        <v>0.57499999999999996</v>
      </c>
      <c r="P198" s="15">
        <v>44774</v>
      </c>
      <c r="Q198" s="16" t="s">
        <v>1218</v>
      </c>
      <c r="R198" s="17" t="s">
        <v>1219</v>
      </c>
      <c r="S198" s="17" t="s">
        <v>1220</v>
      </c>
      <c r="T198" s="17" t="s">
        <v>1221</v>
      </c>
      <c r="U198" s="17" t="s">
        <v>1222</v>
      </c>
      <c r="V198" s="17" t="s">
        <v>1223</v>
      </c>
      <c r="W198" s="17" t="s">
        <v>1224</v>
      </c>
      <c r="X198" s="17" t="s">
        <v>1225</v>
      </c>
      <c r="Y198" s="17" t="s">
        <v>1226</v>
      </c>
      <c r="Z198" s="17" t="s">
        <v>1227</v>
      </c>
      <c r="AA198" s="17" t="s">
        <v>1228</v>
      </c>
      <c r="AB198" s="17" t="s">
        <v>1229</v>
      </c>
      <c r="AC198" s="17" t="s">
        <v>9539</v>
      </c>
      <c r="AD198" s="42">
        <v>35.659999999999997</v>
      </c>
      <c r="AE198" s="42">
        <v>37.51</v>
      </c>
      <c r="AF198" s="48"/>
      <c r="AG198" s="44"/>
      <c r="AH198" s="7">
        <f t="shared" si="3"/>
        <v>0</v>
      </c>
      <c r="AI198" s="18"/>
      <c r="AJ198" s="18"/>
    </row>
    <row r="199" spans="1:38" ht="26.65" customHeight="1" x14ac:dyDescent="0.25">
      <c r="A199" s="10" t="s">
        <v>10067</v>
      </c>
      <c r="B199" s="9" t="s">
        <v>903</v>
      </c>
      <c r="C199" s="9" t="s">
        <v>34</v>
      </c>
      <c r="D199" s="9" t="s">
        <v>59</v>
      </c>
      <c r="E199" s="9" t="s">
        <v>35</v>
      </c>
      <c r="F199" s="9" t="s">
        <v>36</v>
      </c>
      <c r="G199" s="9">
        <v>6</v>
      </c>
      <c r="H199" s="9">
        <v>84212300</v>
      </c>
      <c r="I199" s="11" t="s">
        <v>37</v>
      </c>
      <c r="J199" s="12">
        <v>2.3E-2</v>
      </c>
      <c r="K199" s="12">
        <v>0.108</v>
      </c>
      <c r="L199" s="12">
        <v>5.1999999999999998E-2</v>
      </c>
      <c r="M199" s="13">
        <v>8003453810457</v>
      </c>
      <c r="N199" s="14">
        <v>0</v>
      </c>
      <c r="O199" s="14">
        <v>0</v>
      </c>
      <c r="P199" s="15">
        <v>45566</v>
      </c>
      <c r="Q199" s="16" t="s">
        <v>10068</v>
      </c>
      <c r="R199" s="17" t="s">
        <v>10069</v>
      </c>
      <c r="S199" s="17" t="s">
        <v>1220</v>
      </c>
      <c r="T199" s="17" t="s">
        <v>1221</v>
      </c>
      <c r="U199" s="17" t="s">
        <v>1222</v>
      </c>
      <c r="V199" s="17" t="s">
        <v>1223</v>
      </c>
      <c r="W199" s="17" t="s">
        <v>1224</v>
      </c>
      <c r="X199" s="17" t="s">
        <v>1225</v>
      </c>
      <c r="Y199" s="17" t="s">
        <v>1226</v>
      </c>
      <c r="Z199" s="17" t="s">
        <v>1227</v>
      </c>
      <c r="AA199" s="17" t="s">
        <v>1228</v>
      </c>
      <c r="AB199" s="17" t="s">
        <v>1229</v>
      </c>
      <c r="AC199" s="17" t="s">
        <v>9539</v>
      </c>
      <c r="AD199" s="41">
        <v>26.78</v>
      </c>
      <c r="AE199" s="41">
        <v>28.17</v>
      </c>
      <c r="AF199" s="48"/>
      <c r="AG199" s="44"/>
      <c r="AH199" s="7">
        <f t="shared" si="3"/>
        <v>0</v>
      </c>
      <c r="AI199" s="18"/>
      <c r="AJ199" s="18"/>
    </row>
    <row r="200" spans="1:38" ht="26.65" customHeight="1" x14ac:dyDescent="0.25">
      <c r="A200" s="10" t="s">
        <v>9106</v>
      </c>
      <c r="B200" s="9" t="s">
        <v>9098</v>
      </c>
      <c r="C200" s="9" t="s">
        <v>34</v>
      </c>
      <c r="D200" s="9" t="s">
        <v>904</v>
      </c>
      <c r="E200" s="9" t="s">
        <v>35</v>
      </c>
      <c r="F200" s="9" t="s">
        <v>36</v>
      </c>
      <c r="G200" s="9">
        <v>6</v>
      </c>
      <c r="H200" s="9">
        <v>84212300</v>
      </c>
      <c r="I200" s="11" t="s">
        <v>37</v>
      </c>
      <c r="J200" s="12">
        <v>2.3E-2</v>
      </c>
      <c r="K200" s="12">
        <v>0.108</v>
      </c>
      <c r="L200" s="12">
        <v>5.1999999999999998E-2</v>
      </c>
      <c r="M200" s="13">
        <v>8003453809413</v>
      </c>
      <c r="N200" s="14">
        <v>0.7</v>
      </c>
      <c r="O200" s="14">
        <v>0.76</v>
      </c>
      <c r="P200" s="15">
        <v>45383</v>
      </c>
      <c r="Q200" s="16" t="s">
        <v>9107</v>
      </c>
      <c r="R200" s="17" t="s">
        <v>9108</v>
      </c>
      <c r="S200" s="17" t="s">
        <v>1230</v>
      </c>
      <c r="T200" s="17" t="s">
        <v>1231</v>
      </c>
      <c r="U200" s="17" t="s">
        <v>1222</v>
      </c>
      <c r="V200" s="17" t="s">
        <v>1223</v>
      </c>
      <c r="W200" s="17" t="s">
        <v>1224</v>
      </c>
      <c r="X200" s="17" t="s">
        <v>1225</v>
      </c>
      <c r="Y200" s="17" t="s">
        <v>1232</v>
      </c>
      <c r="Z200" s="17" t="s">
        <v>1233</v>
      </c>
      <c r="AA200" s="17" t="s">
        <v>35</v>
      </c>
      <c r="AB200" s="17" t="s">
        <v>1234</v>
      </c>
      <c r="AC200" s="17" t="s">
        <v>9539</v>
      </c>
      <c r="AD200" s="42">
        <v>23.6</v>
      </c>
      <c r="AE200" s="42">
        <v>24.83</v>
      </c>
      <c r="AF200" s="48"/>
      <c r="AG200" s="44"/>
      <c r="AH200" s="7">
        <f t="shared" si="3"/>
        <v>0</v>
      </c>
      <c r="AI200" s="18"/>
      <c r="AJ200" s="18"/>
    </row>
    <row r="201" spans="1:38" ht="26.65" customHeight="1" x14ac:dyDescent="0.25">
      <c r="A201" s="10" t="s">
        <v>1235</v>
      </c>
      <c r="B201" s="9" t="s">
        <v>903</v>
      </c>
      <c r="C201" s="9" t="s">
        <v>34</v>
      </c>
      <c r="D201" s="9" t="s">
        <v>904</v>
      </c>
      <c r="E201" s="9" t="s">
        <v>35</v>
      </c>
      <c r="F201" s="9" t="s">
        <v>36</v>
      </c>
      <c r="G201" s="9">
        <v>6</v>
      </c>
      <c r="H201" s="9">
        <v>84212300</v>
      </c>
      <c r="I201" s="11" t="s">
        <v>37</v>
      </c>
      <c r="J201" s="12">
        <v>2.3E-2</v>
      </c>
      <c r="K201" s="12">
        <v>0.108</v>
      </c>
      <c r="L201" s="12">
        <v>5.1999999999999998E-2</v>
      </c>
      <c r="M201" s="13">
        <v>8003453060135</v>
      </c>
      <c r="N201" s="14">
        <v>0.56699999999999995</v>
      </c>
      <c r="O201" s="14">
        <v>0.61099999999999999</v>
      </c>
      <c r="P201" s="15">
        <v>45170</v>
      </c>
      <c r="Q201" s="16" t="s">
        <v>1236</v>
      </c>
      <c r="R201" s="17" t="s">
        <v>1237</v>
      </c>
      <c r="S201" s="17" t="s">
        <v>1238</v>
      </c>
      <c r="T201" s="17" t="s">
        <v>1239</v>
      </c>
      <c r="U201" s="17" t="s">
        <v>1240</v>
      </c>
      <c r="V201" s="17" t="s">
        <v>1241</v>
      </c>
      <c r="W201" s="17" t="s">
        <v>35</v>
      </c>
      <c r="X201" s="17" t="s">
        <v>1242</v>
      </c>
      <c r="Y201" s="17" t="s">
        <v>1243</v>
      </c>
      <c r="Z201" s="17" t="s">
        <v>1244</v>
      </c>
      <c r="AA201" s="17" t="s">
        <v>35</v>
      </c>
      <c r="AB201" s="17" t="s">
        <v>1245</v>
      </c>
      <c r="AC201" s="17" t="s">
        <v>9539</v>
      </c>
      <c r="AD201" s="42">
        <v>45.59</v>
      </c>
      <c r="AE201" s="42">
        <v>47.96</v>
      </c>
      <c r="AF201" s="48"/>
      <c r="AG201" s="44"/>
      <c r="AH201" s="7">
        <f t="shared" si="3"/>
        <v>0</v>
      </c>
      <c r="AI201" s="18"/>
      <c r="AJ201" s="18"/>
    </row>
    <row r="202" spans="1:38" ht="26.65" customHeight="1" x14ac:dyDescent="0.25">
      <c r="A202" s="38" t="s">
        <v>1246</v>
      </c>
      <c r="B202" s="9" t="s">
        <v>903</v>
      </c>
      <c r="C202" s="9" t="s">
        <v>58</v>
      </c>
      <c r="D202" s="9" t="s">
        <v>904</v>
      </c>
      <c r="E202" s="9" t="s">
        <v>35</v>
      </c>
      <c r="F202" s="9" t="s">
        <v>36</v>
      </c>
      <c r="G202" s="9">
        <v>6</v>
      </c>
      <c r="H202" s="9">
        <v>84212300</v>
      </c>
      <c r="I202" s="11" t="s">
        <v>37</v>
      </c>
      <c r="J202" s="12">
        <v>2.3E-2</v>
      </c>
      <c r="K202" s="12">
        <v>0.108</v>
      </c>
      <c r="L202" s="12">
        <v>5.1999999999999998E-2</v>
      </c>
      <c r="M202" s="13">
        <v>8003453060432</v>
      </c>
      <c r="N202" s="14">
        <v>0.36599999999999999</v>
      </c>
      <c r="O202" s="14">
        <v>0.40400000000000003</v>
      </c>
      <c r="P202" s="15" t="s">
        <v>35</v>
      </c>
      <c r="Q202" s="16" t="s">
        <v>1247</v>
      </c>
      <c r="R202" s="17" t="s">
        <v>1248</v>
      </c>
      <c r="S202" s="17" t="s">
        <v>1249</v>
      </c>
      <c r="T202" s="17" t="s">
        <v>1250</v>
      </c>
      <c r="U202" s="17" t="s">
        <v>1251</v>
      </c>
      <c r="V202" s="17" t="s">
        <v>1252</v>
      </c>
      <c r="W202" s="17" t="s">
        <v>1253</v>
      </c>
      <c r="X202" s="17" t="s">
        <v>1254</v>
      </c>
      <c r="Y202" s="17" t="s">
        <v>1255</v>
      </c>
      <c r="Z202" s="17" t="s">
        <v>1256</v>
      </c>
      <c r="AA202" s="17" t="s">
        <v>1257</v>
      </c>
      <c r="AB202" s="17" t="s">
        <v>1258</v>
      </c>
      <c r="AC202" s="17" t="s">
        <v>9538</v>
      </c>
      <c r="AD202" s="41">
        <v>15.26</v>
      </c>
      <c r="AE202" s="41">
        <v>16.05</v>
      </c>
      <c r="AF202" s="48"/>
      <c r="AG202" s="44"/>
      <c r="AH202" s="7">
        <f t="shared" si="3"/>
        <v>0</v>
      </c>
      <c r="AI202" s="18"/>
      <c r="AJ202" s="18"/>
      <c r="AL202" s="18"/>
    </row>
    <row r="203" spans="1:38" ht="26.65" customHeight="1" x14ac:dyDescent="0.25">
      <c r="A203" s="10" t="s">
        <v>10070</v>
      </c>
      <c r="B203" s="9" t="s">
        <v>903</v>
      </c>
      <c r="C203" s="9" t="s">
        <v>58</v>
      </c>
      <c r="D203" s="9" t="s">
        <v>904</v>
      </c>
      <c r="E203" s="9" t="s">
        <v>35</v>
      </c>
      <c r="F203" s="9" t="s">
        <v>36</v>
      </c>
      <c r="G203" s="9">
        <v>6</v>
      </c>
      <c r="H203" s="9">
        <v>84212300</v>
      </c>
      <c r="I203" s="11" t="s">
        <v>37</v>
      </c>
      <c r="J203" s="12">
        <v>2.3E-2</v>
      </c>
      <c r="K203" s="12">
        <v>0.108</v>
      </c>
      <c r="L203" s="12">
        <v>5.1999999999999998E-2</v>
      </c>
      <c r="M203" s="13">
        <v>8003453811119</v>
      </c>
      <c r="N203" s="14" t="s">
        <v>35</v>
      </c>
      <c r="O203" s="14" t="s">
        <v>35</v>
      </c>
      <c r="P203" s="15">
        <v>45566</v>
      </c>
      <c r="Q203" s="16" t="s">
        <v>1247</v>
      </c>
      <c r="R203" s="17" t="s">
        <v>1248</v>
      </c>
      <c r="S203" s="17" t="s">
        <v>1249</v>
      </c>
      <c r="T203" s="17" t="s">
        <v>1250</v>
      </c>
      <c r="U203" s="17" t="s">
        <v>1251</v>
      </c>
      <c r="V203" s="17" t="s">
        <v>1252</v>
      </c>
      <c r="W203" s="17" t="s">
        <v>1253</v>
      </c>
      <c r="X203" s="17" t="s">
        <v>1254</v>
      </c>
      <c r="Y203" s="17" t="s">
        <v>1255</v>
      </c>
      <c r="Z203" s="17" t="s">
        <v>1256</v>
      </c>
      <c r="AA203" s="17" t="s">
        <v>1257</v>
      </c>
      <c r="AB203" s="17" t="s">
        <v>1258</v>
      </c>
      <c r="AC203" s="17" t="s">
        <v>9539</v>
      </c>
      <c r="AD203" s="41">
        <v>13.69</v>
      </c>
      <c r="AE203" s="41">
        <v>14.4</v>
      </c>
      <c r="AF203" s="48"/>
      <c r="AG203" s="44"/>
      <c r="AH203" s="7">
        <f t="shared" si="3"/>
        <v>0</v>
      </c>
      <c r="AI203" s="18"/>
      <c r="AJ203" s="18"/>
    </row>
    <row r="204" spans="1:38" ht="26.65" customHeight="1" x14ac:dyDescent="0.25">
      <c r="A204" s="10" t="s">
        <v>10071</v>
      </c>
      <c r="B204" s="9" t="s">
        <v>903</v>
      </c>
      <c r="C204" s="9" t="s">
        <v>58</v>
      </c>
      <c r="D204" s="9" t="s">
        <v>59</v>
      </c>
      <c r="E204" s="9" t="s">
        <v>35</v>
      </c>
      <c r="F204" s="9" t="s">
        <v>36</v>
      </c>
      <c r="G204" s="9">
        <v>6</v>
      </c>
      <c r="H204" s="9">
        <v>84212300</v>
      </c>
      <c r="I204" s="11" t="s">
        <v>37</v>
      </c>
      <c r="J204" s="12">
        <v>2.3E-2</v>
      </c>
      <c r="K204" s="12">
        <v>0.108</v>
      </c>
      <c r="L204" s="12">
        <v>5.1999999999999998E-2</v>
      </c>
      <c r="M204" s="13">
        <v>8003453810464</v>
      </c>
      <c r="N204" s="14">
        <v>0</v>
      </c>
      <c r="O204" s="14">
        <v>0</v>
      </c>
      <c r="P204" s="15">
        <v>45566</v>
      </c>
      <c r="Q204" s="16" t="s">
        <v>1247</v>
      </c>
      <c r="R204" s="17" t="s">
        <v>1248</v>
      </c>
      <c r="S204" s="17" t="s">
        <v>1249</v>
      </c>
      <c r="T204" s="17" t="s">
        <v>1250</v>
      </c>
      <c r="U204" s="17" t="s">
        <v>1251</v>
      </c>
      <c r="V204" s="17" t="s">
        <v>1252</v>
      </c>
      <c r="W204" s="17" t="s">
        <v>1253</v>
      </c>
      <c r="X204" s="17" t="s">
        <v>1254</v>
      </c>
      <c r="Y204" s="17" t="s">
        <v>1255</v>
      </c>
      <c r="Z204" s="17" t="s">
        <v>1256</v>
      </c>
      <c r="AA204" s="17" t="s">
        <v>1257</v>
      </c>
      <c r="AB204" s="17" t="s">
        <v>1258</v>
      </c>
      <c r="AC204" s="17" t="s">
        <v>9539</v>
      </c>
      <c r="AD204" s="41">
        <v>13.21</v>
      </c>
      <c r="AE204" s="41">
        <v>13.9</v>
      </c>
      <c r="AF204" s="48"/>
      <c r="AG204" s="44"/>
      <c r="AH204" s="7">
        <f t="shared" si="3"/>
        <v>0</v>
      </c>
      <c r="AI204" s="18"/>
      <c r="AJ204" s="18"/>
    </row>
    <row r="205" spans="1:38" ht="26.65" customHeight="1" x14ac:dyDescent="0.25">
      <c r="A205" s="10" t="s">
        <v>1259</v>
      </c>
      <c r="B205" s="9" t="s">
        <v>903</v>
      </c>
      <c r="C205" s="9" t="s">
        <v>34</v>
      </c>
      <c r="D205" s="9" t="s">
        <v>904</v>
      </c>
      <c r="E205" s="9" t="s">
        <v>35</v>
      </c>
      <c r="F205" s="9" t="s">
        <v>36</v>
      </c>
      <c r="G205" s="9">
        <v>6</v>
      </c>
      <c r="H205" s="9">
        <v>84212300</v>
      </c>
      <c r="I205" s="11" t="s">
        <v>37</v>
      </c>
      <c r="J205" s="12">
        <v>2.3E-2</v>
      </c>
      <c r="K205" s="12">
        <v>0.108</v>
      </c>
      <c r="L205" s="12">
        <v>5.1999999999999998E-2</v>
      </c>
      <c r="M205" s="13">
        <v>8003453060463</v>
      </c>
      <c r="N205" s="14">
        <v>0.28000000000000003</v>
      </c>
      <c r="O205" s="14">
        <v>0.3</v>
      </c>
      <c r="P205" s="15">
        <v>44896</v>
      </c>
      <c r="Q205" s="16" t="s">
        <v>1260</v>
      </c>
      <c r="R205" s="17" t="s">
        <v>1261</v>
      </c>
      <c r="S205" s="17" t="s">
        <v>1262</v>
      </c>
      <c r="T205" s="17" t="s">
        <v>1263</v>
      </c>
      <c r="U205" s="17" t="s">
        <v>1264</v>
      </c>
      <c r="V205" s="17" t="s">
        <v>35</v>
      </c>
      <c r="W205" s="17" t="s">
        <v>35</v>
      </c>
      <c r="X205" s="17" t="s">
        <v>35</v>
      </c>
      <c r="Y205" s="17" t="s">
        <v>35</v>
      </c>
      <c r="Z205" s="17" t="s">
        <v>1265</v>
      </c>
      <c r="AA205" s="17" t="s">
        <v>35</v>
      </c>
      <c r="AB205" s="17" t="s">
        <v>1266</v>
      </c>
      <c r="AC205" s="17" t="s">
        <v>9539</v>
      </c>
      <c r="AD205" s="42">
        <v>23.87</v>
      </c>
      <c r="AE205" s="42">
        <v>25.11</v>
      </c>
      <c r="AF205" s="48"/>
      <c r="AG205" s="44"/>
      <c r="AH205" s="7">
        <f t="shared" si="3"/>
        <v>0</v>
      </c>
      <c r="AI205" s="18"/>
      <c r="AJ205" s="18"/>
    </row>
    <row r="206" spans="1:38" ht="26.65" customHeight="1" x14ac:dyDescent="0.25">
      <c r="A206" s="10" t="s">
        <v>10072</v>
      </c>
      <c r="B206" s="9" t="s">
        <v>903</v>
      </c>
      <c r="C206" s="9" t="s">
        <v>34</v>
      </c>
      <c r="D206" s="9" t="s">
        <v>59</v>
      </c>
      <c r="E206" s="9" t="s">
        <v>35</v>
      </c>
      <c r="F206" s="9" t="s">
        <v>36</v>
      </c>
      <c r="G206" s="9">
        <v>6</v>
      </c>
      <c r="H206" s="9">
        <v>84212300</v>
      </c>
      <c r="I206" s="11" t="s">
        <v>37</v>
      </c>
      <c r="J206" s="12">
        <v>2.3E-2</v>
      </c>
      <c r="K206" s="12">
        <v>0.108</v>
      </c>
      <c r="L206" s="12">
        <v>5.1999999999999998E-2</v>
      </c>
      <c r="M206" s="13" t="s">
        <v>10073</v>
      </c>
      <c r="N206" s="14">
        <v>0</v>
      </c>
      <c r="O206" s="14">
        <v>0</v>
      </c>
      <c r="P206" s="15">
        <v>45566</v>
      </c>
      <c r="Q206" s="16" t="s">
        <v>1260</v>
      </c>
      <c r="R206" s="17" t="s">
        <v>35</v>
      </c>
      <c r="S206" s="17" t="s">
        <v>1262</v>
      </c>
      <c r="T206" s="17" t="s">
        <v>1263</v>
      </c>
      <c r="U206" s="17" t="s">
        <v>1264</v>
      </c>
      <c r="V206" s="17" t="s">
        <v>35</v>
      </c>
      <c r="W206" s="17" t="s">
        <v>35</v>
      </c>
      <c r="X206" s="17" t="s">
        <v>10074</v>
      </c>
      <c r="Y206" s="17" t="s">
        <v>35</v>
      </c>
      <c r="Z206" s="17" t="s">
        <v>1265</v>
      </c>
      <c r="AA206" s="17" t="s">
        <v>35</v>
      </c>
      <c r="AB206" s="17" t="s">
        <v>1266</v>
      </c>
      <c r="AC206" s="17" t="s">
        <v>9539</v>
      </c>
      <c r="AD206" s="41">
        <v>18.78</v>
      </c>
      <c r="AE206" s="41">
        <v>19.760000000000002</v>
      </c>
      <c r="AF206" s="48"/>
      <c r="AG206" s="44"/>
      <c r="AH206" s="7">
        <f t="shared" si="3"/>
        <v>0</v>
      </c>
      <c r="AI206" s="18"/>
      <c r="AJ206" s="18"/>
    </row>
    <row r="207" spans="1:38" ht="26.65" customHeight="1" x14ac:dyDescent="0.25">
      <c r="A207" s="10" t="s">
        <v>1267</v>
      </c>
      <c r="B207" s="9" t="s">
        <v>903</v>
      </c>
      <c r="C207" s="9" t="s">
        <v>58</v>
      </c>
      <c r="D207" s="9" t="s">
        <v>904</v>
      </c>
      <c r="E207" s="9" t="s">
        <v>122</v>
      </c>
      <c r="F207" s="9" t="s">
        <v>36</v>
      </c>
      <c r="G207" s="9">
        <v>6</v>
      </c>
      <c r="H207" s="9">
        <v>84212300</v>
      </c>
      <c r="I207" s="11" t="s">
        <v>37</v>
      </c>
      <c r="J207" s="12">
        <v>2.3E-2</v>
      </c>
      <c r="K207" s="12">
        <v>0.108</v>
      </c>
      <c r="L207" s="12">
        <v>5.1999999999999998E-2</v>
      </c>
      <c r="M207" s="13">
        <v>8003453060494</v>
      </c>
      <c r="N207" s="14">
        <v>0.42599999999999999</v>
      </c>
      <c r="O207" s="14">
        <v>0.45600000000000002</v>
      </c>
      <c r="P207" s="15" t="s">
        <v>35</v>
      </c>
      <c r="Q207" s="16" t="s">
        <v>1268</v>
      </c>
      <c r="R207" s="17" t="s">
        <v>1269</v>
      </c>
      <c r="S207" s="17" t="s">
        <v>1270</v>
      </c>
      <c r="T207" s="17" t="s">
        <v>1271</v>
      </c>
      <c r="U207" s="17" t="s">
        <v>1272</v>
      </c>
      <c r="V207" s="17" t="s">
        <v>1273</v>
      </c>
      <c r="W207" s="17" t="s">
        <v>1274</v>
      </c>
      <c r="X207" s="17" t="s">
        <v>1275</v>
      </c>
      <c r="Y207" s="17" t="s">
        <v>1276</v>
      </c>
      <c r="Z207" s="17" t="s">
        <v>1277</v>
      </c>
      <c r="AA207" s="17" t="s">
        <v>35</v>
      </c>
      <c r="AB207" s="17" t="s">
        <v>35</v>
      </c>
      <c r="AC207" s="17" t="s">
        <v>9539</v>
      </c>
      <c r="AD207" s="42">
        <v>43.79</v>
      </c>
      <c r="AE207" s="42">
        <v>46.07</v>
      </c>
      <c r="AF207" s="48"/>
      <c r="AG207" s="44"/>
      <c r="AH207" s="7">
        <f t="shared" si="3"/>
        <v>0</v>
      </c>
      <c r="AI207" s="18"/>
      <c r="AJ207" s="18"/>
    </row>
    <row r="208" spans="1:38" ht="26.65" customHeight="1" x14ac:dyDescent="0.25">
      <c r="A208" s="10" t="s">
        <v>1278</v>
      </c>
      <c r="B208" s="9" t="s">
        <v>903</v>
      </c>
      <c r="C208" s="9" t="s">
        <v>58</v>
      </c>
      <c r="D208" s="9" t="s">
        <v>904</v>
      </c>
      <c r="E208" s="9" t="s">
        <v>35</v>
      </c>
      <c r="F208" s="9" t="s">
        <v>36</v>
      </c>
      <c r="G208" s="9">
        <v>6</v>
      </c>
      <c r="H208" s="9">
        <v>84212300</v>
      </c>
      <c r="I208" s="11" t="s">
        <v>37</v>
      </c>
      <c r="J208" s="12">
        <v>2.3E-2</v>
      </c>
      <c r="K208" s="12">
        <v>0.108</v>
      </c>
      <c r="L208" s="12">
        <v>5.1999999999999998E-2</v>
      </c>
      <c r="M208" s="13">
        <v>8003453060784</v>
      </c>
      <c r="N208" s="14">
        <v>0.75600000000000001</v>
      </c>
      <c r="O208" s="14">
        <v>0.80600000000000005</v>
      </c>
      <c r="P208" s="15" t="s">
        <v>35</v>
      </c>
      <c r="Q208" s="16" t="s">
        <v>1279</v>
      </c>
      <c r="R208" s="17" t="s">
        <v>1280</v>
      </c>
      <c r="S208" s="17" t="s">
        <v>1281</v>
      </c>
      <c r="T208" s="17" t="s">
        <v>1282</v>
      </c>
      <c r="U208" s="17" t="s">
        <v>1283</v>
      </c>
      <c r="V208" s="17" t="s">
        <v>1284</v>
      </c>
      <c r="W208" s="17" t="s">
        <v>1285</v>
      </c>
      <c r="X208" s="17" t="s">
        <v>1286</v>
      </c>
      <c r="Y208" s="17" t="s">
        <v>1287</v>
      </c>
      <c r="Z208" s="17" t="s">
        <v>1288</v>
      </c>
      <c r="AA208" s="17" t="s">
        <v>1289</v>
      </c>
      <c r="AB208" s="17" t="s">
        <v>1290</v>
      </c>
      <c r="AC208" s="17" t="s">
        <v>9539</v>
      </c>
      <c r="AD208" s="41">
        <v>33.58</v>
      </c>
      <c r="AE208" s="41">
        <v>35.33</v>
      </c>
      <c r="AF208" s="48"/>
      <c r="AG208" s="44"/>
      <c r="AH208" s="7">
        <f t="shared" si="3"/>
        <v>0</v>
      </c>
      <c r="AI208" s="18"/>
      <c r="AJ208" s="18"/>
      <c r="AL208" s="18"/>
    </row>
    <row r="209" spans="1:38" ht="26.65" customHeight="1" x14ac:dyDescent="0.25">
      <c r="A209" s="10" t="s">
        <v>1291</v>
      </c>
      <c r="B209" s="9" t="s">
        <v>903</v>
      </c>
      <c r="C209" s="9" t="s">
        <v>58</v>
      </c>
      <c r="D209" s="9" t="s">
        <v>904</v>
      </c>
      <c r="E209" s="9" t="s">
        <v>35</v>
      </c>
      <c r="F209" s="9" t="s">
        <v>36</v>
      </c>
      <c r="G209" s="9">
        <v>6</v>
      </c>
      <c r="H209" s="9">
        <v>84212300</v>
      </c>
      <c r="I209" s="11" t="s">
        <v>37</v>
      </c>
      <c r="J209" s="12">
        <v>2.3E-2</v>
      </c>
      <c r="K209" s="12">
        <v>0.108</v>
      </c>
      <c r="L209" s="12">
        <v>5.1999999999999998E-2</v>
      </c>
      <c r="M209" s="13">
        <v>8003453061224</v>
      </c>
      <c r="N209" s="14">
        <v>0.58699999999999997</v>
      </c>
      <c r="O209" s="14">
        <v>0.626</v>
      </c>
      <c r="P209" s="15" t="s">
        <v>35</v>
      </c>
      <c r="Q209" s="16" t="s">
        <v>1292</v>
      </c>
      <c r="R209" s="17" t="s">
        <v>35</v>
      </c>
      <c r="S209" s="17" t="s">
        <v>1293</v>
      </c>
      <c r="T209" s="17" t="s">
        <v>1294</v>
      </c>
      <c r="U209" s="17" t="s">
        <v>1295</v>
      </c>
      <c r="V209" s="17" t="s">
        <v>1296</v>
      </c>
      <c r="W209" s="17" t="s">
        <v>1297</v>
      </c>
      <c r="X209" s="17" t="s">
        <v>1298</v>
      </c>
      <c r="Y209" s="17" t="s">
        <v>1299</v>
      </c>
      <c r="Z209" s="17" t="s">
        <v>1300</v>
      </c>
      <c r="AA209" s="17" t="s">
        <v>1301</v>
      </c>
      <c r="AB209" s="17" t="s">
        <v>1302</v>
      </c>
      <c r="AC209" s="17" t="s">
        <v>9539</v>
      </c>
      <c r="AD209" s="42">
        <v>32.659999999999997</v>
      </c>
      <c r="AE209" s="42">
        <v>34.36</v>
      </c>
      <c r="AF209" s="48"/>
      <c r="AG209" s="44"/>
      <c r="AH209" s="7">
        <f t="shared" si="3"/>
        <v>0</v>
      </c>
      <c r="AI209" s="18"/>
      <c r="AJ209" s="18"/>
    </row>
    <row r="210" spans="1:38" ht="26.65" customHeight="1" x14ac:dyDescent="0.25">
      <c r="A210" s="38" t="s">
        <v>1303</v>
      </c>
      <c r="B210" s="9" t="s">
        <v>903</v>
      </c>
      <c r="C210" s="9" t="s">
        <v>58</v>
      </c>
      <c r="D210" s="9" t="s">
        <v>904</v>
      </c>
      <c r="E210" s="9" t="s">
        <v>35</v>
      </c>
      <c r="F210" s="9" t="s">
        <v>36</v>
      </c>
      <c r="G210" s="9">
        <v>6</v>
      </c>
      <c r="H210" s="9">
        <v>84212300</v>
      </c>
      <c r="I210" s="11" t="s">
        <v>37</v>
      </c>
      <c r="J210" s="12">
        <v>2.3E-2</v>
      </c>
      <c r="K210" s="12">
        <v>0.108</v>
      </c>
      <c r="L210" s="12">
        <v>5.1999999999999998E-2</v>
      </c>
      <c r="M210" s="13">
        <v>8003453061262</v>
      </c>
      <c r="N210" s="14">
        <v>1.262</v>
      </c>
      <c r="O210" s="14">
        <v>1.3560000000000001</v>
      </c>
      <c r="P210" s="15" t="s">
        <v>35</v>
      </c>
      <c r="Q210" s="16" t="s">
        <v>1304</v>
      </c>
      <c r="R210" s="17" t="s">
        <v>35</v>
      </c>
      <c r="S210" s="17" t="s">
        <v>979</v>
      </c>
      <c r="T210" s="17" t="s">
        <v>1305</v>
      </c>
      <c r="U210" s="17" t="s">
        <v>981</v>
      </c>
      <c r="V210" s="17" t="s">
        <v>982</v>
      </c>
      <c r="W210" s="17" t="s">
        <v>983</v>
      </c>
      <c r="X210" s="17" t="s">
        <v>35</v>
      </c>
      <c r="Y210" s="17" t="s">
        <v>984</v>
      </c>
      <c r="Z210" s="17" t="s">
        <v>1306</v>
      </c>
      <c r="AA210" s="17" t="s">
        <v>35</v>
      </c>
      <c r="AB210" s="17" t="s">
        <v>1307</v>
      </c>
      <c r="AC210" s="17" t="s">
        <v>9538</v>
      </c>
      <c r="AD210" s="41">
        <v>50.25</v>
      </c>
      <c r="AE210" s="41">
        <v>52.86</v>
      </c>
      <c r="AF210" s="48"/>
      <c r="AG210" s="44"/>
      <c r="AH210" s="7">
        <f t="shared" si="3"/>
        <v>0</v>
      </c>
      <c r="AI210" s="18"/>
      <c r="AJ210" s="18"/>
      <c r="AL210" s="18"/>
    </row>
    <row r="211" spans="1:38" ht="26.65" customHeight="1" x14ac:dyDescent="0.25">
      <c r="A211" s="10" t="s">
        <v>1308</v>
      </c>
      <c r="B211" s="9" t="s">
        <v>903</v>
      </c>
      <c r="C211" s="9" t="s">
        <v>58</v>
      </c>
      <c r="D211" s="9" t="s">
        <v>59</v>
      </c>
      <c r="E211" s="9" t="s">
        <v>35</v>
      </c>
      <c r="F211" s="9" t="s">
        <v>36</v>
      </c>
      <c r="G211" s="9">
        <v>6</v>
      </c>
      <c r="H211" s="9">
        <v>84212300</v>
      </c>
      <c r="I211" s="11" t="s">
        <v>37</v>
      </c>
      <c r="J211" s="12">
        <v>2.3E-2</v>
      </c>
      <c r="K211" s="12">
        <v>0.108</v>
      </c>
      <c r="L211" s="12">
        <v>5.1999999999999998E-2</v>
      </c>
      <c r="M211" s="13">
        <v>8003453063334</v>
      </c>
      <c r="N211" s="14">
        <v>0.69199999999999995</v>
      </c>
      <c r="O211" s="14">
        <v>0.73599999999999999</v>
      </c>
      <c r="P211" s="15">
        <v>44958</v>
      </c>
      <c r="Q211" s="16" t="s">
        <v>1309</v>
      </c>
      <c r="R211" s="17" t="s">
        <v>1310</v>
      </c>
      <c r="S211" s="17" t="s">
        <v>35</v>
      </c>
      <c r="T211" s="17" t="s">
        <v>1311</v>
      </c>
      <c r="U211" s="17" t="s">
        <v>1312</v>
      </c>
      <c r="V211" s="17" t="s">
        <v>1313</v>
      </c>
      <c r="W211" s="17" t="s">
        <v>1314</v>
      </c>
      <c r="X211" s="17" t="s">
        <v>35</v>
      </c>
      <c r="Y211" s="17" t="s">
        <v>1315</v>
      </c>
      <c r="Z211" s="17" t="s">
        <v>1316</v>
      </c>
      <c r="AA211" s="17" t="s">
        <v>35</v>
      </c>
      <c r="AB211" s="17" t="s">
        <v>1317</v>
      </c>
      <c r="AC211" s="17" t="s">
        <v>9539</v>
      </c>
      <c r="AD211" s="41">
        <v>48.77</v>
      </c>
      <c r="AE211" s="41">
        <v>51.31</v>
      </c>
      <c r="AF211" s="48"/>
      <c r="AG211" s="44"/>
      <c r="AH211" s="7">
        <f t="shared" si="3"/>
        <v>0</v>
      </c>
      <c r="AI211" s="18"/>
      <c r="AJ211" s="18"/>
      <c r="AL211" s="18"/>
    </row>
    <row r="212" spans="1:38" ht="26.65" customHeight="1" x14ac:dyDescent="0.25">
      <c r="A212" s="38" t="s">
        <v>9109</v>
      </c>
      <c r="B212" s="9" t="s">
        <v>903</v>
      </c>
      <c r="C212" s="9" t="s">
        <v>58</v>
      </c>
      <c r="D212" s="9" t="s">
        <v>904</v>
      </c>
      <c r="E212" s="9" t="s">
        <v>122</v>
      </c>
      <c r="F212" s="9" t="s">
        <v>36</v>
      </c>
      <c r="G212" s="9">
        <v>6</v>
      </c>
      <c r="H212" s="9">
        <v>84212300</v>
      </c>
      <c r="I212" s="11" t="s">
        <v>37</v>
      </c>
      <c r="J212" s="12">
        <v>2.3E-2</v>
      </c>
      <c r="K212" s="12">
        <v>0.108</v>
      </c>
      <c r="L212" s="12">
        <v>5.1999999999999998E-2</v>
      </c>
      <c r="M212" s="13">
        <v>8003453809420</v>
      </c>
      <c r="N212" s="14">
        <v>0.71</v>
      </c>
      <c r="O212" s="14">
        <v>0.77</v>
      </c>
      <c r="P212" s="15">
        <v>45383</v>
      </c>
      <c r="Q212" s="16" t="s">
        <v>9110</v>
      </c>
      <c r="R212" s="17" t="s">
        <v>9111</v>
      </c>
      <c r="S212" s="17" t="s">
        <v>1319</v>
      </c>
      <c r="T212" s="17" t="s">
        <v>1320</v>
      </c>
      <c r="U212" s="17" t="s">
        <v>1321</v>
      </c>
      <c r="V212" s="17" t="s">
        <v>1322</v>
      </c>
      <c r="W212" s="17" t="s">
        <v>1323</v>
      </c>
      <c r="X212" s="17" t="s">
        <v>1324</v>
      </c>
      <c r="Y212" s="17" t="s">
        <v>1325</v>
      </c>
      <c r="Z212" s="17" t="s">
        <v>1326</v>
      </c>
      <c r="AA212" s="17" t="s">
        <v>35</v>
      </c>
      <c r="AB212" s="17" t="s">
        <v>1317</v>
      </c>
      <c r="AC212" s="17" t="s">
        <v>9538</v>
      </c>
      <c r="AD212" s="42">
        <v>27.57</v>
      </c>
      <c r="AE212" s="42">
        <v>29</v>
      </c>
      <c r="AF212" s="48"/>
      <c r="AG212" s="44"/>
      <c r="AH212" s="7">
        <f t="shared" si="3"/>
        <v>0</v>
      </c>
      <c r="AI212" s="18"/>
      <c r="AJ212" s="18"/>
    </row>
    <row r="213" spans="1:38" ht="26.65" customHeight="1" x14ac:dyDescent="0.25">
      <c r="A213" s="10" t="s">
        <v>10075</v>
      </c>
      <c r="B213" s="9" t="s">
        <v>903</v>
      </c>
      <c r="C213" s="9" t="s">
        <v>34</v>
      </c>
      <c r="D213" s="9" t="s">
        <v>59</v>
      </c>
      <c r="E213" s="9" t="s">
        <v>35</v>
      </c>
      <c r="F213" s="9" t="s">
        <v>36</v>
      </c>
      <c r="G213" s="9">
        <v>6</v>
      </c>
      <c r="H213" s="9">
        <v>84212300</v>
      </c>
      <c r="I213" s="11" t="s">
        <v>37</v>
      </c>
      <c r="J213" s="12">
        <v>2.3E-2</v>
      </c>
      <c r="K213" s="12">
        <v>0.108</v>
      </c>
      <c r="L213" s="12">
        <v>5.1999999999999998E-2</v>
      </c>
      <c r="M213" s="13">
        <v>8003453060197</v>
      </c>
      <c r="N213" s="14">
        <v>0</v>
      </c>
      <c r="O213" s="14">
        <v>0</v>
      </c>
      <c r="P213" s="15">
        <v>45566</v>
      </c>
      <c r="Q213" s="16" t="s">
        <v>10076</v>
      </c>
      <c r="R213" s="17" t="s">
        <v>35</v>
      </c>
      <c r="S213" s="17" t="s">
        <v>10077</v>
      </c>
      <c r="T213" s="17" t="s">
        <v>35</v>
      </c>
      <c r="U213" s="17" t="s">
        <v>35</v>
      </c>
      <c r="V213" s="17" t="s">
        <v>35</v>
      </c>
      <c r="W213" s="17" t="s">
        <v>35</v>
      </c>
      <c r="X213" s="17" t="s">
        <v>35</v>
      </c>
      <c r="Y213" s="17" t="s">
        <v>1335</v>
      </c>
      <c r="Z213" s="17" t="s">
        <v>10078</v>
      </c>
      <c r="AA213" s="17" t="s">
        <v>35</v>
      </c>
      <c r="AB213" s="17" t="s">
        <v>35</v>
      </c>
      <c r="AC213" s="17" t="s">
        <v>9539</v>
      </c>
      <c r="AD213" s="41">
        <v>38.049999999999997</v>
      </c>
      <c r="AE213" s="41">
        <v>40.03</v>
      </c>
      <c r="AF213" s="48"/>
      <c r="AG213" s="44"/>
      <c r="AH213" s="7">
        <f t="shared" si="3"/>
        <v>0</v>
      </c>
      <c r="AI213" s="18"/>
      <c r="AJ213" s="18"/>
    </row>
    <row r="214" spans="1:38" ht="26.65" customHeight="1" x14ac:dyDescent="0.25">
      <c r="A214" s="38" t="s">
        <v>1327</v>
      </c>
      <c r="B214" s="9" t="s">
        <v>903</v>
      </c>
      <c r="C214" s="9" t="s">
        <v>43</v>
      </c>
      <c r="D214" s="9" t="s">
        <v>904</v>
      </c>
      <c r="E214" s="9" t="s">
        <v>122</v>
      </c>
      <c r="F214" s="9" t="s">
        <v>36</v>
      </c>
      <c r="G214" s="9">
        <v>6</v>
      </c>
      <c r="H214" s="9">
        <v>84212300</v>
      </c>
      <c r="I214" s="11" t="s">
        <v>37</v>
      </c>
      <c r="J214" s="12">
        <v>2.3E-2</v>
      </c>
      <c r="K214" s="12">
        <v>0.108</v>
      </c>
      <c r="L214" s="12">
        <v>5.1999999999999998E-2</v>
      </c>
      <c r="M214" s="13">
        <v>8003453060210</v>
      </c>
      <c r="N214" s="14">
        <v>0.38800000000000001</v>
      </c>
      <c r="O214" s="14">
        <v>0.442</v>
      </c>
      <c r="P214" s="15" t="s">
        <v>35</v>
      </c>
      <c r="Q214" s="16" t="s">
        <v>1328</v>
      </c>
      <c r="R214" s="17" t="s">
        <v>1329</v>
      </c>
      <c r="S214" s="17" t="s">
        <v>1330</v>
      </c>
      <c r="T214" s="17" t="s">
        <v>1331</v>
      </c>
      <c r="U214" s="17" t="s">
        <v>1332</v>
      </c>
      <c r="V214" s="17" t="s">
        <v>1333</v>
      </c>
      <c r="W214" s="17" t="s">
        <v>1334</v>
      </c>
      <c r="X214" s="17" t="s">
        <v>1275</v>
      </c>
      <c r="Y214" s="17" t="s">
        <v>1335</v>
      </c>
      <c r="Z214" s="17" t="s">
        <v>1336</v>
      </c>
      <c r="AA214" s="17" t="s">
        <v>35</v>
      </c>
      <c r="AB214" s="17" t="s">
        <v>1337</v>
      </c>
      <c r="AC214" s="17" t="s">
        <v>9538</v>
      </c>
      <c r="AD214" s="41">
        <v>18.690000000000001</v>
      </c>
      <c r="AE214" s="41">
        <v>19.66</v>
      </c>
      <c r="AF214" s="48"/>
      <c r="AG214" s="44"/>
      <c r="AH214" s="7">
        <f t="shared" si="3"/>
        <v>0</v>
      </c>
      <c r="AI214" s="18"/>
      <c r="AJ214" s="18"/>
      <c r="AL214" s="18"/>
    </row>
    <row r="215" spans="1:38" ht="26.65" customHeight="1" x14ac:dyDescent="0.25">
      <c r="A215" s="38" t="s">
        <v>9112</v>
      </c>
      <c r="B215" s="9" t="s">
        <v>9098</v>
      </c>
      <c r="C215" s="9" t="s">
        <v>43</v>
      </c>
      <c r="D215" s="9" t="s">
        <v>904</v>
      </c>
      <c r="E215" s="9" t="s">
        <v>122</v>
      </c>
      <c r="F215" s="9" t="s">
        <v>36</v>
      </c>
      <c r="G215" s="9">
        <v>6</v>
      </c>
      <c r="H215" s="9">
        <v>84212300</v>
      </c>
      <c r="I215" s="11" t="s">
        <v>37</v>
      </c>
      <c r="J215" s="12">
        <v>2.3E-2</v>
      </c>
      <c r="K215" s="12">
        <v>0.108</v>
      </c>
      <c r="L215" s="12">
        <v>5.1999999999999998E-2</v>
      </c>
      <c r="M215" s="13">
        <v>8003453809437</v>
      </c>
      <c r="N215" s="14">
        <v>0.5</v>
      </c>
      <c r="O215" s="14">
        <v>0.55000000000000004</v>
      </c>
      <c r="P215" s="15">
        <v>45383</v>
      </c>
      <c r="Q215" s="16" t="s">
        <v>9113</v>
      </c>
      <c r="R215" s="17" t="s">
        <v>9114</v>
      </c>
      <c r="S215" s="17" t="s">
        <v>9115</v>
      </c>
      <c r="T215" s="17" t="s">
        <v>9116</v>
      </c>
      <c r="U215" s="17" t="s">
        <v>1332</v>
      </c>
      <c r="V215" s="17" t="s">
        <v>1333</v>
      </c>
      <c r="W215" s="17" t="s">
        <v>1334</v>
      </c>
      <c r="X215" s="17" t="s">
        <v>1275</v>
      </c>
      <c r="Y215" s="17" t="s">
        <v>1335</v>
      </c>
      <c r="Z215" s="17" t="s">
        <v>9117</v>
      </c>
      <c r="AA215" s="17" t="s">
        <v>35</v>
      </c>
      <c r="AB215" s="17" t="s">
        <v>35</v>
      </c>
      <c r="AC215" s="17" t="s">
        <v>9538</v>
      </c>
      <c r="AD215" s="42">
        <v>24.21</v>
      </c>
      <c r="AE215" s="42">
        <v>25.47</v>
      </c>
      <c r="AF215" s="48"/>
      <c r="AG215" s="44"/>
      <c r="AH215" s="7">
        <f t="shared" si="3"/>
        <v>0</v>
      </c>
      <c r="AI215" s="18"/>
      <c r="AJ215" s="18"/>
    </row>
    <row r="216" spans="1:38" ht="26.65" customHeight="1" x14ac:dyDescent="0.25">
      <c r="A216" s="38" t="s">
        <v>1338</v>
      </c>
      <c r="B216" s="9" t="s">
        <v>903</v>
      </c>
      <c r="C216" s="9" t="s">
        <v>43</v>
      </c>
      <c r="D216" s="9" t="s">
        <v>904</v>
      </c>
      <c r="E216" s="9" t="s">
        <v>35</v>
      </c>
      <c r="F216" s="9" t="s">
        <v>36</v>
      </c>
      <c r="G216" s="9">
        <v>6</v>
      </c>
      <c r="H216" s="9">
        <v>84212300</v>
      </c>
      <c r="I216" s="11" t="s">
        <v>37</v>
      </c>
      <c r="J216" s="12">
        <v>2.3E-2</v>
      </c>
      <c r="K216" s="12">
        <v>0.108</v>
      </c>
      <c r="L216" s="12">
        <v>5.1999999999999998E-2</v>
      </c>
      <c r="M216" s="13">
        <v>8003453060333</v>
      </c>
      <c r="N216" s="14">
        <v>0.19</v>
      </c>
      <c r="O216" s="14">
        <v>0.23100000000000001</v>
      </c>
      <c r="P216" s="15" t="s">
        <v>35</v>
      </c>
      <c r="Q216" s="16" t="s">
        <v>1339</v>
      </c>
      <c r="R216" s="17" t="s">
        <v>1340</v>
      </c>
      <c r="S216" s="17" t="s">
        <v>1341</v>
      </c>
      <c r="T216" s="17" t="s">
        <v>1342</v>
      </c>
      <c r="U216" s="17" t="s">
        <v>1343</v>
      </c>
      <c r="V216" s="17" t="s">
        <v>1344</v>
      </c>
      <c r="W216" s="17" t="s">
        <v>1345</v>
      </c>
      <c r="X216" s="17" t="s">
        <v>1346</v>
      </c>
      <c r="Y216" s="17" t="s">
        <v>1347</v>
      </c>
      <c r="Z216" s="17" t="s">
        <v>1348</v>
      </c>
      <c r="AA216" s="17" t="s">
        <v>1349</v>
      </c>
      <c r="AB216" s="17" t="s">
        <v>1350</v>
      </c>
      <c r="AC216" s="17" t="s">
        <v>9538</v>
      </c>
      <c r="AD216" s="42">
        <v>8.5</v>
      </c>
      <c r="AE216" s="42">
        <v>8.94</v>
      </c>
      <c r="AF216" s="48"/>
      <c r="AG216" s="44"/>
      <c r="AH216" s="7">
        <f t="shared" si="3"/>
        <v>0</v>
      </c>
      <c r="AI216" s="18"/>
      <c r="AJ216" s="18"/>
    </row>
    <row r="217" spans="1:38" ht="26.65" customHeight="1" x14ac:dyDescent="0.25">
      <c r="A217" s="10" t="s">
        <v>1351</v>
      </c>
      <c r="B217" s="9" t="s">
        <v>903</v>
      </c>
      <c r="C217" s="9" t="s">
        <v>43</v>
      </c>
      <c r="D217" s="9" t="s">
        <v>904</v>
      </c>
      <c r="E217" s="9" t="s">
        <v>35</v>
      </c>
      <c r="F217" s="9" t="s">
        <v>36</v>
      </c>
      <c r="G217" s="9">
        <v>6</v>
      </c>
      <c r="H217" s="9">
        <v>84212300</v>
      </c>
      <c r="I217" s="11" t="s">
        <v>37</v>
      </c>
      <c r="J217" s="12">
        <v>2.3E-2</v>
      </c>
      <c r="K217" s="12">
        <v>0.108</v>
      </c>
      <c r="L217" s="12">
        <v>5.1999999999999998E-2</v>
      </c>
      <c r="M217" s="13">
        <v>8003453060364</v>
      </c>
      <c r="N217" s="14">
        <v>0.23</v>
      </c>
      <c r="O217" s="14">
        <v>0.27600000000000002</v>
      </c>
      <c r="P217" s="15" t="s">
        <v>35</v>
      </c>
      <c r="Q217" s="16" t="s">
        <v>1352</v>
      </c>
      <c r="R217" s="17" t="s">
        <v>1353</v>
      </c>
      <c r="S217" s="17" t="s">
        <v>1354</v>
      </c>
      <c r="T217" s="17" t="s">
        <v>1355</v>
      </c>
      <c r="U217" s="17" t="s">
        <v>1356</v>
      </c>
      <c r="V217" s="17" t="s">
        <v>1357</v>
      </c>
      <c r="W217" s="17" t="s">
        <v>1358</v>
      </c>
      <c r="X217" s="17" t="s">
        <v>1359</v>
      </c>
      <c r="Y217" s="17" t="s">
        <v>1360</v>
      </c>
      <c r="Z217" s="17" t="s">
        <v>1361</v>
      </c>
      <c r="AA217" s="17" t="s">
        <v>1362</v>
      </c>
      <c r="AB217" s="17" t="s">
        <v>1363</v>
      </c>
      <c r="AC217" s="17" t="s">
        <v>9539</v>
      </c>
      <c r="AD217" s="41">
        <v>14.24</v>
      </c>
      <c r="AE217" s="41">
        <v>14.98</v>
      </c>
      <c r="AF217" s="48"/>
      <c r="AG217" s="44"/>
      <c r="AH217" s="7">
        <f t="shared" si="3"/>
        <v>0</v>
      </c>
      <c r="AI217" s="18"/>
      <c r="AJ217" s="18"/>
      <c r="AL217" s="18"/>
    </row>
    <row r="218" spans="1:38" ht="26.65" customHeight="1" x14ac:dyDescent="0.25">
      <c r="A218" s="38" t="s">
        <v>1364</v>
      </c>
      <c r="B218" s="9" t="s">
        <v>903</v>
      </c>
      <c r="C218" s="9" t="s">
        <v>43</v>
      </c>
      <c r="D218" s="9" t="s">
        <v>904</v>
      </c>
      <c r="E218" s="9" t="s">
        <v>35</v>
      </c>
      <c r="F218" s="9" t="s">
        <v>36</v>
      </c>
      <c r="G218" s="9">
        <v>6</v>
      </c>
      <c r="H218" s="9">
        <v>84212300</v>
      </c>
      <c r="I218" s="11" t="s">
        <v>37</v>
      </c>
      <c r="J218" s="12">
        <v>2.3E-2</v>
      </c>
      <c r="K218" s="12">
        <v>0.108</v>
      </c>
      <c r="L218" s="12">
        <v>5.1999999999999998E-2</v>
      </c>
      <c r="M218" s="13">
        <v>8003453060418</v>
      </c>
      <c r="N218" s="14">
        <v>0.40400000000000003</v>
      </c>
      <c r="O218" s="14">
        <v>0.60399999999999998</v>
      </c>
      <c r="P218" s="15" t="s">
        <v>35</v>
      </c>
      <c r="Q218" s="16" t="s">
        <v>1365</v>
      </c>
      <c r="R218" s="17" t="s">
        <v>35</v>
      </c>
      <c r="S218" s="17" t="s">
        <v>1366</v>
      </c>
      <c r="T218" s="17" t="s">
        <v>1367</v>
      </c>
      <c r="U218" s="17" t="s">
        <v>1368</v>
      </c>
      <c r="V218" s="17" t="s">
        <v>1369</v>
      </c>
      <c r="W218" s="17" t="s">
        <v>1370</v>
      </c>
      <c r="X218" s="17" t="s">
        <v>1371</v>
      </c>
      <c r="Y218" s="17" t="s">
        <v>1372</v>
      </c>
      <c r="Z218" s="17" t="s">
        <v>35</v>
      </c>
      <c r="AA218" s="17" t="s">
        <v>35</v>
      </c>
      <c r="AB218" s="17" t="s">
        <v>1373</v>
      </c>
      <c r="AC218" s="17" t="s">
        <v>9538</v>
      </c>
      <c r="AD218" s="42">
        <v>33.5</v>
      </c>
      <c r="AE218" s="42">
        <v>35.24</v>
      </c>
      <c r="AF218" s="48"/>
      <c r="AG218" s="44"/>
      <c r="AH218" s="7">
        <f t="shared" si="3"/>
        <v>0</v>
      </c>
      <c r="AI218" s="18"/>
      <c r="AJ218" s="18"/>
    </row>
    <row r="219" spans="1:38" ht="26.65" customHeight="1" x14ac:dyDescent="0.25">
      <c r="A219" s="38" t="s">
        <v>1374</v>
      </c>
      <c r="B219" s="9" t="s">
        <v>903</v>
      </c>
      <c r="C219" s="9" t="s">
        <v>43</v>
      </c>
      <c r="D219" s="9" t="s">
        <v>904</v>
      </c>
      <c r="E219" s="9" t="s">
        <v>122</v>
      </c>
      <c r="F219" s="9" t="s">
        <v>36</v>
      </c>
      <c r="G219" s="9">
        <v>6</v>
      </c>
      <c r="H219" s="9">
        <v>84212300</v>
      </c>
      <c r="I219" s="11" t="s">
        <v>37</v>
      </c>
      <c r="J219" s="12">
        <v>2.3E-2</v>
      </c>
      <c r="K219" s="12">
        <v>0.108</v>
      </c>
      <c r="L219" s="12">
        <v>5.1999999999999998E-2</v>
      </c>
      <c r="M219" s="13">
        <v>8003453060654</v>
      </c>
      <c r="N219" s="14">
        <v>0.40400000000000003</v>
      </c>
      <c r="O219" s="14">
        <v>0.60399999999999998</v>
      </c>
      <c r="P219" s="15">
        <v>44927</v>
      </c>
      <c r="Q219" s="16" t="s">
        <v>1375</v>
      </c>
      <c r="R219" s="17" t="s">
        <v>1376</v>
      </c>
      <c r="S219" s="17" t="s">
        <v>1377</v>
      </c>
      <c r="T219" s="17" t="s">
        <v>1378</v>
      </c>
      <c r="U219" s="17" t="s">
        <v>1379</v>
      </c>
      <c r="V219" s="17" t="s">
        <v>1380</v>
      </c>
      <c r="W219" s="17" t="s">
        <v>1381</v>
      </c>
      <c r="X219" s="17" t="s">
        <v>1382</v>
      </c>
      <c r="Y219" s="17" t="s">
        <v>1383</v>
      </c>
      <c r="Z219" s="17" t="s">
        <v>1384</v>
      </c>
      <c r="AA219" s="17" t="s">
        <v>35</v>
      </c>
      <c r="AB219" s="17" t="s">
        <v>1373</v>
      </c>
      <c r="AC219" s="17" t="s">
        <v>9538</v>
      </c>
      <c r="AD219" s="42">
        <v>41.08</v>
      </c>
      <c r="AE219" s="42">
        <v>43.22</v>
      </c>
      <c r="AF219" s="48"/>
      <c r="AG219" s="44"/>
      <c r="AH219" s="7">
        <f t="shared" si="3"/>
        <v>0</v>
      </c>
      <c r="AI219" s="18"/>
      <c r="AJ219" s="18"/>
    </row>
    <row r="220" spans="1:38" ht="26.65" customHeight="1" x14ac:dyDescent="0.25">
      <c r="A220" s="38" t="s">
        <v>1385</v>
      </c>
      <c r="B220" s="9" t="s">
        <v>903</v>
      </c>
      <c r="C220" s="9" t="s">
        <v>43</v>
      </c>
      <c r="D220" s="9" t="s">
        <v>904</v>
      </c>
      <c r="E220" s="9" t="s">
        <v>35</v>
      </c>
      <c r="F220" s="9" t="s">
        <v>36</v>
      </c>
      <c r="G220" s="9">
        <v>6</v>
      </c>
      <c r="H220" s="9">
        <v>84212300</v>
      </c>
      <c r="I220" s="11" t="s">
        <v>37</v>
      </c>
      <c r="J220" s="12">
        <v>2.3E-2</v>
      </c>
      <c r="K220" s="12">
        <v>0.108</v>
      </c>
      <c r="L220" s="12">
        <v>5.1999999999999998E-2</v>
      </c>
      <c r="M220" s="13">
        <v>8003453060524</v>
      </c>
      <c r="N220" s="14">
        <v>0.42</v>
      </c>
      <c r="O220" s="14">
        <v>0.44</v>
      </c>
      <c r="P220" s="15">
        <v>45170</v>
      </c>
      <c r="Q220" s="16" t="s">
        <v>1386</v>
      </c>
      <c r="R220" s="17" t="s">
        <v>35</v>
      </c>
      <c r="S220" s="17" t="s">
        <v>1387</v>
      </c>
      <c r="T220" s="17" t="s">
        <v>1388</v>
      </c>
      <c r="U220" s="17" t="s">
        <v>1389</v>
      </c>
      <c r="V220" s="17" t="s">
        <v>1390</v>
      </c>
      <c r="W220" s="17" t="s">
        <v>1391</v>
      </c>
      <c r="X220" s="17" t="s">
        <v>1392</v>
      </c>
      <c r="Y220" s="17" t="s">
        <v>1393</v>
      </c>
      <c r="Z220" s="17" t="s">
        <v>1394</v>
      </c>
      <c r="AA220" s="17" t="s">
        <v>35</v>
      </c>
      <c r="AB220" s="17" t="s">
        <v>1395</v>
      </c>
      <c r="AC220" s="17" t="s">
        <v>9538</v>
      </c>
      <c r="AD220" s="42">
        <v>29.02</v>
      </c>
      <c r="AE220" s="42">
        <v>30.53</v>
      </c>
      <c r="AF220" s="48"/>
      <c r="AG220" s="44"/>
      <c r="AH220" s="7">
        <f t="shared" si="3"/>
        <v>0</v>
      </c>
      <c r="AI220" s="18"/>
      <c r="AJ220" s="18"/>
    </row>
    <row r="221" spans="1:38" ht="26.65" customHeight="1" x14ac:dyDescent="0.25">
      <c r="A221" s="10" t="s">
        <v>1396</v>
      </c>
      <c r="B221" s="9" t="s">
        <v>903</v>
      </c>
      <c r="C221" s="9" t="s">
        <v>34</v>
      </c>
      <c r="D221" s="9" t="s">
        <v>59</v>
      </c>
      <c r="E221" s="9" t="s">
        <v>122</v>
      </c>
      <c r="F221" s="9" t="s">
        <v>36</v>
      </c>
      <c r="G221" s="9">
        <v>6</v>
      </c>
      <c r="H221" s="9">
        <v>84212300</v>
      </c>
      <c r="I221" s="11" t="s">
        <v>37</v>
      </c>
      <c r="J221" s="12">
        <v>2.3E-2</v>
      </c>
      <c r="K221" s="12">
        <v>0.108</v>
      </c>
      <c r="L221" s="12">
        <v>5.1999999999999998E-2</v>
      </c>
      <c r="M221" s="13">
        <v>8003453060548</v>
      </c>
      <c r="N221" s="14">
        <v>0.29299999999999998</v>
      </c>
      <c r="O221" s="14">
        <v>0.315</v>
      </c>
      <c r="P221" s="15">
        <v>45078</v>
      </c>
      <c r="Q221" s="16" t="s">
        <v>1397</v>
      </c>
      <c r="R221" s="17" t="s">
        <v>1398</v>
      </c>
      <c r="S221" s="17" t="s">
        <v>1399</v>
      </c>
      <c r="T221" s="17" t="s">
        <v>1400</v>
      </c>
      <c r="U221" s="17" t="s">
        <v>35</v>
      </c>
      <c r="V221" s="17" t="s">
        <v>35</v>
      </c>
      <c r="W221" s="17" t="s">
        <v>35</v>
      </c>
      <c r="X221" s="17" t="s">
        <v>35</v>
      </c>
      <c r="Y221" s="17" t="s">
        <v>35</v>
      </c>
      <c r="Z221" s="17" t="s">
        <v>35</v>
      </c>
      <c r="AA221" s="17" t="s">
        <v>35</v>
      </c>
      <c r="AB221" s="17" t="s">
        <v>1401</v>
      </c>
      <c r="AC221" s="17" t="s">
        <v>9539</v>
      </c>
      <c r="AD221" s="42">
        <v>41.45</v>
      </c>
      <c r="AE221" s="42">
        <v>43.61</v>
      </c>
      <c r="AF221" s="48"/>
      <c r="AG221" s="44"/>
      <c r="AH221" s="7">
        <f t="shared" si="3"/>
        <v>0</v>
      </c>
      <c r="AI221" s="18"/>
      <c r="AJ221" s="18"/>
    </row>
    <row r="222" spans="1:38" ht="26.65" customHeight="1" x14ac:dyDescent="0.25">
      <c r="A222" s="38" t="s">
        <v>1402</v>
      </c>
      <c r="B222" s="9" t="s">
        <v>903</v>
      </c>
      <c r="C222" s="9" t="s">
        <v>43</v>
      </c>
      <c r="D222" s="9" t="s">
        <v>904</v>
      </c>
      <c r="E222" s="9" t="s">
        <v>35</v>
      </c>
      <c r="F222" s="9" t="s">
        <v>36</v>
      </c>
      <c r="G222" s="9">
        <v>6</v>
      </c>
      <c r="H222" s="9">
        <v>84212300</v>
      </c>
      <c r="I222" s="11" t="s">
        <v>37</v>
      </c>
      <c r="J222" s="12">
        <v>2.3E-2</v>
      </c>
      <c r="K222" s="12">
        <v>0.108</v>
      </c>
      <c r="L222" s="12">
        <v>5.1999999999999998E-2</v>
      </c>
      <c r="M222" s="13">
        <v>8003453060586</v>
      </c>
      <c r="N222" s="14">
        <v>0.38200000000000001</v>
      </c>
      <c r="O222" s="14">
        <v>0.442</v>
      </c>
      <c r="P222" s="15" t="s">
        <v>35</v>
      </c>
      <c r="Q222" s="16" t="s">
        <v>1403</v>
      </c>
      <c r="R222" s="17" t="s">
        <v>35</v>
      </c>
      <c r="S222" s="17" t="s">
        <v>1404</v>
      </c>
      <c r="T222" s="17" t="s">
        <v>1405</v>
      </c>
      <c r="U222" s="17" t="s">
        <v>1406</v>
      </c>
      <c r="V222" s="17" t="s">
        <v>1407</v>
      </c>
      <c r="W222" s="17" t="s">
        <v>1408</v>
      </c>
      <c r="X222" s="17" t="s">
        <v>1409</v>
      </c>
      <c r="Y222" s="17" t="s">
        <v>1410</v>
      </c>
      <c r="Z222" s="17" t="s">
        <v>1411</v>
      </c>
      <c r="AA222" s="17" t="s">
        <v>35</v>
      </c>
      <c r="AB222" s="17" t="s">
        <v>1412</v>
      </c>
      <c r="AC222" s="17" t="s">
        <v>9538</v>
      </c>
      <c r="AD222" s="41">
        <v>26.35</v>
      </c>
      <c r="AE222" s="41">
        <v>27.72</v>
      </c>
      <c r="AF222" s="48"/>
      <c r="AG222" s="44"/>
      <c r="AH222" s="7">
        <f t="shared" si="3"/>
        <v>0</v>
      </c>
      <c r="AI222" s="18"/>
      <c r="AJ222" s="18"/>
      <c r="AL222" s="18"/>
    </row>
    <row r="223" spans="1:38" ht="26.65" customHeight="1" x14ac:dyDescent="0.25">
      <c r="A223" s="10" t="s">
        <v>9816</v>
      </c>
      <c r="B223" s="9" t="s">
        <v>903</v>
      </c>
      <c r="C223" s="9" t="s">
        <v>58</v>
      </c>
      <c r="D223" s="9" t="s">
        <v>904</v>
      </c>
      <c r="E223" s="9" t="s">
        <v>35</v>
      </c>
      <c r="F223" s="9" t="s">
        <v>36</v>
      </c>
      <c r="G223" s="9">
        <v>6</v>
      </c>
      <c r="H223" s="9">
        <v>84212300</v>
      </c>
      <c r="I223" s="11" t="s">
        <v>37</v>
      </c>
      <c r="J223" s="12">
        <v>2.3E-2</v>
      </c>
      <c r="K223" s="12">
        <v>0.108</v>
      </c>
      <c r="L223" s="12">
        <v>5.1999999999999998E-2</v>
      </c>
      <c r="M223" s="13">
        <v>8003453810938</v>
      </c>
      <c r="N223" s="14">
        <v>0.41099999999999998</v>
      </c>
      <c r="O223" s="14">
        <v>0.49099999999999999</v>
      </c>
      <c r="P223" s="15">
        <v>45536</v>
      </c>
      <c r="Q223" s="16" t="s">
        <v>9817</v>
      </c>
      <c r="R223" s="17" t="s">
        <v>35</v>
      </c>
      <c r="S223" s="17" t="s">
        <v>35</v>
      </c>
      <c r="T223" s="17" t="s">
        <v>9818</v>
      </c>
      <c r="U223" s="17" t="s">
        <v>9819</v>
      </c>
      <c r="V223" s="17" t="s">
        <v>35</v>
      </c>
      <c r="W223" s="17" t="s">
        <v>35</v>
      </c>
      <c r="X223" s="17" t="s">
        <v>35</v>
      </c>
      <c r="Y223" s="17" t="s">
        <v>35</v>
      </c>
      <c r="Z223" s="17" t="s">
        <v>35</v>
      </c>
      <c r="AA223" s="17" t="s">
        <v>35</v>
      </c>
      <c r="AB223" s="17" t="s">
        <v>9820</v>
      </c>
      <c r="AC223" s="17" t="s">
        <v>9539</v>
      </c>
      <c r="AD223" s="41">
        <v>37.119999999999997</v>
      </c>
      <c r="AE223" s="41">
        <v>39.049999999999997</v>
      </c>
      <c r="AF223" s="48"/>
      <c r="AG223" s="44"/>
      <c r="AH223" s="7">
        <f t="shared" si="3"/>
        <v>0</v>
      </c>
      <c r="AI223" s="18"/>
      <c r="AJ223" s="18"/>
    </row>
    <row r="224" spans="1:38" ht="26.65" customHeight="1" x14ac:dyDescent="0.25">
      <c r="A224" s="10" t="s">
        <v>1413</v>
      </c>
      <c r="B224" s="9" t="s">
        <v>903</v>
      </c>
      <c r="C224" s="9" t="s">
        <v>34</v>
      </c>
      <c r="D224" s="9" t="s">
        <v>904</v>
      </c>
      <c r="E224" s="9" t="s">
        <v>35</v>
      </c>
      <c r="F224" s="9" t="s">
        <v>36</v>
      </c>
      <c r="G224" s="9">
        <v>6</v>
      </c>
      <c r="H224" s="9">
        <v>84212300</v>
      </c>
      <c r="I224" s="11" t="s">
        <v>37</v>
      </c>
      <c r="J224" s="12">
        <v>2.3E-2</v>
      </c>
      <c r="K224" s="12">
        <v>0.108</v>
      </c>
      <c r="L224" s="12">
        <v>5.1999999999999998E-2</v>
      </c>
      <c r="M224" s="13">
        <v>8003453060685</v>
      </c>
      <c r="N224" s="14">
        <v>0.27</v>
      </c>
      <c r="O224" s="14">
        <v>0.29599999999999999</v>
      </c>
      <c r="P224" s="15">
        <v>44774</v>
      </c>
      <c r="Q224" s="16" t="s">
        <v>1414</v>
      </c>
      <c r="R224" s="17" t="s">
        <v>1415</v>
      </c>
      <c r="S224" s="17" t="s">
        <v>1416</v>
      </c>
      <c r="T224" s="17" t="s">
        <v>35</v>
      </c>
      <c r="U224" s="17" t="s">
        <v>35</v>
      </c>
      <c r="V224" s="17" t="s">
        <v>1417</v>
      </c>
      <c r="W224" s="17" t="s">
        <v>35</v>
      </c>
      <c r="X224" s="17" t="s">
        <v>35</v>
      </c>
      <c r="Y224" s="17" t="s">
        <v>1418</v>
      </c>
      <c r="Z224" s="17" t="s">
        <v>1419</v>
      </c>
      <c r="AA224" s="17" t="s">
        <v>35</v>
      </c>
      <c r="AB224" s="17" t="s">
        <v>1420</v>
      </c>
      <c r="AC224" s="17" t="s">
        <v>9539</v>
      </c>
      <c r="AD224" s="41">
        <v>39.07</v>
      </c>
      <c r="AE224" s="41">
        <v>41.1</v>
      </c>
      <c r="AF224" s="48"/>
      <c r="AG224" s="44"/>
      <c r="AH224" s="7">
        <f t="shared" si="3"/>
        <v>0</v>
      </c>
      <c r="AI224" s="18"/>
      <c r="AJ224" s="18"/>
      <c r="AL224" s="18"/>
    </row>
    <row r="225" spans="1:38" ht="26.65" customHeight="1" x14ac:dyDescent="0.25">
      <c r="A225" s="10" t="s">
        <v>1421</v>
      </c>
      <c r="B225" s="9" t="s">
        <v>1147</v>
      </c>
      <c r="C225" s="9" t="s">
        <v>43</v>
      </c>
      <c r="D225" s="9" t="s">
        <v>59</v>
      </c>
      <c r="E225" s="9" t="s">
        <v>35</v>
      </c>
      <c r="F225" s="9" t="s">
        <v>36</v>
      </c>
      <c r="G225" s="9">
        <v>6</v>
      </c>
      <c r="H225" s="9">
        <v>84212300</v>
      </c>
      <c r="I225" s="11" t="s">
        <v>37</v>
      </c>
      <c r="J225" s="12">
        <v>2.3E-2</v>
      </c>
      <c r="K225" s="12">
        <v>0.108</v>
      </c>
      <c r="L225" s="12">
        <v>5.1999999999999998E-2</v>
      </c>
      <c r="M225" s="13">
        <v>8003453060876</v>
      </c>
      <c r="N225" s="14">
        <v>0.45500000000000002</v>
      </c>
      <c r="O225" s="14">
        <v>0.51700000000000002</v>
      </c>
      <c r="P225" s="15">
        <v>45139</v>
      </c>
      <c r="Q225" s="16" t="s">
        <v>1422</v>
      </c>
      <c r="R225" s="17" t="s">
        <v>1423</v>
      </c>
      <c r="S225" s="17" t="s">
        <v>1424</v>
      </c>
      <c r="T225" s="17" t="s">
        <v>35</v>
      </c>
      <c r="U225" s="17" t="s">
        <v>35</v>
      </c>
      <c r="V225" s="17" t="s">
        <v>1425</v>
      </c>
      <c r="W225" s="17" t="s">
        <v>35</v>
      </c>
      <c r="X225" s="17" t="s">
        <v>35</v>
      </c>
      <c r="Y225" s="17" t="s">
        <v>35</v>
      </c>
      <c r="Z225" s="17" t="s">
        <v>35</v>
      </c>
      <c r="AA225" s="17" t="s">
        <v>35</v>
      </c>
      <c r="AB225" s="17" t="s">
        <v>1426</v>
      </c>
      <c r="AC225" s="17" t="s">
        <v>9539</v>
      </c>
      <c r="AD225" s="42">
        <v>26.9</v>
      </c>
      <c r="AE225" s="42">
        <v>28.3</v>
      </c>
      <c r="AF225" s="48"/>
      <c r="AG225" s="44"/>
      <c r="AH225" s="7">
        <f t="shared" si="3"/>
        <v>0</v>
      </c>
      <c r="AI225" s="18"/>
      <c r="AJ225" s="18"/>
    </row>
    <row r="226" spans="1:38" ht="26.65" customHeight="1" x14ac:dyDescent="0.25">
      <c r="A226" s="38" t="s">
        <v>1427</v>
      </c>
      <c r="B226" s="9" t="s">
        <v>903</v>
      </c>
      <c r="C226" s="9" t="s">
        <v>58</v>
      </c>
      <c r="D226" s="9" t="s">
        <v>904</v>
      </c>
      <c r="E226" s="9" t="s">
        <v>122</v>
      </c>
      <c r="F226" s="9" t="s">
        <v>36</v>
      </c>
      <c r="G226" s="9">
        <v>6</v>
      </c>
      <c r="H226" s="9">
        <v>84212300</v>
      </c>
      <c r="I226" s="11" t="s">
        <v>37</v>
      </c>
      <c r="J226" s="12">
        <v>2.3E-2</v>
      </c>
      <c r="K226" s="12">
        <v>0.108</v>
      </c>
      <c r="L226" s="12">
        <v>5.1999999999999998E-2</v>
      </c>
      <c r="M226" s="13">
        <v>8003453060760</v>
      </c>
      <c r="N226" s="14">
        <v>0.51100000000000001</v>
      </c>
      <c r="O226" s="14">
        <v>0.54400000000000004</v>
      </c>
      <c r="P226" s="15" t="s">
        <v>35</v>
      </c>
      <c r="Q226" s="16" t="s">
        <v>418</v>
      </c>
      <c r="R226" s="17" t="s">
        <v>1428</v>
      </c>
      <c r="S226" s="17" t="s">
        <v>1429</v>
      </c>
      <c r="T226" s="17" t="s">
        <v>1430</v>
      </c>
      <c r="U226" s="17" t="s">
        <v>1431</v>
      </c>
      <c r="V226" s="17" t="s">
        <v>1432</v>
      </c>
      <c r="W226" s="17" t="s">
        <v>1433</v>
      </c>
      <c r="X226" s="17" t="s">
        <v>1434</v>
      </c>
      <c r="Y226" s="17" t="s">
        <v>1435</v>
      </c>
      <c r="Z226" s="17" t="s">
        <v>1436</v>
      </c>
      <c r="AA226" s="17" t="s">
        <v>35</v>
      </c>
      <c r="AB226" s="17" t="s">
        <v>1437</v>
      </c>
      <c r="AC226" s="17" t="s">
        <v>9538</v>
      </c>
      <c r="AD226" s="41">
        <v>64.73</v>
      </c>
      <c r="AE226" s="41">
        <v>68.099999999999994</v>
      </c>
      <c r="AF226" s="48"/>
      <c r="AG226" s="44"/>
      <c r="AH226" s="7">
        <f t="shared" si="3"/>
        <v>0</v>
      </c>
      <c r="AI226" s="18"/>
      <c r="AJ226" s="18"/>
      <c r="AL226" s="18"/>
    </row>
    <row r="227" spans="1:38" ht="26.65" customHeight="1" x14ac:dyDescent="0.25">
      <c r="A227" s="38" t="s">
        <v>1438</v>
      </c>
      <c r="B227" s="9" t="s">
        <v>903</v>
      </c>
      <c r="C227" s="9" t="s">
        <v>58</v>
      </c>
      <c r="D227" s="9" t="s">
        <v>904</v>
      </c>
      <c r="E227" s="9" t="s">
        <v>122</v>
      </c>
      <c r="F227" s="9" t="s">
        <v>36</v>
      </c>
      <c r="G227" s="9">
        <v>6</v>
      </c>
      <c r="H227" s="9">
        <v>84212300</v>
      </c>
      <c r="I227" s="11" t="s">
        <v>37</v>
      </c>
      <c r="J227" s="12">
        <v>2.3E-2</v>
      </c>
      <c r="K227" s="12">
        <v>0.108</v>
      </c>
      <c r="L227" s="12">
        <v>5.1999999999999998E-2</v>
      </c>
      <c r="M227" s="13">
        <v>8003453061545</v>
      </c>
      <c r="N227" s="14">
        <v>1.012</v>
      </c>
      <c r="O227" s="14">
        <v>1.0629999999999999</v>
      </c>
      <c r="P227" s="15" t="s">
        <v>35</v>
      </c>
      <c r="Q227" s="16" t="s">
        <v>1439</v>
      </c>
      <c r="R227" s="17" t="s">
        <v>1440</v>
      </c>
      <c r="S227" s="17" t="s">
        <v>1441</v>
      </c>
      <c r="T227" s="17" t="s">
        <v>1442</v>
      </c>
      <c r="U227" s="17" t="s">
        <v>35</v>
      </c>
      <c r="V227" s="17" t="s">
        <v>35</v>
      </c>
      <c r="W227" s="17" t="s">
        <v>35</v>
      </c>
      <c r="X227" s="17" t="s">
        <v>35</v>
      </c>
      <c r="Y227" s="17" t="s">
        <v>1443</v>
      </c>
      <c r="Z227" s="17" t="s">
        <v>35</v>
      </c>
      <c r="AA227" s="17" t="s">
        <v>35</v>
      </c>
      <c r="AB227" s="17" t="s">
        <v>35</v>
      </c>
      <c r="AC227" s="17" t="s">
        <v>9538</v>
      </c>
      <c r="AD227" s="41">
        <v>81.66</v>
      </c>
      <c r="AE227" s="41">
        <v>85.91</v>
      </c>
      <c r="AF227" s="48"/>
      <c r="AG227" s="44"/>
      <c r="AH227" s="7">
        <f t="shared" si="3"/>
        <v>0</v>
      </c>
      <c r="AI227" s="18"/>
      <c r="AJ227" s="18"/>
      <c r="AL227" s="18"/>
    </row>
    <row r="228" spans="1:38" ht="26.65" customHeight="1" x14ac:dyDescent="0.25">
      <c r="A228" s="10" t="s">
        <v>1444</v>
      </c>
      <c r="B228" s="9" t="s">
        <v>903</v>
      </c>
      <c r="C228" s="9" t="s">
        <v>58</v>
      </c>
      <c r="D228" s="9" t="s">
        <v>904</v>
      </c>
      <c r="E228" s="9" t="s">
        <v>122</v>
      </c>
      <c r="F228" s="9" t="s">
        <v>36</v>
      </c>
      <c r="G228" s="9">
        <v>6</v>
      </c>
      <c r="H228" s="9">
        <v>84212300</v>
      </c>
      <c r="I228" s="11" t="s">
        <v>37</v>
      </c>
      <c r="J228" s="12">
        <v>2.3E-2</v>
      </c>
      <c r="K228" s="12">
        <v>0.108</v>
      </c>
      <c r="L228" s="12">
        <v>5.1999999999999998E-2</v>
      </c>
      <c r="M228" s="13">
        <v>8003453060777</v>
      </c>
      <c r="N228" s="14">
        <v>0.874</v>
      </c>
      <c r="O228" s="14">
        <v>0.92800000000000005</v>
      </c>
      <c r="P228" s="15" t="s">
        <v>35</v>
      </c>
      <c r="Q228" s="16" t="s">
        <v>914</v>
      </c>
      <c r="R228" s="17" t="s">
        <v>1445</v>
      </c>
      <c r="S228" s="17" t="s">
        <v>916</v>
      </c>
      <c r="T228" s="17" t="s">
        <v>1446</v>
      </c>
      <c r="U228" s="17" t="s">
        <v>35</v>
      </c>
      <c r="V228" s="17" t="s">
        <v>917</v>
      </c>
      <c r="W228" s="17" t="s">
        <v>35</v>
      </c>
      <c r="X228" s="17" t="s">
        <v>35</v>
      </c>
      <c r="Y228" s="17" t="s">
        <v>918</v>
      </c>
      <c r="Z228" s="17" t="s">
        <v>919</v>
      </c>
      <c r="AA228" s="17" t="s">
        <v>35</v>
      </c>
      <c r="AB228" s="17" t="s">
        <v>1447</v>
      </c>
      <c r="AC228" s="17" t="s">
        <v>9539</v>
      </c>
      <c r="AD228" s="42">
        <v>135.91999999999999</v>
      </c>
      <c r="AE228" s="42">
        <v>142.99</v>
      </c>
      <c r="AF228" s="48"/>
      <c r="AG228" s="44"/>
      <c r="AH228" s="7">
        <f t="shared" si="3"/>
        <v>0</v>
      </c>
      <c r="AI228" s="18"/>
      <c r="AJ228" s="18"/>
    </row>
    <row r="229" spans="1:38" ht="26.65" customHeight="1" x14ac:dyDescent="0.25">
      <c r="A229" s="38" t="s">
        <v>1448</v>
      </c>
      <c r="B229" s="9" t="s">
        <v>903</v>
      </c>
      <c r="C229" s="9" t="s">
        <v>43</v>
      </c>
      <c r="D229" s="9" t="s">
        <v>904</v>
      </c>
      <c r="E229" s="9" t="s">
        <v>35</v>
      </c>
      <c r="F229" s="9" t="s">
        <v>36</v>
      </c>
      <c r="G229" s="9">
        <v>6</v>
      </c>
      <c r="H229" s="9">
        <v>84212300</v>
      </c>
      <c r="I229" s="11" t="s">
        <v>37</v>
      </c>
      <c r="J229" s="12">
        <v>2.3E-2</v>
      </c>
      <c r="K229" s="12">
        <v>0.108</v>
      </c>
      <c r="L229" s="12">
        <v>5.1999999999999998E-2</v>
      </c>
      <c r="M229" s="13">
        <v>8003453060906</v>
      </c>
      <c r="N229" s="14">
        <v>0.46899999999999997</v>
      </c>
      <c r="O229" s="14">
        <v>0.50700000000000001</v>
      </c>
      <c r="P229" s="15">
        <v>44774</v>
      </c>
      <c r="Q229" s="16" t="s">
        <v>1449</v>
      </c>
      <c r="R229" s="17" t="s">
        <v>1450</v>
      </c>
      <c r="S229" s="17" t="s">
        <v>1451</v>
      </c>
      <c r="T229" s="17" t="s">
        <v>35</v>
      </c>
      <c r="U229" s="17" t="s">
        <v>1452</v>
      </c>
      <c r="V229" s="17" t="s">
        <v>1453</v>
      </c>
      <c r="W229" s="17" t="s">
        <v>1454</v>
      </c>
      <c r="X229" s="17" t="s">
        <v>1455</v>
      </c>
      <c r="Y229" s="17" t="s">
        <v>1456</v>
      </c>
      <c r="Z229" s="17" t="s">
        <v>1457</v>
      </c>
      <c r="AA229" s="17" t="s">
        <v>35</v>
      </c>
      <c r="AB229" s="17" t="s">
        <v>1458</v>
      </c>
      <c r="AC229" s="17" t="s">
        <v>9538</v>
      </c>
      <c r="AD229" s="42">
        <v>36.130000000000003</v>
      </c>
      <c r="AE229" s="42">
        <v>38.01</v>
      </c>
      <c r="AF229" s="48"/>
      <c r="AG229" s="44"/>
      <c r="AH229" s="7">
        <f t="shared" si="3"/>
        <v>0</v>
      </c>
      <c r="AI229" s="18"/>
      <c r="AJ229" s="18"/>
    </row>
    <row r="230" spans="1:38" ht="26.65" customHeight="1" x14ac:dyDescent="0.25">
      <c r="A230" s="10" t="s">
        <v>1459</v>
      </c>
      <c r="B230" s="9" t="s">
        <v>903</v>
      </c>
      <c r="C230" s="9" t="s">
        <v>43</v>
      </c>
      <c r="D230" s="9" t="s">
        <v>59</v>
      </c>
      <c r="E230" s="9" t="s">
        <v>35</v>
      </c>
      <c r="F230" s="9" t="s">
        <v>36</v>
      </c>
      <c r="G230" s="9">
        <v>6</v>
      </c>
      <c r="H230" s="9">
        <v>84212300</v>
      </c>
      <c r="I230" s="11" t="s">
        <v>37</v>
      </c>
      <c r="J230" s="12">
        <v>2.3E-2</v>
      </c>
      <c r="K230" s="12">
        <v>0.108</v>
      </c>
      <c r="L230" s="12">
        <v>5.1999999999999998E-2</v>
      </c>
      <c r="M230" s="13">
        <v>8003453061385</v>
      </c>
      <c r="N230" s="14">
        <v>0.41599999999999998</v>
      </c>
      <c r="O230" s="14">
        <v>0.47099999999999997</v>
      </c>
      <c r="P230" s="15">
        <v>44531</v>
      </c>
      <c r="Q230" s="16" t="s">
        <v>1460</v>
      </c>
      <c r="R230" s="17" t="s">
        <v>1461</v>
      </c>
      <c r="S230" s="17" t="s">
        <v>1462</v>
      </c>
      <c r="T230" s="17" t="s">
        <v>1405</v>
      </c>
      <c r="U230" s="17" t="s">
        <v>1463</v>
      </c>
      <c r="V230" s="17" t="s">
        <v>1407</v>
      </c>
      <c r="W230" s="17" t="s">
        <v>1408</v>
      </c>
      <c r="X230" s="17" t="s">
        <v>1409</v>
      </c>
      <c r="Y230" s="17" t="s">
        <v>1410</v>
      </c>
      <c r="Z230" s="17" t="s">
        <v>1464</v>
      </c>
      <c r="AA230" s="17" t="s">
        <v>35</v>
      </c>
      <c r="AB230" s="17" t="s">
        <v>1412</v>
      </c>
      <c r="AC230" s="17" t="s">
        <v>9539</v>
      </c>
      <c r="AD230" s="41">
        <v>22.5</v>
      </c>
      <c r="AE230" s="41">
        <v>23.67</v>
      </c>
      <c r="AF230" s="48"/>
      <c r="AG230" s="44"/>
      <c r="AH230" s="7">
        <f t="shared" si="3"/>
        <v>0</v>
      </c>
      <c r="AI230" s="18"/>
      <c r="AJ230" s="18"/>
    </row>
    <row r="231" spans="1:38" ht="26.65" customHeight="1" x14ac:dyDescent="0.25">
      <c r="A231" s="10" t="s">
        <v>1465</v>
      </c>
      <c r="B231" s="9" t="s">
        <v>903</v>
      </c>
      <c r="C231" s="9" t="s">
        <v>43</v>
      </c>
      <c r="D231" s="9" t="s">
        <v>904</v>
      </c>
      <c r="E231" s="9" t="s">
        <v>35</v>
      </c>
      <c r="F231" s="9" t="s">
        <v>36</v>
      </c>
      <c r="G231" s="9">
        <v>6</v>
      </c>
      <c r="H231" s="9">
        <v>84212300</v>
      </c>
      <c r="I231" s="11" t="s">
        <v>37</v>
      </c>
      <c r="J231" s="12">
        <v>2.3E-2</v>
      </c>
      <c r="K231" s="12">
        <v>0.108</v>
      </c>
      <c r="L231" s="12">
        <v>5.1999999999999998E-2</v>
      </c>
      <c r="M231" s="13">
        <v>8003453061033</v>
      </c>
      <c r="N231" s="14">
        <v>0.42399999999999999</v>
      </c>
      <c r="O231" s="14">
        <v>0.46</v>
      </c>
      <c r="P231" s="15" t="s">
        <v>35</v>
      </c>
      <c r="Q231" s="16" t="s">
        <v>1466</v>
      </c>
      <c r="R231" s="17" t="s">
        <v>35</v>
      </c>
      <c r="S231" s="17" t="s">
        <v>1467</v>
      </c>
      <c r="T231" s="17" t="s">
        <v>1468</v>
      </c>
      <c r="U231" s="17" t="s">
        <v>1469</v>
      </c>
      <c r="V231" s="17" t="s">
        <v>1470</v>
      </c>
      <c r="W231" s="17" t="s">
        <v>1471</v>
      </c>
      <c r="X231" s="17" t="s">
        <v>1472</v>
      </c>
      <c r="Y231" s="17" t="s">
        <v>1473</v>
      </c>
      <c r="Z231" s="17" t="s">
        <v>35</v>
      </c>
      <c r="AA231" s="17" t="s">
        <v>35</v>
      </c>
      <c r="AB231" s="17" t="s">
        <v>35</v>
      </c>
      <c r="AC231" s="17" t="s">
        <v>9539</v>
      </c>
      <c r="AD231" s="42">
        <v>41.91</v>
      </c>
      <c r="AE231" s="42">
        <v>44.09</v>
      </c>
      <c r="AF231" s="48"/>
      <c r="AG231" s="44"/>
      <c r="AH231" s="7">
        <f t="shared" si="3"/>
        <v>0</v>
      </c>
      <c r="AI231" s="18"/>
      <c r="AJ231" s="18"/>
    </row>
    <row r="232" spans="1:38" ht="26.65" customHeight="1" x14ac:dyDescent="0.25">
      <c r="A232" s="10" t="s">
        <v>1474</v>
      </c>
      <c r="B232" s="9" t="s">
        <v>903</v>
      </c>
      <c r="C232" s="9" t="s">
        <v>43</v>
      </c>
      <c r="D232" s="9" t="s">
        <v>904</v>
      </c>
      <c r="E232" s="9" t="s">
        <v>35</v>
      </c>
      <c r="F232" s="9" t="s">
        <v>36</v>
      </c>
      <c r="G232" s="9">
        <v>6</v>
      </c>
      <c r="H232" s="9">
        <v>84212300</v>
      </c>
      <c r="I232" s="11" t="s">
        <v>37</v>
      </c>
      <c r="J232" s="12">
        <v>2.3E-2</v>
      </c>
      <c r="K232" s="12">
        <v>0.108</v>
      </c>
      <c r="L232" s="12">
        <v>5.1999999999999998E-2</v>
      </c>
      <c r="M232" s="13">
        <v>8003453061590</v>
      </c>
      <c r="N232" s="14">
        <v>0.439</v>
      </c>
      <c r="O232" s="14">
        <v>0.505</v>
      </c>
      <c r="P232" s="15" t="s">
        <v>35</v>
      </c>
      <c r="Q232" s="16" t="s">
        <v>1475</v>
      </c>
      <c r="R232" s="17" t="s">
        <v>35</v>
      </c>
      <c r="S232" s="17" t="s">
        <v>1476</v>
      </c>
      <c r="T232" s="17" t="s">
        <v>1477</v>
      </c>
      <c r="U232" s="17" t="s">
        <v>1478</v>
      </c>
      <c r="V232" s="17" t="s">
        <v>1479</v>
      </c>
      <c r="W232" s="17" t="s">
        <v>1480</v>
      </c>
      <c r="X232" s="17" t="s">
        <v>1481</v>
      </c>
      <c r="Y232" s="17" t="s">
        <v>1482</v>
      </c>
      <c r="Z232" s="17" t="s">
        <v>35</v>
      </c>
      <c r="AA232" s="17" t="s">
        <v>35</v>
      </c>
      <c r="AB232" s="17" t="s">
        <v>35</v>
      </c>
      <c r="AC232" s="17" t="s">
        <v>9539</v>
      </c>
      <c r="AD232" s="41">
        <v>30.39</v>
      </c>
      <c r="AE232" s="41">
        <v>31.97</v>
      </c>
      <c r="AF232" s="48"/>
      <c r="AG232" s="44"/>
      <c r="AH232" s="7">
        <f t="shared" si="3"/>
        <v>0</v>
      </c>
      <c r="AI232" s="18"/>
      <c r="AJ232" s="18"/>
      <c r="AL232" s="18"/>
    </row>
    <row r="233" spans="1:38" ht="26.65" customHeight="1" x14ac:dyDescent="0.25">
      <c r="A233" s="10" t="s">
        <v>1483</v>
      </c>
      <c r="B233" s="9" t="s">
        <v>903</v>
      </c>
      <c r="C233" s="9" t="s">
        <v>43</v>
      </c>
      <c r="D233" s="9" t="s">
        <v>904</v>
      </c>
      <c r="E233" s="9" t="s">
        <v>35</v>
      </c>
      <c r="F233" s="9" t="s">
        <v>36</v>
      </c>
      <c r="G233" s="9">
        <v>6</v>
      </c>
      <c r="H233" s="9">
        <v>84212300</v>
      </c>
      <c r="I233" s="11" t="s">
        <v>37</v>
      </c>
      <c r="J233" s="12">
        <v>2.3E-2</v>
      </c>
      <c r="K233" s="12">
        <v>0.108</v>
      </c>
      <c r="L233" s="12">
        <v>5.1999999999999998E-2</v>
      </c>
      <c r="M233" s="13">
        <v>8003453061354</v>
      </c>
      <c r="N233" s="14">
        <v>0.54800000000000004</v>
      </c>
      <c r="O233" s="14">
        <v>0.60499999999999998</v>
      </c>
      <c r="P233" s="15" t="s">
        <v>35</v>
      </c>
      <c r="Q233" s="16" t="s">
        <v>1484</v>
      </c>
      <c r="R233" s="17" t="s">
        <v>35</v>
      </c>
      <c r="S233" s="17" t="s">
        <v>1485</v>
      </c>
      <c r="T233" s="17" t="s">
        <v>1486</v>
      </c>
      <c r="U233" s="17" t="s">
        <v>1487</v>
      </c>
      <c r="V233" s="17" t="s">
        <v>1488</v>
      </c>
      <c r="W233" s="17" t="s">
        <v>35</v>
      </c>
      <c r="X233" s="17" t="s">
        <v>1489</v>
      </c>
      <c r="Y233" s="17" t="s">
        <v>1490</v>
      </c>
      <c r="Z233" s="17" t="s">
        <v>35</v>
      </c>
      <c r="AA233" s="17" t="s">
        <v>35</v>
      </c>
      <c r="AB233" s="17" t="s">
        <v>35</v>
      </c>
      <c r="AC233" s="17" t="s">
        <v>9539</v>
      </c>
      <c r="AD233" s="41">
        <v>33.49</v>
      </c>
      <c r="AE233" s="41">
        <v>35.229999999999997</v>
      </c>
      <c r="AF233" s="48"/>
      <c r="AG233" s="44"/>
      <c r="AH233" s="7">
        <f t="shared" si="3"/>
        <v>0</v>
      </c>
      <c r="AI233" s="18"/>
      <c r="AJ233" s="18"/>
      <c r="AL233" s="18"/>
    </row>
    <row r="234" spans="1:38" ht="26.65" customHeight="1" x14ac:dyDescent="0.25">
      <c r="A234" s="38" t="s">
        <v>9118</v>
      </c>
      <c r="B234" s="9" t="s">
        <v>903</v>
      </c>
      <c r="C234" s="9" t="s">
        <v>34</v>
      </c>
      <c r="D234" s="9" t="s">
        <v>59</v>
      </c>
      <c r="E234" s="9" t="s">
        <v>35</v>
      </c>
      <c r="F234" s="9" t="s">
        <v>36</v>
      </c>
      <c r="G234" s="9">
        <v>6</v>
      </c>
      <c r="H234" s="9">
        <v>84212300</v>
      </c>
      <c r="I234" s="11" t="s">
        <v>37</v>
      </c>
      <c r="J234" s="12">
        <v>2.3E-2</v>
      </c>
      <c r="K234" s="12">
        <v>0.108</v>
      </c>
      <c r="L234" s="12">
        <v>5.1999999999999998E-2</v>
      </c>
      <c r="M234" s="13">
        <v>8003453809871</v>
      </c>
      <c r="N234" s="14" t="s">
        <v>35</v>
      </c>
      <c r="O234" s="14" t="s">
        <v>35</v>
      </c>
      <c r="P234" s="15">
        <v>45383</v>
      </c>
      <c r="Q234" s="16" t="s">
        <v>9138</v>
      </c>
      <c r="R234" s="17" t="s">
        <v>9139</v>
      </c>
      <c r="S234" s="17" t="s">
        <v>10540</v>
      </c>
      <c r="T234" s="17" t="s">
        <v>35</v>
      </c>
      <c r="U234" s="17" t="s">
        <v>35</v>
      </c>
      <c r="V234" s="17" t="s">
        <v>35</v>
      </c>
      <c r="W234" s="17" t="s">
        <v>35</v>
      </c>
      <c r="X234" s="17" t="s">
        <v>35</v>
      </c>
      <c r="Y234" s="17" t="s">
        <v>35</v>
      </c>
      <c r="Z234" s="17">
        <v>0</v>
      </c>
      <c r="AA234" s="17" t="s">
        <v>10541</v>
      </c>
      <c r="AB234" s="17" t="s">
        <v>35</v>
      </c>
      <c r="AC234" s="17" t="s">
        <v>9538</v>
      </c>
      <c r="AD234" s="41">
        <v>43.12</v>
      </c>
      <c r="AE234" s="41">
        <v>45.36</v>
      </c>
      <c r="AF234" s="48"/>
      <c r="AG234" s="44"/>
      <c r="AH234" s="7">
        <f t="shared" si="3"/>
        <v>0</v>
      </c>
      <c r="AI234" s="18"/>
      <c r="AJ234" s="18"/>
      <c r="AL234" s="18"/>
    </row>
    <row r="235" spans="1:38" ht="26.65" customHeight="1" x14ac:dyDescent="0.25">
      <c r="A235" s="10" t="s">
        <v>1491</v>
      </c>
      <c r="B235" s="9" t="s">
        <v>903</v>
      </c>
      <c r="C235" s="9" t="s">
        <v>43</v>
      </c>
      <c r="D235" s="9" t="s">
        <v>904</v>
      </c>
      <c r="E235" s="9" t="s">
        <v>35</v>
      </c>
      <c r="F235" s="9" t="s">
        <v>36</v>
      </c>
      <c r="G235" s="9">
        <v>6</v>
      </c>
      <c r="H235" s="9">
        <v>84212300</v>
      </c>
      <c r="I235" s="11" t="s">
        <v>37</v>
      </c>
      <c r="J235" s="12">
        <v>2.3E-2</v>
      </c>
      <c r="K235" s="12">
        <v>0.108</v>
      </c>
      <c r="L235" s="12">
        <v>5.1999999999999998E-2</v>
      </c>
      <c r="M235" s="13">
        <v>8003453061576</v>
      </c>
      <c r="N235" s="14">
        <v>0.33</v>
      </c>
      <c r="O235" s="14">
        <v>0.35</v>
      </c>
      <c r="P235" s="15">
        <v>44531</v>
      </c>
      <c r="Q235" s="16" t="s">
        <v>1492</v>
      </c>
      <c r="R235" s="17" t="s">
        <v>1493</v>
      </c>
      <c r="S235" s="17" t="s">
        <v>1494</v>
      </c>
      <c r="T235" s="17" t="s">
        <v>1495</v>
      </c>
      <c r="U235" s="17" t="s">
        <v>1496</v>
      </c>
      <c r="V235" s="17" t="s">
        <v>1497</v>
      </c>
      <c r="W235" s="17" t="s">
        <v>35</v>
      </c>
      <c r="X235" s="17" t="s">
        <v>1498</v>
      </c>
      <c r="Y235" s="17" t="s">
        <v>1499</v>
      </c>
      <c r="Z235" s="17" t="s">
        <v>35</v>
      </c>
      <c r="AA235" s="17" t="s">
        <v>35</v>
      </c>
      <c r="AB235" s="17" t="s">
        <v>35</v>
      </c>
      <c r="AC235" s="17" t="s">
        <v>9539</v>
      </c>
      <c r="AD235" s="41">
        <v>43.48</v>
      </c>
      <c r="AE235" s="41">
        <v>45.74</v>
      </c>
      <c r="AF235" s="48"/>
      <c r="AG235" s="44"/>
      <c r="AH235" s="7">
        <f t="shared" si="3"/>
        <v>0</v>
      </c>
      <c r="AI235" s="18"/>
      <c r="AJ235" s="18"/>
      <c r="AL235" s="18"/>
    </row>
    <row r="236" spans="1:38" ht="26.65" customHeight="1" x14ac:dyDescent="0.25">
      <c r="A236" s="10" t="s">
        <v>1500</v>
      </c>
      <c r="B236" s="9" t="s">
        <v>903</v>
      </c>
      <c r="C236" s="9" t="s">
        <v>43</v>
      </c>
      <c r="D236" s="9" t="s">
        <v>904</v>
      </c>
      <c r="E236" s="9" t="s">
        <v>35</v>
      </c>
      <c r="F236" s="9" t="s">
        <v>36</v>
      </c>
      <c r="G236" s="9">
        <v>6</v>
      </c>
      <c r="H236" s="9">
        <v>84212300</v>
      </c>
      <c r="I236" s="11" t="s">
        <v>37</v>
      </c>
      <c r="J236" s="12">
        <v>2.3E-2</v>
      </c>
      <c r="K236" s="12">
        <v>0.108</v>
      </c>
      <c r="L236" s="12">
        <v>5.1999999999999998E-2</v>
      </c>
      <c r="M236" s="13">
        <v>8003453061583</v>
      </c>
      <c r="N236" s="14">
        <v>0.35</v>
      </c>
      <c r="O236" s="14">
        <v>0.36</v>
      </c>
      <c r="P236" s="15" t="s">
        <v>35</v>
      </c>
      <c r="Q236" s="16" t="s">
        <v>1501</v>
      </c>
      <c r="R236" s="17" t="s">
        <v>35</v>
      </c>
      <c r="S236" s="17" t="s">
        <v>1502</v>
      </c>
      <c r="T236" s="17" t="s">
        <v>1503</v>
      </c>
      <c r="U236" s="17" t="s">
        <v>1504</v>
      </c>
      <c r="V236" s="17" t="s">
        <v>1505</v>
      </c>
      <c r="W236" s="17" t="s">
        <v>1506</v>
      </c>
      <c r="X236" s="17" t="s">
        <v>1507</v>
      </c>
      <c r="Y236" s="17" t="s">
        <v>1508</v>
      </c>
      <c r="Z236" s="17" t="s">
        <v>35</v>
      </c>
      <c r="AA236" s="17" t="s">
        <v>35</v>
      </c>
      <c r="AB236" s="17" t="s">
        <v>35</v>
      </c>
      <c r="AC236" s="17" t="s">
        <v>9539</v>
      </c>
      <c r="AD236" s="41">
        <v>52.69</v>
      </c>
      <c r="AE236" s="41">
        <v>55.43</v>
      </c>
      <c r="AF236" s="48"/>
      <c r="AG236" s="44"/>
      <c r="AH236" s="7">
        <f t="shared" si="3"/>
        <v>0</v>
      </c>
      <c r="AI236" s="18"/>
      <c r="AJ236" s="18"/>
      <c r="AL236" s="18"/>
    </row>
    <row r="237" spans="1:38" ht="26.65" customHeight="1" x14ac:dyDescent="0.25">
      <c r="A237" s="10" t="s">
        <v>1509</v>
      </c>
      <c r="B237" s="9" t="s">
        <v>903</v>
      </c>
      <c r="C237" s="9" t="s">
        <v>43</v>
      </c>
      <c r="D237" s="9" t="s">
        <v>904</v>
      </c>
      <c r="E237" s="9" t="s">
        <v>35</v>
      </c>
      <c r="F237" s="9" t="s">
        <v>36</v>
      </c>
      <c r="G237" s="9">
        <v>6</v>
      </c>
      <c r="H237" s="9">
        <v>84212300</v>
      </c>
      <c r="I237" s="11" t="s">
        <v>37</v>
      </c>
      <c r="J237" s="12">
        <v>2.3E-2</v>
      </c>
      <c r="K237" s="12">
        <v>0.108</v>
      </c>
      <c r="L237" s="12">
        <v>5.1999999999999998E-2</v>
      </c>
      <c r="M237" s="13">
        <v>8003453061613</v>
      </c>
      <c r="N237" s="14">
        <v>0.38</v>
      </c>
      <c r="O237" s="14">
        <v>0.44</v>
      </c>
      <c r="P237" s="15">
        <v>44501</v>
      </c>
      <c r="Q237" s="16" t="s">
        <v>1510</v>
      </c>
      <c r="R237" s="17" t="s">
        <v>1511</v>
      </c>
      <c r="S237" s="17" t="s">
        <v>1512</v>
      </c>
      <c r="T237" s="17" t="s">
        <v>35</v>
      </c>
      <c r="U237" s="17" t="s">
        <v>1513</v>
      </c>
      <c r="V237" s="17" t="s">
        <v>1514</v>
      </c>
      <c r="W237" s="17" t="s">
        <v>35</v>
      </c>
      <c r="X237" s="17" t="s">
        <v>1515</v>
      </c>
      <c r="Y237" s="17" t="s">
        <v>1516</v>
      </c>
      <c r="Z237" s="17" t="s">
        <v>35</v>
      </c>
      <c r="AA237" s="17" t="s">
        <v>35</v>
      </c>
      <c r="AB237" s="17" t="s">
        <v>35</v>
      </c>
      <c r="AC237" s="17" t="s">
        <v>9539</v>
      </c>
      <c r="AD237" s="41">
        <v>25.54</v>
      </c>
      <c r="AE237" s="41">
        <v>26.87</v>
      </c>
      <c r="AF237" s="48"/>
      <c r="AG237" s="44"/>
      <c r="AH237" s="7">
        <f t="shared" si="3"/>
        <v>0</v>
      </c>
      <c r="AI237" s="18"/>
      <c r="AJ237" s="18"/>
      <c r="AL237" s="18"/>
    </row>
    <row r="238" spans="1:38" ht="26.65" customHeight="1" x14ac:dyDescent="0.25">
      <c r="A238" s="10" t="s">
        <v>8619</v>
      </c>
      <c r="B238" s="9" t="s">
        <v>903</v>
      </c>
      <c r="C238" s="9" t="s">
        <v>43</v>
      </c>
      <c r="D238" s="9" t="s">
        <v>904</v>
      </c>
      <c r="E238" s="9" t="s">
        <v>35</v>
      </c>
      <c r="F238" s="9" t="s">
        <v>36</v>
      </c>
      <c r="G238" s="9">
        <v>6</v>
      </c>
      <c r="H238" s="9">
        <v>84212300</v>
      </c>
      <c r="I238" s="11" t="s">
        <v>37</v>
      </c>
      <c r="J238" s="12">
        <v>2.3E-2</v>
      </c>
      <c r="K238" s="12">
        <v>0.108</v>
      </c>
      <c r="L238" s="12">
        <v>5.1999999999999998E-2</v>
      </c>
      <c r="M238" s="13">
        <v>8003453062054</v>
      </c>
      <c r="N238" s="14">
        <v>0.52</v>
      </c>
      <c r="O238" s="14">
        <v>0.55900000000000005</v>
      </c>
      <c r="P238" s="15">
        <v>45292</v>
      </c>
      <c r="Q238" s="16" t="s">
        <v>8620</v>
      </c>
      <c r="R238" s="17" t="s">
        <v>35</v>
      </c>
      <c r="S238" s="17" t="s">
        <v>35</v>
      </c>
      <c r="T238" s="17" t="s">
        <v>35</v>
      </c>
      <c r="U238" s="17" t="s">
        <v>35</v>
      </c>
      <c r="V238" s="17" t="s">
        <v>35</v>
      </c>
      <c r="W238" s="17" t="s">
        <v>35</v>
      </c>
      <c r="X238" s="17" t="s">
        <v>35</v>
      </c>
      <c r="Y238" s="17" t="s">
        <v>8621</v>
      </c>
      <c r="Z238" s="17" t="s">
        <v>35</v>
      </c>
      <c r="AA238" s="17" t="s">
        <v>35</v>
      </c>
      <c r="AB238" s="17" t="s">
        <v>35</v>
      </c>
      <c r="AC238" s="17" t="s">
        <v>9539</v>
      </c>
      <c r="AD238" s="42">
        <v>104.68</v>
      </c>
      <c r="AE238" s="42">
        <v>110.12</v>
      </c>
      <c r="AF238" s="48"/>
      <c r="AG238" s="44"/>
      <c r="AH238" s="7">
        <f t="shared" si="3"/>
        <v>0</v>
      </c>
      <c r="AI238" s="18"/>
      <c r="AJ238" s="18"/>
    </row>
    <row r="239" spans="1:38" ht="26.65" customHeight="1" x14ac:dyDescent="0.25">
      <c r="A239" s="10" t="s">
        <v>1517</v>
      </c>
      <c r="B239" s="9" t="s">
        <v>903</v>
      </c>
      <c r="C239" s="9" t="s">
        <v>43</v>
      </c>
      <c r="D239" s="9" t="s">
        <v>904</v>
      </c>
      <c r="E239" s="9" t="s">
        <v>35</v>
      </c>
      <c r="F239" s="9" t="s">
        <v>36</v>
      </c>
      <c r="G239" s="9">
        <v>6</v>
      </c>
      <c r="H239" s="9">
        <v>84212300</v>
      </c>
      <c r="I239" s="11" t="s">
        <v>37</v>
      </c>
      <c r="J239" s="12">
        <v>2.3E-2</v>
      </c>
      <c r="K239" s="12">
        <v>0.108</v>
      </c>
      <c r="L239" s="12">
        <v>5.1999999999999998E-2</v>
      </c>
      <c r="M239" s="13">
        <v>8003453061798</v>
      </c>
      <c r="N239" s="14">
        <v>0.35899999999999999</v>
      </c>
      <c r="O239" s="14">
        <v>0.40200000000000002</v>
      </c>
      <c r="P239" s="15" t="s">
        <v>35</v>
      </c>
      <c r="Q239" s="16" t="s">
        <v>1518</v>
      </c>
      <c r="R239" s="17" t="s">
        <v>1519</v>
      </c>
      <c r="S239" s="17" t="s">
        <v>1520</v>
      </c>
      <c r="T239" s="17" t="s">
        <v>1521</v>
      </c>
      <c r="U239" s="17" t="s">
        <v>35</v>
      </c>
      <c r="V239" s="17" t="s">
        <v>1522</v>
      </c>
      <c r="W239" s="17" t="s">
        <v>35</v>
      </c>
      <c r="X239" s="17" t="s">
        <v>35</v>
      </c>
      <c r="Y239" s="17" t="s">
        <v>1523</v>
      </c>
      <c r="Z239" s="17" t="s">
        <v>35</v>
      </c>
      <c r="AA239" s="17" t="s">
        <v>35</v>
      </c>
      <c r="AB239" s="17" t="s">
        <v>35</v>
      </c>
      <c r="AC239" s="17" t="s">
        <v>9539</v>
      </c>
      <c r="AD239" s="41">
        <v>110.2</v>
      </c>
      <c r="AE239" s="41">
        <v>115.93</v>
      </c>
      <c r="AF239" s="48"/>
      <c r="AG239" s="44"/>
      <c r="AH239" s="7">
        <f t="shared" si="3"/>
        <v>0</v>
      </c>
      <c r="AI239" s="18"/>
      <c r="AJ239" s="18"/>
      <c r="AL239" s="18"/>
    </row>
    <row r="240" spans="1:38" ht="26.65" customHeight="1" x14ac:dyDescent="0.25">
      <c r="A240" s="38" t="s">
        <v>1524</v>
      </c>
      <c r="B240" s="9" t="s">
        <v>903</v>
      </c>
      <c r="C240" s="9" t="s">
        <v>58</v>
      </c>
      <c r="D240" s="9" t="s">
        <v>59</v>
      </c>
      <c r="E240" s="9" t="s">
        <v>35</v>
      </c>
      <c r="F240" s="9" t="s">
        <v>36</v>
      </c>
      <c r="G240" s="9">
        <v>6</v>
      </c>
      <c r="H240" s="9">
        <v>84212300</v>
      </c>
      <c r="I240" s="11" t="s">
        <v>37</v>
      </c>
      <c r="J240" s="12">
        <v>2.3E-2</v>
      </c>
      <c r="K240" s="12">
        <v>0.108</v>
      </c>
      <c r="L240" s="12">
        <v>5.1999999999999998E-2</v>
      </c>
      <c r="M240" s="13">
        <v>8003453062016</v>
      </c>
      <c r="N240" s="14">
        <v>0.6</v>
      </c>
      <c r="O240" s="14">
        <v>0.64</v>
      </c>
      <c r="P240" s="15">
        <v>44896</v>
      </c>
      <c r="Q240" s="16" t="s">
        <v>1525</v>
      </c>
      <c r="R240" s="17" t="s">
        <v>1526</v>
      </c>
      <c r="S240" s="17" t="s">
        <v>1527</v>
      </c>
      <c r="T240" s="17" t="s">
        <v>1528</v>
      </c>
      <c r="U240" s="17" t="s">
        <v>8622</v>
      </c>
      <c r="V240" s="17" t="s">
        <v>1529</v>
      </c>
      <c r="W240" s="17" t="s">
        <v>1530</v>
      </c>
      <c r="X240" s="17" t="s">
        <v>8623</v>
      </c>
      <c r="Y240" s="17" t="s">
        <v>8624</v>
      </c>
      <c r="Z240" s="17" t="s">
        <v>8625</v>
      </c>
      <c r="AA240" s="17" t="s">
        <v>1531</v>
      </c>
      <c r="AB240" s="17" t="s">
        <v>1532</v>
      </c>
      <c r="AC240" s="17" t="s">
        <v>9538</v>
      </c>
      <c r="AD240" s="42">
        <v>53.09</v>
      </c>
      <c r="AE240" s="42">
        <v>55.85</v>
      </c>
      <c r="AF240" s="48"/>
      <c r="AG240" s="44"/>
      <c r="AH240" s="7">
        <f t="shared" si="3"/>
        <v>0</v>
      </c>
      <c r="AI240" s="18"/>
      <c r="AJ240" s="18"/>
    </row>
    <row r="241" spans="1:38" ht="26.65" customHeight="1" x14ac:dyDescent="0.25">
      <c r="A241" s="10" t="s">
        <v>10079</v>
      </c>
      <c r="B241" s="9" t="s">
        <v>903</v>
      </c>
      <c r="C241" s="9" t="s">
        <v>43</v>
      </c>
      <c r="D241" s="9" t="s">
        <v>59</v>
      </c>
      <c r="E241" s="9" t="s">
        <v>35</v>
      </c>
      <c r="F241" s="9" t="s">
        <v>36</v>
      </c>
      <c r="G241" s="9">
        <v>6</v>
      </c>
      <c r="H241" s="9">
        <v>84212300</v>
      </c>
      <c r="I241" s="11" t="s">
        <v>37</v>
      </c>
      <c r="J241" s="12">
        <v>2.3E-2</v>
      </c>
      <c r="K241" s="12">
        <v>0.108</v>
      </c>
      <c r="L241" s="12">
        <v>5.1999999999999998E-2</v>
      </c>
      <c r="M241" s="13">
        <v>8003453062603</v>
      </c>
      <c r="N241" s="14">
        <v>0</v>
      </c>
      <c r="O241" s="14">
        <v>0</v>
      </c>
      <c r="P241" s="15">
        <v>45566</v>
      </c>
      <c r="Q241" s="16" t="s">
        <v>10080</v>
      </c>
      <c r="R241" s="17" t="s">
        <v>35</v>
      </c>
      <c r="S241" s="17" t="s">
        <v>10081</v>
      </c>
      <c r="T241" s="17" t="s">
        <v>10082</v>
      </c>
      <c r="U241" s="17" t="s">
        <v>10083</v>
      </c>
      <c r="V241" s="17" t="s">
        <v>35</v>
      </c>
      <c r="W241" s="17" t="s">
        <v>35</v>
      </c>
      <c r="X241" s="17" t="s">
        <v>35</v>
      </c>
      <c r="Y241" s="17" t="s">
        <v>35</v>
      </c>
      <c r="Z241" s="17" t="s">
        <v>35</v>
      </c>
      <c r="AA241" s="17" t="s">
        <v>35</v>
      </c>
      <c r="AB241" s="17" t="s">
        <v>35</v>
      </c>
      <c r="AC241" s="17" t="s">
        <v>9539</v>
      </c>
      <c r="AD241" s="41">
        <v>60.79</v>
      </c>
      <c r="AE241" s="41">
        <v>63.95</v>
      </c>
      <c r="AF241" s="48"/>
      <c r="AG241" s="44"/>
      <c r="AH241" s="7">
        <f t="shared" si="3"/>
        <v>0</v>
      </c>
      <c r="AI241" s="18"/>
      <c r="AJ241" s="18"/>
    </row>
    <row r="242" spans="1:38" ht="26.65" customHeight="1" x14ac:dyDescent="0.25">
      <c r="A242" s="10" t="s">
        <v>1533</v>
      </c>
      <c r="B242" s="9" t="s">
        <v>903</v>
      </c>
      <c r="C242" s="9" t="s">
        <v>58</v>
      </c>
      <c r="D242" s="9" t="s">
        <v>904</v>
      </c>
      <c r="E242" s="9" t="s">
        <v>35</v>
      </c>
      <c r="F242" s="9" t="s">
        <v>36</v>
      </c>
      <c r="G242" s="9">
        <v>6</v>
      </c>
      <c r="H242" s="9">
        <v>84212300</v>
      </c>
      <c r="I242" s="11" t="s">
        <v>37</v>
      </c>
      <c r="J242" s="12">
        <v>2.3E-2</v>
      </c>
      <c r="K242" s="12">
        <v>0.108</v>
      </c>
      <c r="L242" s="12">
        <v>5.1999999999999998E-2</v>
      </c>
      <c r="M242" s="13">
        <v>8003453062986</v>
      </c>
      <c r="N242" s="14">
        <v>0.86699999999999999</v>
      </c>
      <c r="O242" s="14">
        <v>0.97299999999999998</v>
      </c>
      <c r="P242" s="15">
        <v>45047</v>
      </c>
      <c r="Q242" s="16" t="s">
        <v>1534</v>
      </c>
      <c r="R242" s="17" t="s">
        <v>1535</v>
      </c>
      <c r="S242" s="17" t="s">
        <v>943</v>
      </c>
      <c r="T242" s="17" t="s">
        <v>944</v>
      </c>
      <c r="U242" s="17" t="s">
        <v>1536</v>
      </c>
      <c r="V242" s="17" t="s">
        <v>1537</v>
      </c>
      <c r="W242" s="17" t="s">
        <v>35</v>
      </c>
      <c r="X242" s="17" t="s">
        <v>35</v>
      </c>
      <c r="Y242" s="17" t="s">
        <v>35</v>
      </c>
      <c r="Z242" s="17" t="s">
        <v>1538</v>
      </c>
      <c r="AA242" s="17" t="s">
        <v>1539</v>
      </c>
      <c r="AB242" s="17" t="s">
        <v>1540</v>
      </c>
      <c r="AC242" s="17" t="s">
        <v>9539</v>
      </c>
      <c r="AD242" s="41">
        <v>95.18</v>
      </c>
      <c r="AE242" s="41">
        <v>100.13</v>
      </c>
      <c r="AF242" s="48"/>
      <c r="AG242" s="44"/>
      <c r="AH242" s="7">
        <f t="shared" si="3"/>
        <v>0</v>
      </c>
      <c r="AI242" s="18"/>
      <c r="AJ242" s="18"/>
      <c r="AL242" s="18"/>
    </row>
    <row r="243" spans="1:38" ht="26.65" customHeight="1" x14ac:dyDescent="0.25">
      <c r="A243" s="10" t="s">
        <v>10084</v>
      </c>
      <c r="B243" s="9" t="s">
        <v>903</v>
      </c>
      <c r="C243" s="9" t="s">
        <v>34</v>
      </c>
      <c r="D243" s="9" t="s">
        <v>59</v>
      </c>
      <c r="E243" s="9" t="s">
        <v>35</v>
      </c>
      <c r="F243" s="9" t="s">
        <v>36</v>
      </c>
      <c r="G243" s="9">
        <v>6</v>
      </c>
      <c r="H243" s="9">
        <v>84212300</v>
      </c>
      <c r="I243" s="11" t="s">
        <v>37</v>
      </c>
      <c r="J243" s="12">
        <v>2.3E-2</v>
      </c>
      <c r="K243" s="12">
        <v>0.108</v>
      </c>
      <c r="L243" s="12">
        <v>5.1999999999999998E-2</v>
      </c>
      <c r="M243" s="13">
        <v>8003453811010</v>
      </c>
      <c r="N243" s="14">
        <v>0</v>
      </c>
      <c r="O243" s="14">
        <v>0</v>
      </c>
      <c r="P243" s="15">
        <v>45566</v>
      </c>
      <c r="Q243" s="16" t="s">
        <v>1534</v>
      </c>
      <c r="R243" s="17" t="s">
        <v>35</v>
      </c>
      <c r="S243" s="17" t="s">
        <v>943</v>
      </c>
      <c r="T243" s="17" t="s">
        <v>944</v>
      </c>
      <c r="U243" s="17" t="s">
        <v>1536</v>
      </c>
      <c r="V243" s="17" t="s">
        <v>1537</v>
      </c>
      <c r="W243" s="17" t="s">
        <v>35</v>
      </c>
      <c r="X243" s="17" t="s">
        <v>35</v>
      </c>
      <c r="Y243" s="17" t="s">
        <v>35</v>
      </c>
      <c r="Z243" s="17" t="s">
        <v>1538</v>
      </c>
      <c r="AA243" s="17" t="s">
        <v>1539</v>
      </c>
      <c r="AB243" s="17" t="s">
        <v>1540</v>
      </c>
      <c r="AC243" s="17" t="s">
        <v>9539</v>
      </c>
      <c r="AD243" s="41">
        <v>95.18</v>
      </c>
      <c r="AE243" s="41">
        <v>100.13</v>
      </c>
      <c r="AF243" s="48"/>
      <c r="AG243" s="44"/>
      <c r="AH243" s="7">
        <f t="shared" si="3"/>
        <v>0</v>
      </c>
      <c r="AI243" s="18"/>
      <c r="AJ243" s="18"/>
    </row>
    <row r="244" spans="1:38" ht="26.65" customHeight="1" x14ac:dyDescent="0.25">
      <c r="A244" s="10" t="s">
        <v>1541</v>
      </c>
      <c r="B244" s="9" t="s">
        <v>903</v>
      </c>
      <c r="C244" s="9" t="s">
        <v>58</v>
      </c>
      <c r="D244" s="9" t="s">
        <v>904</v>
      </c>
      <c r="E244" s="9" t="s">
        <v>35</v>
      </c>
      <c r="F244" s="9" t="s">
        <v>36</v>
      </c>
      <c r="G244" s="9">
        <v>6</v>
      </c>
      <c r="H244" s="9">
        <v>84212300</v>
      </c>
      <c r="I244" s="11" t="s">
        <v>37</v>
      </c>
      <c r="J244" s="12">
        <v>2.3E-2</v>
      </c>
      <c r="K244" s="12">
        <v>0.108</v>
      </c>
      <c r="L244" s="12">
        <v>5.1999999999999998E-2</v>
      </c>
      <c r="M244" s="13">
        <v>8003453063020</v>
      </c>
      <c r="N244" s="14">
        <v>0.73499999999999999</v>
      </c>
      <c r="O244" s="14">
        <v>0.78</v>
      </c>
      <c r="P244" s="15">
        <v>44927</v>
      </c>
      <c r="Q244" s="16" t="s">
        <v>1542</v>
      </c>
      <c r="R244" s="17" t="s">
        <v>1543</v>
      </c>
      <c r="S244" s="17" t="s">
        <v>1113</v>
      </c>
      <c r="T244" s="17" t="s">
        <v>1114</v>
      </c>
      <c r="U244" s="17" t="s">
        <v>1544</v>
      </c>
      <c r="V244" s="17" t="s">
        <v>1120</v>
      </c>
      <c r="W244" s="17" t="s">
        <v>35</v>
      </c>
      <c r="X244" s="17" t="s">
        <v>35</v>
      </c>
      <c r="Y244" s="17" t="s">
        <v>35</v>
      </c>
      <c r="Z244" s="17" t="s">
        <v>1545</v>
      </c>
      <c r="AA244" s="17" t="s">
        <v>1546</v>
      </c>
      <c r="AB244" s="17" t="s">
        <v>1547</v>
      </c>
      <c r="AC244" s="17" t="s">
        <v>9539</v>
      </c>
      <c r="AD244" s="41">
        <v>68.84</v>
      </c>
      <c r="AE244" s="41">
        <v>72.42</v>
      </c>
      <c r="AF244" s="48"/>
      <c r="AG244" s="44"/>
      <c r="AH244" s="7">
        <f t="shared" si="3"/>
        <v>0</v>
      </c>
      <c r="AI244" s="18"/>
      <c r="AJ244" s="18"/>
    </row>
    <row r="245" spans="1:38" ht="26.65" customHeight="1" x14ac:dyDescent="0.25">
      <c r="A245" s="10" t="s">
        <v>1548</v>
      </c>
      <c r="B245" s="9" t="s">
        <v>903</v>
      </c>
      <c r="C245" s="9" t="s">
        <v>34</v>
      </c>
      <c r="D245" s="9" t="s">
        <v>59</v>
      </c>
      <c r="E245" s="9" t="s">
        <v>35</v>
      </c>
      <c r="F245" s="9" t="s">
        <v>36</v>
      </c>
      <c r="G245" s="9">
        <v>6</v>
      </c>
      <c r="H245" s="9">
        <v>84212300</v>
      </c>
      <c r="I245" s="11" t="s">
        <v>37</v>
      </c>
      <c r="J245" s="12">
        <v>2.3E-2</v>
      </c>
      <c r="K245" s="12">
        <v>0.108</v>
      </c>
      <c r="L245" s="12">
        <v>5.1999999999999998E-2</v>
      </c>
      <c r="M245" s="13">
        <v>8003453063037</v>
      </c>
      <c r="N245" s="14">
        <v>0.79</v>
      </c>
      <c r="O245" s="14">
        <v>0.86299999999999999</v>
      </c>
      <c r="P245" s="15">
        <v>45078</v>
      </c>
      <c r="Q245" s="16" t="s">
        <v>1549</v>
      </c>
      <c r="R245" s="17" t="s">
        <v>1550</v>
      </c>
      <c r="S245" s="17" t="s">
        <v>1551</v>
      </c>
      <c r="T245" s="17" t="s">
        <v>35</v>
      </c>
      <c r="U245" s="17" t="s">
        <v>35</v>
      </c>
      <c r="V245" s="17" t="s">
        <v>1552</v>
      </c>
      <c r="W245" s="17" t="s">
        <v>35</v>
      </c>
      <c r="X245" s="17" t="s">
        <v>1553</v>
      </c>
      <c r="Y245" s="17" t="s">
        <v>1554</v>
      </c>
      <c r="Z245" s="17" t="s">
        <v>1555</v>
      </c>
      <c r="AA245" s="17" t="s">
        <v>35</v>
      </c>
      <c r="AB245" s="17" t="s">
        <v>1556</v>
      </c>
      <c r="AC245" s="17" t="s">
        <v>9539</v>
      </c>
      <c r="AD245" s="42">
        <v>68.77</v>
      </c>
      <c r="AE245" s="42">
        <v>72.349999999999994</v>
      </c>
      <c r="AF245" s="48"/>
      <c r="AG245" s="44"/>
      <c r="AH245" s="7">
        <f t="shared" si="3"/>
        <v>0</v>
      </c>
      <c r="AI245" s="18"/>
      <c r="AJ245" s="18"/>
    </row>
    <row r="246" spans="1:38" ht="26.65" customHeight="1" x14ac:dyDescent="0.25">
      <c r="A246" s="10" t="s">
        <v>1557</v>
      </c>
      <c r="B246" s="9" t="s">
        <v>1147</v>
      </c>
      <c r="C246" s="9" t="s">
        <v>58</v>
      </c>
      <c r="D246" s="9" t="s">
        <v>59</v>
      </c>
      <c r="E246" s="9" t="s">
        <v>35</v>
      </c>
      <c r="F246" s="9" t="s">
        <v>36</v>
      </c>
      <c r="G246" s="9">
        <v>6</v>
      </c>
      <c r="H246" s="9">
        <v>84212300</v>
      </c>
      <c r="I246" s="11" t="s">
        <v>37</v>
      </c>
      <c r="J246" s="12">
        <v>2.3E-2</v>
      </c>
      <c r="K246" s="12">
        <v>0.108</v>
      </c>
      <c r="L246" s="12">
        <v>5.1999999999999998E-2</v>
      </c>
      <c r="M246" s="13">
        <v>8003453063044</v>
      </c>
      <c r="N246" s="14">
        <v>1.0169999999999999</v>
      </c>
      <c r="O246" s="14">
        <v>1.0980000000000001</v>
      </c>
      <c r="P246" s="15">
        <v>45139</v>
      </c>
      <c r="Q246" s="16" t="s">
        <v>1558</v>
      </c>
      <c r="R246" s="17" t="s">
        <v>1559</v>
      </c>
      <c r="S246" s="17" t="s">
        <v>1560</v>
      </c>
      <c r="T246" s="17" t="s">
        <v>1561</v>
      </c>
      <c r="U246" s="17" t="s">
        <v>1562</v>
      </c>
      <c r="V246" s="17" t="s">
        <v>35</v>
      </c>
      <c r="W246" s="17" t="s">
        <v>35</v>
      </c>
      <c r="X246" s="17" t="s">
        <v>35</v>
      </c>
      <c r="Y246" s="17" t="s">
        <v>35</v>
      </c>
      <c r="Z246" s="17" t="s">
        <v>1563</v>
      </c>
      <c r="AA246" s="17" t="s">
        <v>1564</v>
      </c>
      <c r="AB246" s="17" t="s">
        <v>1565</v>
      </c>
      <c r="AC246" s="17" t="s">
        <v>9539</v>
      </c>
      <c r="AD246" s="42">
        <v>90.91</v>
      </c>
      <c r="AE246" s="42">
        <v>95.64</v>
      </c>
      <c r="AF246" s="48"/>
      <c r="AG246" s="44"/>
      <c r="AH246" s="7">
        <f t="shared" si="3"/>
        <v>0</v>
      </c>
      <c r="AI246" s="18"/>
      <c r="AJ246" s="18"/>
    </row>
    <row r="247" spans="1:38" ht="26.65" customHeight="1" x14ac:dyDescent="0.25">
      <c r="A247" s="10" t="s">
        <v>1566</v>
      </c>
      <c r="B247" s="9" t="s">
        <v>903</v>
      </c>
      <c r="C247" s="9" t="s">
        <v>34</v>
      </c>
      <c r="D247" s="9" t="s">
        <v>59</v>
      </c>
      <c r="E247" s="9" t="s">
        <v>35</v>
      </c>
      <c r="F247" s="9" t="s">
        <v>36</v>
      </c>
      <c r="G247" s="9">
        <v>6</v>
      </c>
      <c r="H247" s="9">
        <v>84212300</v>
      </c>
      <c r="I247" s="11" t="s">
        <v>37</v>
      </c>
      <c r="J247" s="12">
        <v>2.3E-2</v>
      </c>
      <c r="K247" s="12">
        <v>0.108</v>
      </c>
      <c r="L247" s="12">
        <v>5.1999999999999998E-2</v>
      </c>
      <c r="M247" s="13">
        <v>8003453063280</v>
      </c>
      <c r="N247" s="14">
        <v>0.67600000000000005</v>
      </c>
      <c r="O247" s="14">
        <v>0.81299999999999994</v>
      </c>
      <c r="P247" s="15">
        <v>44986</v>
      </c>
      <c r="Q247" s="16" t="s">
        <v>1567</v>
      </c>
      <c r="R247" s="17" t="s">
        <v>1568</v>
      </c>
      <c r="S247" s="17" t="s">
        <v>1569</v>
      </c>
      <c r="T247" s="17" t="s">
        <v>1231</v>
      </c>
      <c r="U247" s="17" t="s">
        <v>1570</v>
      </c>
      <c r="V247" s="17" t="s">
        <v>1571</v>
      </c>
      <c r="W247" s="17" t="s">
        <v>1572</v>
      </c>
      <c r="X247" s="17" t="s">
        <v>1573</v>
      </c>
      <c r="Y247" s="17" t="s">
        <v>1574</v>
      </c>
      <c r="Z247" s="17" t="s">
        <v>1575</v>
      </c>
      <c r="AA247" s="17" t="s">
        <v>1576</v>
      </c>
      <c r="AB247" s="17" t="s">
        <v>1577</v>
      </c>
      <c r="AC247" s="17" t="s">
        <v>9539</v>
      </c>
      <c r="AD247" s="41">
        <v>33.020000000000003</v>
      </c>
      <c r="AE247" s="41">
        <v>34.74</v>
      </c>
      <c r="AF247" s="48"/>
      <c r="AG247" s="44"/>
      <c r="AH247" s="7">
        <f t="shared" si="3"/>
        <v>0</v>
      </c>
      <c r="AI247" s="18"/>
      <c r="AJ247" s="18"/>
      <c r="AL247" s="18"/>
    </row>
    <row r="248" spans="1:38" ht="26.65" customHeight="1" x14ac:dyDescent="0.25">
      <c r="A248" s="10" t="s">
        <v>10085</v>
      </c>
      <c r="B248" s="9" t="s">
        <v>903</v>
      </c>
      <c r="C248" s="9" t="s">
        <v>34</v>
      </c>
      <c r="D248" s="9" t="s">
        <v>59</v>
      </c>
      <c r="E248" s="9" t="s">
        <v>35</v>
      </c>
      <c r="F248" s="9" t="s">
        <v>36</v>
      </c>
      <c r="G248" s="9">
        <v>6</v>
      </c>
      <c r="H248" s="9">
        <v>84212300</v>
      </c>
      <c r="I248" s="11" t="s">
        <v>37</v>
      </c>
      <c r="J248" s="12">
        <v>2.3E-2</v>
      </c>
      <c r="K248" s="12">
        <v>0.108</v>
      </c>
      <c r="L248" s="12">
        <v>5.1999999999999998E-2</v>
      </c>
      <c r="M248" s="13">
        <v>8003453809284</v>
      </c>
      <c r="N248" s="14">
        <v>0</v>
      </c>
      <c r="O248" s="14">
        <v>0</v>
      </c>
      <c r="P248" s="15">
        <v>45566</v>
      </c>
      <c r="Q248" s="16" t="s">
        <v>10086</v>
      </c>
      <c r="R248" s="17" t="s">
        <v>10087</v>
      </c>
      <c r="S248" s="17" t="s">
        <v>10088</v>
      </c>
      <c r="T248" s="17" t="s">
        <v>1305</v>
      </c>
      <c r="U248" s="17" t="s">
        <v>35</v>
      </c>
      <c r="V248" s="17" t="s">
        <v>35</v>
      </c>
      <c r="W248" s="17" t="s">
        <v>35</v>
      </c>
      <c r="X248" s="17" t="s">
        <v>35</v>
      </c>
      <c r="Y248" s="17" t="s">
        <v>10089</v>
      </c>
      <c r="Z248" s="17" t="s">
        <v>10090</v>
      </c>
      <c r="AA248" s="17" t="s">
        <v>35</v>
      </c>
      <c r="AB248" s="17" t="s">
        <v>10091</v>
      </c>
      <c r="AC248" s="17" t="s">
        <v>9539</v>
      </c>
      <c r="AD248" s="41">
        <v>58.21</v>
      </c>
      <c r="AE248" s="41">
        <v>61.24</v>
      </c>
      <c r="AF248" s="48"/>
      <c r="AG248" s="44"/>
      <c r="AH248" s="7">
        <f t="shared" si="3"/>
        <v>0</v>
      </c>
      <c r="AI248" s="18"/>
      <c r="AJ248" s="18"/>
    </row>
    <row r="249" spans="1:38" ht="26.65" customHeight="1" x14ac:dyDescent="0.25">
      <c r="A249" s="38" t="s">
        <v>1578</v>
      </c>
      <c r="B249" s="9" t="s">
        <v>903</v>
      </c>
      <c r="C249" s="9" t="s">
        <v>34</v>
      </c>
      <c r="D249" s="9" t="s">
        <v>904</v>
      </c>
      <c r="E249" s="9" t="s">
        <v>122</v>
      </c>
      <c r="F249" s="9" t="s">
        <v>36</v>
      </c>
      <c r="G249" s="9">
        <v>6</v>
      </c>
      <c r="H249" s="9">
        <v>84212300</v>
      </c>
      <c r="I249" s="11" t="s">
        <v>37</v>
      </c>
      <c r="J249" s="12">
        <v>2.3E-2</v>
      </c>
      <c r="K249" s="12">
        <v>0.108</v>
      </c>
      <c r="L249" s="12">
        <v>5.1999999999999998E-2</v>
      </c>
      <c r="M249" s="13">
        <v>8003453062221</v>
      </c>
      <c r="N249" s="14">
        <v>0.71399999999999997</v>
      </c>
      <c r="O249" s="14">
        <v>0.76300000000000001</v>
      </c>
      <c r="P249" s="15" t="s">
        <v>35</v>
      </c>
      <c r="Q249" s="16" t="s">
        <v>747</v>
      </c>
      <c r="R249" s="17" t="s">
        <v>1579</v>
      </c>
      <c r="S249" s="17" t="s">
        <v>1580</v>
      </c>
      <c r="T249" s="17" t="s">
        <v>35</v>
      </c>
      <c r="U249" s="17" t="s">
        <v>1581</v>
      </c>
      <c r="V249" s="17" t="s">
        <v>1582</v>
      </c>
      <c r="W249" s="17" t="s">
        <v>1583</v>
      </c>
      <c r="X249" s="17" t="s">
        <v>1584</v>
      </c>
      <c r="Y249" s="17" t="s">
        <v>1585</v>
      </c>
      <c r="Z249" s="17" t="s">
        <v>35</v>
      </c>
      <c r="AA249" s="17" t="s">
        <v>35</v>
      </c>
      <c r="AB249" s="17" t="s">
        <v>35</v>
      </c>
      <c r="AC249" s="17" t="s">
        <v>9538</v>
      </c>
      <c r="AD249" s="41">
        <v>56.83</v>
      </c>
      <c r="AE249" s="41">
        <v>59.79</v>
      </c>
      <c r="AF249" s="48"/>
      <c r="AG249" s="44"/>
      <c r="AH249" s="7">
        <f t="shared" si="3"/>
        <v>0</v>
      </c>
      <c r="AI249" s="18"/>
      <c r="AJ249" s="18"/>
      <c r="AL249" s="18"/>
    </row>
    <row r="250" spans="1:38" ht="26.65" customHeight="1" x14ac:dyDescent="0.25">
      <c r="A250" s="38" t="s">
        <v>1586</v>
      </c>
      <c r="B250" s="9" t="s">
        <v>903</v>
      </c>
      <c r="C250" s="9" t="s">
        <v>34</v>
      </c>
      <c r="D250" s="9" t="s">
        <v>904</v>
      </c>
      <c r="E250" s="9" t="s">
        <v>122</v>
      </c>
      <c r="F250" s="9" t="s">
        <v>36</v>
      </c>
      <c r="G250" s="9">
        <v>6</v>
      </c>
      <c r="H250" s="9">
        <v>84212300</v>
      </c>
      <c r="I250" s="11" t="s">
        <v>37</v>
      </c>
      <c r="J250" s="12">
        <v>2.3E-2</v>
      </c>
      <c r="K250" s="12">
        <v>0.108</v>
      </c>
      <c r="L250" s="12">
        <v>5.1999999999999998E-2</v>
      </c>
      <c r="M250" s="13">
        <v>8003453062238</v>
      </c>
      <c r="N250" s="14">
        <v>0.70399999999999996</v>
      </c>
      <c r="O250" s="14">
        <v>0.753</v>
      </c>
      <c r="P250" s="15" t="s">
        <v>35</v>
      </c>
      <c r="Q250" s="16" t="s">
        <v>1587</v>
      </c>
      <c r="R250" s="17" t="s">
        <v>1588</v>
      </c>
      <c r="S250" s="17" t="s">
        <v>1589</v>
      </c>
      <c r="T250" s="17" t="s">
        <v>35</v>
      </c>
      <c r="U250" s="17" t="s">
        <v>1590</v>
      </c>
      <c r="V250" s="17" t="s">
        <v>1591</v>
      </c>
      <c r="W250" s="17" t="s">
        <v>1592</v>
      </c>
      <c r="X250" s="17" t="s">
        <v>1593</v>
      </c>
      <c r="Y250" s="17" t="s">
        <v>1594</v>
      </c>
      <c r="Z250" s="17" t="s">
        <v>35</v>
      </c>
      <c r="AA250" s="17" t="s">
        <v>35</v>
      </c>
      <c r="AB250" s="17" t="s">
        <v>35</v>
      </c>
      <c r="AC250" s="17" t="s">
        <v>9538</v>
      </c>
      <c r="AD250" s="42">
        <v>57.97</v>
      </c>
      <c r="AE250" s="42">
        <v>60.98</v>
      </c>
      <c r="AF250" s="48"/>
      <c r="AG250" s="44"/>
      <c r="AH250" s="7">
        <f t="shared" si="3"/>
        <v>0</v>
      </c>
      <c r="AI250" s="18"/>
      <c r="AJ250" s="18"/>
    </row>
    <row r="251" spans="1:38" ht="26.65" customHeight="1" x14ac:dyDescent="0.25">
      <c r="A251" s="10" t="s">
        <v>9548</v>
      </c>
      <c r="B251" s="9" t="s">
        <v>903</v>
      </c>
      <c r="C251" s="9" t="s">
        <v>34</v>
      </c>
      <c r="D251" s="9" t="s">
        <v>904</v>
      </c>
      <c r="E251" s="9" t="s">
        <v>35</v>
      </c>
      <c r="F251" s="9" t="s">
        <v>36</v>
      </c>
      <c r="G251" s="9">
        <v>10</v>
      </c>
      <c r="H251" s="9">
        <v>84212300</v>
      </c>
      <c r="I251" s="11" t="s">
        <v>37</v>
      </c>
      <c r="J251" s="12">
        <v>2.3E-2</v>
      </c>
      <c r="K251" s="12">
        <v>0.108</v>
      </c>
      <c r="L251" s="12">
        <v>5.1999999999999998E-2</v>
      </c>
      <c r="M251" s="13">
        <v>8003453063440</v>
      </c>
      <c r="N251" s="14">
        <v>0.438</v>
      </c>
      <c r="O251" s="14">
        <v>0.46600000000000003</v>
      </c>
      <c r="P251" s="15">
        <v>45474</v>
      </c>
      <c r="Q251" s="16" t="s">
        <v>9549</v>
      </c>
      <c r="R251" s="17" t="s">
        <v>35</v>
      </c>
      <c r="S251" s="17" t="s">
        <v>9550</v>
      </c>
      <c r="T251" s="17" t="s">
        <v>35</v>
      </c>
      <c r="U251" s="17" t="s">
        <v>35</v>
      </c>
      <c r="V251" s="17" t="s">
        <v>35</v>
      </c>
      <c r="W251" s="17" t="s">
        <v>35</v>
      </c>
      <c r="X251" s="17" t="s">
        <v>35</v>
      </c>
      <c r="Y251" s="17" t="s">
        <v>35</v>
      </c>
      <c r="Z251" s="17" t="s">
        <v>9551</v>
      </c>
      <c r="AA251" s="17" t="s">
        <v>35</v>
      </c>
      <c r="AB251" s="17" t="s">
        <v>9552</v>
      </c>
      <c r="AC251" s="17" t="s">
        <v>9539</v>
      </c>
      <c r="AD251" s="42">
        <v>26.61</v>
      </c>
      <c r="AE251" s="42">
        <v>27.99</v>
      </c>
      <c r="AF251" s="48"/>
      <c r="AG251" s="44"/>
      <c r="AH251" s="7">
        <f t="shared" si="3"/>
        <v>0</v>
      </c>
      <c r="AI251" s="18"/>
      <c r="AJ251" s="18"/>
    </row>
    <row r="252" spans="1:38" ht="26.65" customHeight="1" x14ac:dyDescent="0.25">
      <c r="A252" s="10" t="s">
        <v>1595</v>
      </c>
      <c r="B252" s="9" t="s">
        <v>903</v>
      </c>
      <c r="C252" s="9" t="s">
        <v>34</v>
      </c>
      <c r="D252" s="9" t="s">
        <v>904</v>
      </c>
      <c r="E252" s="9" t="s">
        <v>35</v>
      </c>
      <c r="F252" s="9" t="s">
        <v>36</v>
      </c>
      <c r="G252" s="9">
        <v>6</v>
      </c>
      <c r="H252" s="9">
        <v>84212300</v>
      </c>
      <c r="I252" s="11" t="s">
        <v>37</v>
      </c>
      <c r="J252" s="12">
        <v>2.3E-2</v>
      </c>
      <c r="K252" s="12">
        <v>0.108</v>
      </c>
      <c r="L252" s="12">
        <v>5.1999999999999998E-2</v>
      </c>
      <c r="M252" s="13">
        <v>8003453063457</v>
      </c>
      <c r="N252" s="14">
        <v>0.50800000000000001</v>
      </c>
      <c r="O252" s="14">
        <v>0.54900000000000004</v>
      </c>
      <c r="P252" s="15">
        <v>45170</v>
      </c>
      <c r="Q252" s="16" t="s">
        <v>1596</v>
      </c>
      <c r="R252" s="17" t="s">
        <v>1597</v>
      </c>
      <c r="S252" s="17" t="s">
        <v>1598</v>
      </c>
      <c r="T252" s="17" t="s">
        <v>1599</v>
      </c>
      <c r="U252" s="17" t="s">
        <v>35</v>
      </c>
      <c r="V252" s="17" t="s">
        <v>35</v>
      </c>
      <c r="W252" s="17" t="s">
        <v>35</v>
      </c>
      <c r="X252" s="17" t="s">
        <v>35</v>
      </c>
      <c r="Y252" s="17" t="s">
        <v>1600</v>
      </c>
      <c r="Z252" s="17" t="s">
        <v>1601</v>
      </c>
      <c r="AA252" s="17" t="s">
        <v>35</v>
      </c>
      <c r="AB252" s="17" t="s">
        <v>1602</v>
      </c>
      <c r="AC252" s="17" t="s">
        <v>9539</v>
      </c>
      <c r="AD252" s="42">
        <v>64.23</v>
      </c>
      <c r="AE252" s="42">
        <v>67.569999999999993</v>
      </c>
      <c r="AF252" s="48"/>
      <c r="AG252" s="44"/>
      <c r="AH252" s="7">
        <f t="shared" si="3"/>
        <v>0</v>
      </c>
      <c r="AI252" s="18"/>
      <c r="AJ252" s="18"/>
    </row>
    <row r="253" spans="1:38" ht="26.65" customHeight="1" x14ac:dyDescent="0.25">
      <c r="A253" s="10" t="s">
        <v>1603</v>
      </c>
      <c r="B253" s="9" t="s">
        <v>903</v>
      </c>
      <c r="C253" s="9" t="s">
        <v>34</v>
      </c>
      <c r="D253" s="9" t="s">
        <v>59</v>
      </c>
      <c r="E253" s="9" t="s">
        <v>35</v>
      </c>
      <c r="F253" s="9" t="s">
        <v>36</v>
      </c>
      <c r="G253" s="9">
        <v>6</v>
      </c>
      <c r="H253" s="9">
        <v>84212300</v>
      </c>
      <c r="I253" s="11" t="s">
        <v>37</v>
      </c>
      <c r="J253" s="12">
        <v>2.3E-2</v>
      </c>
      <c r="K253" s="12">
        <v>0.108</v>
      </c>
      <c r="L253" s="12">
        <v>5.1999999999999998E-2</v>
      </c>
      <c r="M253" s="13">
        <v>8003453063464</v>
      </c>
      <c r="N253" s="14">
        <v>0.42</v>
      </c>
      <c r="O253" s="14">
        <v>0.47</v>
      </c>
      <c r="P253" s="15">
        <v>45078</v>
      </c>
      <c r="Q253" s="16" t="s">
        <v>1604</v>
      </c>
      <c r="R253" s="17" t="s">
        <v>1605</v>
      </c>
      <c r="S253" s="17" t="s">
        <v>1606</v>
      </c>
      <c r="T253" s="17" t="s">
        <v>35</v>
      </c>
      <c r="U253" s="17" t="s">
        <v>35</v>
      </c>
      <c r="V253" s="17" t="s">
        <v>35</v>
      </c>
      <c r="W253" s="17" t="s">
        <v>35</v>
      </c>
      <c r="X253" s="17" t="s">
        <v>35</v>
      </c>
      <c r="Y253" s="17" t="s">
        <v>35</v>
      </c>
      <c r="Z253" s="17" t="s">
        <v>1607</v>
      </c>
      <c r="AA253" s="17" t="s">
        <v>35</v>
      </c>
      <c r="AB253" s="17" t="s">
        <v>1608</v>
      </c>
      <c r="AC253" s="17" t="s">
        <v>9539</v>
      </c>
      <c r="AD253" s="41">
        <v>69.44</v>
      </c>
      <c r="AE253" s="41">
        <v>73.05</v>
      </c>
      <c r="AF253" s="48"/>
      <c r="AG253" s="44"/>
      <c r="AH253" s="7">
        <f t="shared" si="3"/>
        <v>0</v>
      </c>
      <c r="AI253" s="18"/>
      <c r="AJ253" s="18"/>
      <c r="AL253" s="18"/>
    </row>
    <row r="254" spans="1:38" ht="26.65" customHeight="1" x14ac:dyDescent="0.25">
      <c r="A254" s="10" t="s">
        <v>1609</v>
      </c>
      <c r="B254" s="9" t="s">
        <v>903</v>
      </c>
      <c r="C254" s="9" t="s">
        <v>154</v>
      </c>
      <c r="D254" s="9" t="s">
        <v>59</v>
      </c>
      <c r="E254" s="9" t="s">
        <v>35</v>
      </c>
      <c r="F254" s="9" t="s">
        <v>36</v>
      </c>
      <c r="G254" s="9">
        <v>6</v>
      </c>
      <c r="H254" s="9">
        <v>84212300</v>
      </c>
      <c r="I254" s="11" t="s">
        <v>37</v>
      </c>
      <c r="J254" s="12">
        <v>2.3E-2</v>
      </c>
      <c r="K254" s="12">
        <v>0.108</v>
      </c>
      <c r="L254" s="12">
        <v>5.1999999999999998E-2</v>
      </c>
      <c r="M254" s="13" t="s">
        <v>1610</v>
      </c>
      <c r="N254" s="14">
        <v>0.98</v>
      </c>
      <c r="O254" s="14">
        <v>1.06</v>
      </c>
      <c r="P254" s="15">
        <v>44896</v>
      </c>
      <c r="Q254" s="16" t="s">
        <v>1611</v>
      </c>
      <c r="R254" s="17" t="s">
        <v>1612</v>
      </c>
      <c r="S254" s="17" t="s">
        <v>1613</v>
      </c>
      <c r="T254" s="17" t="s">
        <v>1614</v>
      </c>
      <c r="U254" s="17" t="s">
        <v>35</v>
      </c>
      <c r="V254" s="17" t="s">
        <v>1008</v>
      </c>
      <c r="W254" s="17" t="s">
        <v>35</v>
      </c>
      <c r="X254" s="17" t="s">
        <v>1615</v>
      </c>
      <c r="Y254" s="17" t="s">
        <v>1616</v>
      </c>
      <c r="Z254" s="17" t="s">
        <v>1617</v>
      </c>
      <c r="AA254" s="17" t="s">
        <v>1618</v>
      </c>
      <c r="AB254" s="17" t="s">
        <v>1013</v>
      </c>
      <c r="AC254" s="17" t="s">
        <v>9539</v>
      </c>
      <c r="AD254" s="42">
        <v>50.44</v>
      </c>
      <c r="AE254" s="42">
        <v>53.06</v>
      </c>
      <c r="AF254" s="48"/>
      <c r="AG254" s="44"/>
      <c r="AH254" s="7">
        <f t="shared" si="3"/>
        <v>0</v>
      </c>
      <c r="AI254" s="18"/>
      <c r="AJ254" s="18"/>
    </row>
    <row r="255" spans="1:38" ht="26.65" customHeight="1" x14ac:dyDescent="0.25">
      <c r="A255" s="38" t="s">
        <v>1619</v>
      </c>
      <c r="B255" s="9" t="s">
        <v>903</v>
      </c>
      <c r="C255" s="9" t="s">
        <v>58</v>
      </c>
      <c r="D255" s="9" t="s">
        <v>59</v>
      </c>
      <c r="E255" s="9" t="s">
        <v>35</v>
      </c>
      <c r="F255" s="9" t="s">
        <v>36</v>
      </c>
      <c r="G255" s="9">
        <v>6</v>
      </c>
      <c r="H255" s="9">
        <v>84212300</v>
      </c>
      <c r="I255" s="11" t="s">
        <v>37</v>
      </c>
      <c r="J255" s="12">
        <v>2.3E-2</v>
      </c>
      <c r="K255" s="12">
        <v>0.108</v>
      </c>
      <c r="L255" s="12">
        <v>5.1999999999999998E-2</v>
      </c>
      <c r="M255" s="13" t="s">
        <v>1620</v>
      </c>
      <c r="N255" s="14">
        <v>0.66</v>
      </c>
      <c r="O255" s="14">
        <v>0.7</v>
      </c>
      <c r="P255" s="15">
        <v>44896</v>
      </c>
      <c r="Q255" s="16" t="s">
        <v>1621</v>
      </c>
      <c r="R255" s="17" t="s">
        <v>1622</v>
      </c>
      <c r="S255" s="17" t="s">
        <v>1623</v>
      </c>
      <c r="T255" s="17" t="s">
        <v>1624</v>
      </c>
      <c r="U255" s="17" t="s">
        <v>35</v>
      </c>
      <c r="V255" s="17" t="s">
        <v>1625</v>
      </c>
      <c r="W255" s="17" t="s">
        <v>35</v>
      </c>
      <c r="X255" s="17" t="s">
        <v>1626</v>
      </c>
      <c r="Y255" s="17" t="s">
        <v>1627</v>
      </c>
      <c r="Z255" s="17" t="s">
        <v>1628</v>
      </c>
      <c r="AA255" s="17" t="s">
        <v>1629</v>
      </c>
      <c r="AB255" s="17" t="s">
        <v>1626</v>
      </c>
      <c r="AC255" s="17" t="s">
        <v>9538</v>
      </c>
      <c r="AD255" s="42">
        <v>32.979999999999997</v>
      </c>
      <c r="AE255" s="42">
        <v>34.69</v>
      </c>
      <c r="AF255" s="48"/>
      <c r="AG255" s="44"/>
      <c r="AH255" s="7">
        <f t="shared" si="3"/>
        <v>0</v>
      </c>
      <c r="AI255" s="18"/>
      <c r="AJ255" s="18"/>
    </row>
    <row r="256" spans="1:38" ht="26.65" customHeight="1" x14ac:dyDescent="0.25">
      <c r="A256" s="38" t="s">
        <v>1630</v>
      </c>
      <c r="B256" s="9" t="s">
        <v>903</v>
      </c>
      <c r="C256" s="9" t="s">
        <v>58</v>
      </c>
      <c r="D256" s="9" t="s">
        <v>59</v>
      </c>
      <c r="E256" s="9" t="s">
        <v>35</v>
      </c>
      <c r="F256" s="9" t="s">
        <v>36</v>
      </c>
      <c r="G256" s="9">
        <v>6</v>
      </c>
      <c r="H256" s="9">
        <v>84212300</v>
      </c>
      <c r="I256" s="11" t="s">
        <v>37</v>
      </c>
      <c r="J256" s="12">
        <v>2.3E-2</v>
      </c>
      <c r="K256" s="12">
        <v>0.108</v>
      </c>
      <c r="L256" s="12">
        <v>5.1999999999999998E-2</v>
      </c>
      <c r="M256" s="13" t="s">
        <v>1631</v>
      </c>
      <c r="N256" s="14">
        <v>0.74</v>
      </c>
      <c r="O256" s="14">
        <v>0.78</v>
      </c>
      <c r="P256" s="15">
        <v>44896</v>
      </c>
      <c r="Q256" s="16" t="s">
        <v>1632</v>
      </c>
      <c r="R256" s="17" t="s">
        <v>1633</v>
      </c>
      <c r="S256" s="17" t="s">
        <v>35</v>
      </c>
      <c r="T256" s="17" t="s">
        <v>1634</v>
      </c>
      <c r="U256" s="17" t="s">
        <v>35</v>
      </c>
      <c r="V256" s="17" t="s">
        <v>1635</v>
      </c>
      <c r="W256" s="17" t="s">
        <v>1636</v>
      </c>
      <c r="X256" s="17" t="s">
        <v>35</v>
      </c>
      <c r="Y256" s="17" t="s">
        <v>1637</v>
      </c>
      <c r="Z256" s="17" t="s">
        <v>35</v>
      </c>
      <c r="AA256" s="17" t="s">
        <v>1638</v>
      </c>
      <c r="AB256" s="17" t="s">
        <v>35</v>
      </c>
      <c r="AC256" s="17" t="s">
        <v>9538</v>
      </c>
      <c r="AD256" s="42">
        <v>58.89</v>
      </c>
      <c r="AE256" s="42">
        <v>61.95</v>
      </c>
      <c r="AF256" s="48"/>
      <c r="AG256" s="44"/>
      <c r="AH256" s="7">
        <f t="shared" si="3"/>
        <v>0</v>
      </c>
      <c r="AI256" s="18"/>
      <c r="AJ256" s="18"/>
    </row>
    <row r="257" spans="1:38" ht="26.65" customHeight="1" x14ac:dyDescent="0.25">
      <c r="A257" s="10" t="s">
        <v>1639</v>
      </c>
      <c r="B257" s="9" t="s">
        <v>903</v>
      </c>
      <c r="C257" s="9" t="s">
        <v>154</v>
      </c>
      <c r="D257" s="9" t="s">
        <v>59</v>
      </c>
      <c r="E257" s="9" t="s">
        <v>35</v>
      </c>
      <c r="F257" s="9" t="s">
        <v>36</v>
      </c>
      <c r="G257" s="9">
        <v>6</v>
      </c>
      <c r="H257" s="9">
        <v>84212300</v>
      </c>
      <c r="I257" s="11" t="s">
        <v>37</v>
      </c>
      <c r="J257" s="12">
        <v>2.3E-2</v>
      </c>
      <c r="K257" s="12">
        <v>0.108</v>
      </c>
      <c r="L257" s="12">
        <v>5.1999999999999998E-2</v>
      </c>
      <c r="M257" s="13" t="s">
        <v>1640</v>
      </c>
      <c r="N257" s="14">
        <v>0.56000000000000005</v>
      </c>
      <c r="O257" s="14">
        <v>0.6</v>
      </c>
      <c r="P257" s="15">
        <v>44896</v>
      </c>
      <c r="Q257" s="16" t="s">
        <v>1641</v>
      </c>
      <c r="R257" s="17" t="s">
        <v>1642</v>
      </c>
      <c r="S257" s="17" t="s">
        <v>35</v>
      </c>
      <c r="T257" s="17" t="s">
        <v>1643</v>
      </c>
      <c r="U257" s="17" t="s">
        <v>35</v>
      </c>
      <c r="V257" s="17" t="s">
        <v>35</v>
      </c>
      <c r="W257" s="17" t="s">
        <v>35</v>
      </c>
      <c r="X257" s="17" t="s">
        <v>35</v>
      </c>
      <c r="Y257" s="17" t="s">
        <v>35</v>
      </c>
      <c r="Z257" s="17" t="s">
        <v>35</v>
      </c>
      <c r="AA257" s="17" t="s">
        <v>1644</v>
      </c>
      <c r="AB257" s="17" t="s">
        <v>1645</v>
      </c>
      <c r="AC257" s="17" t="s">
        <v>9539</v>
      </c>
      <c r="AD257" s="42">
        <v>39.82</v>
      </c>
      <c r="AE257" s="42">
        <v>41.89</v>
      </c>
      <c r="AF257" s="48"/>
      <c r="AG257" s="44"/>
      <c r="AH257" s="7">
        <f t="shared" si="3"/>
        <v>0</v>
      </c>
      <c r="AI257" s="18"/>
      <c r="AJ257" s="18"/>
    </row>
    <row r="258" spans="1:38" ht="26.65" customHeight="1" x14ac:dyDescent="0.25">
      <c r="A258" s="10" t="s">
        <v>1646</v>
      </c>
      <c r="B258" s="9" t="s">
        <v>903</v>
      </c>
      <c r="C258" s="9" t="s">
        <v>34</v>
      </c>
      <c r="D258" s="9" t="s">
        <v>59</v>
      </c>
      <c r="E258" s="9" t="s">
        <v>35</v>
      </c>
      <c r="F258" s="9" t="s">
        <v>36</v>
      </c>
      <c r="G258" s="9">
        <v>6</v>
      </c>
      <c r="H258" s="9">
        <v>84212300</v>
      </c>
      <c r="I258" s="11" t="s">
        <v>37</v>
      </c>
      <c r="J258" s="12">
        <v>2.3E-2</v>
      </c>
      <c r="K258" s="12">
        <v>0.108</v>
      </c>
      <c r="L258" s="12">
        <v>5.1999999999999998E-2</v>
      </c>
      <c r="M258" s="13">
        <v>8003453063495</v>
      </c>
      <c r="N258" s="14">
        <v>0.78500000000000003</v>
      </c>
      <c r="O258" s="14">
        <v>0.82899999999999996</v>
      </c>
      <c r="P258" s="15">
        <v>45200</v>
      </c>
      <c r="Q258" s="16" t="s">
        <v>1647</v>
      </c>
      <c r="R258" s="17" t="s">
        <v>1648</v>
      </c>
      <c r="S258" s="17" t="s">
        <v>1649</v>
      </c>
      <c r="T258" s="17" t="s">
        <v>1650</v>
      </c>
      <c r="U258" s="17" t="s">
        <v>35</v>
      </c>
      <c r="V258" s="17" t="s">
        <v>35</v>
      </c>
      <c r="W258" s="17" t="s">
        <v>35</v>
      </c>
      <c r="X258" s="17" t="s">
        <v>35</v>
      </c>
      <c r="Y258" s="17" t="s">
        <v>35</v>
      </c>
      <c r="Z258" s="17" t="s">
        <v>35</v>
      </c>
      <c r="AA258" s="17" t="s">
        <v>35</v>
      </c>
      <c r="AB258" s="17" t="s">
        <v>1651</v>
      </c>
      <c r="AC258" s="17" t="s">
        <v>9539</v>
      </c>
      <c r="AD258" s="42">
        <v>153.4</v>
      </c>
      <c r="AE258" s="42">
        <v>161.38</v>
      </c>
      <c r="AF258" s="48"/>
      <c r="AG258" s="44"/>
      <c r="AH258" s="7">
        <f t="shared" si="3"/>
        <v>0</v>
      </c>
      <c r="AI258" s="18"/>
      <c r="AJ258" s="18"/>
    </row>
    <row r="259" spans="1:38" ht="26.65" customHeight="1" x14ac:dyDescent="0.25">
      <c r="A259" s="10" t="s">
        <v>10092</v>
      </c>
      <c r="B259" s="9" t="s">
        <v>903</v>
      </c>
      <c r="C259" s="9" t="s">
        <v>34</v>
      </c>
      <c r="D259" s="9" t="s">
        <v>59</v>
      </c>
      <c r="E259" s="9" t="s">
        <v>35</v>
      </c>
      <c r="F259" s="9" t="s">
        <v>36</v>
      </c>
      <c r="G259" s="9">
        <v>6</v>
      </c>
      <c r="H259" s="9">
        <v>84212300</v>
      </c>
      <c r="I259" s="11" t="s">
        <v>37</v>
      </c>
      <c r="J259" s="12">
        <v>2.3E-2</v>
      </c>
      <c r="K259" s="12">
        <v>0.108</v>
      </c>
      <c r="L259" s="12">
        <v>5.1999999999999998E-2</v>
      </c>
      <c r="M259" s="13">
        <v>8003453807655</v>
      </c>
      <c r="N259" s="14">
        <v>0</v>
      </c>
      <c r="O259" s="14">
        <v>0</v>
      </c>
      <c r="P259" s="15">
        <v>45566</v>
      </c>
      <c r="Q259" s="16" t="s">
        <v>10093</v>
      </c>
      <c r="R259" s="17" t="s">
        <v>10094</v>
      </c>
      <c r="S259" s="17" t="s">
        <v>35</v>
      </c>
      <c r="T259" s="17" t="s">
        <v>35</v>
      </c>
      <c r="U259" s="17" t="s">
        <v>35</v>
      </c>
      <c r="V259" s="17" t="s">
        <v>35</v>
      </c>
      <c r="W259" s="17" t="s">
        <v>35</v>
      </c>
      <c r="X259" s="17" t="s">
        <v>35</v>
      </c>
      <c r="Y259" s="17" t="s">
        <v>35</v>
      </c>
      <c r="Z259" s="17" t="s">
        <v>35</v>
      </c>
      <c r="AA259" s="17" t="s">
        <v>35</v>
      </c>
      <c r="AB259" s="17" t="s">
        <v>10095</v>
      </c>
      <c r="AC259" s="17" t="s">
        <v>9539</v>
      </c>
      <c r="AD259" s="41">
        <v>28.66</v>
      </c>
      <c r="AE259" s="41">
        <v>30.15</v>
      </c>
      <c r="AF259" s="48"/>
      <c r="AG259" s="44"/>
      <c r="AH259" s="7">
        <f t="shared" si="3"/>
        <v>0</v>
      </c>
      <c r="AI259" s="18"/>
      <c r="AJ259" s="18"/>
    </row>
    <row r="260" spans="1:38" ht="26.65" customHeight="1" x14ac:dyDescent="0.25">
      <c r="A260" s="10" t="s">
        <v>1652</v>
      </c>
      <c r="B260" s="9" t="s">
        <v>1147</v>
      </c>
      <c r="C260" s="9" t="s">
        <v>34</v>
      </c>
      <c r="D260" s="9" t="s">
        <v>59</v>
      </c>
      <c r="E260" s="9" t="s">
        <v>35</v>
      </c>
      <c r="F260" s="9" t="s">
        <v>36</v>
      </c>
      <c r="G260" s="9">
        <v>6</v>
      </c>
      <c r="H260" s="9">
        <v>84212300</v>
      </c>
      <c r="I260" s="11" t="s">
        <v>37</v>
      </c>
      <c r="J260" s="12">
        <v>2.3E-2</v>
      </c>
      <c r="K260" s="12">
        <v>0.108</v>
      </c>
      <c r="L260" s="12">
        <v>5.1999999999999998E-2</v>
      </c>
      <c r="M260" s="13">
        <v>8003453063518</v>
      </c>
      <c r="N260" s="14">
        <v>0.84</v>
      </c>
      <c r="O260" s="14">
        <v>0.93</v>
      </c>
      <c r="P260" s="15">
        <v>45139</v>
      </c>
      <c r="Q260" s="16" t="s">
        <v>8626</v>
      </c>
      <c r="R260" s="17" t="s">
        <v>1653</v>
      </c>
      <c r="S260" s="17" t="s">
        <v>1654</v>
      </c>
      <c r="T260" s="17" t="s">
        <v>1655</v>
      </c>
      <c r="U260" s="17" t="s">
        <v>1656</v>
      </c>
      <c r="V260" s="17" t="s">
        <v>8627</v>
      </c>
      <c r="W260" s="17" t="s">
        <v>35</v>
      </c>
      <c r="X260" s="17" t="s">
        <v>35</v>
      </c>
      <c r="Y260" s="17" t="s">
        <v>8628</v>
      </c>
      <c r="Z260" s="17" t="s">
        <v>8629</v>
      </c>
      <c r="AA260" s="17" t="s">
        <v>35</v>
      </c>
      <c r="AB260" s="17" t="s">
        <v>8630</v>
      </c>
      <c r="AC260" s="17" t="s">
        <v>9539</v>
      </c>
      <c r="AD260" s="42">
        <v>74.12</v>
      </c>
      <c r="AE260" s="42">
        <v>77.97</v>
      </c>
      <c r="AF260" s="48"/>
      <c r="AG260" s="44"/>
      <c r="AH260" s="7">
        <f t="shared" ref="AH260:AH323" si="4">AG260*AE260</f>
        <v>0</v>
      </c>
      <c r="AI260" s="18"/>
      <c r="AJ260" s="18"/>
    </row>
    <row r="261" spans="1:38" ht="26.65" customHeight="1" x14ac:dyDescent="0.25">
      <c r="A261" s="10" t="s">
        <v>9120</v>
      </c>
      <c r="B261" s="9" t="s">
        <v>903</v>
      </c>
      <c r="C261" s="9" t="s">
        <v>34</v>
      </c>
      <c r="D261" s="9" t="s">
        <v>904</v>
      </c>
      <c r="E261" s="9" t="s">
        <v>35</v>
      </c>
      <c r="F261" s="9" t="s">
        <v>36</v>
      </c>
      <c r="G261" s="9">
        <v>6</v>
      </c>
      <c r="H261" s="9">
        <v>84212300</v>
      </c>
      <c r="I261" s="11" t="s">
        <v>37</v>
      </c>
      <c r="J261" s="12">
        <v>2.3E-2</v>
      </c>
      <c r="K261" s="12">
        <v>0.108</v>
      </c>
      <c r="L261" s="12">
        <v>5.1999999999999998E-2</v>
      </c>
      <c r="M261" s="13">
        <v>8003453063525</v>
      </c>
      <c r="N261" s="14" t="s">
        <v>35</v>
      </c>
      <c r="O261" s="14" t="s">
        <v>35</v>
      </c>
      <c r="P261" s="15">
        <v>45383</v>
      </c>
      <c r="Q261" s="16" t="s">
        <v>9121</v>
      </c>
      <c r="R261" s="17" t="s">
        <v>35</v>
      </c>
      <c r="S261" s="17" t="s">
        <v>1184</v>
      </c>
      <c r="T261" s="17" t="s">
        <v>35</v>
      </c>
      <c r="U261" s="17" t="s">
        <v>35</v>
      </c>
      <c r="V261" s="17" t="s">
        <v>35</v>
      </c>
      <c r="W261" s="17" t="s">
        <v>35</v>
      </c>
      <c r="X261" s="17" t="s">
        <v>35</v>
      </c>
      <c r="Y261" s="17" t="s">
        <v>35</v>
      </c>
      <c r="Z261" s="17" t="s">
        <v>9122</v>
      </c>
      <c r="AA261" s="17" t="s">
        <v>35</v>
      </c>
      <c r="AB261" s="17" t="s">
        <v>9123</v>
      </c>
      <c r="AC261" s="17" t="s">
        <v>9539</v>
      </c>
      <c r="AD261" s="42">
        <v>128.63</v>
      </c>
      <c r="AE261" s="42">
        <v>135.32</v>
      </c>
      <c r="AF261" s="48"/>
      <c r="AG261" s="44"/>
      <c r="AH261" s="7">
        <f t="shared" si="4"/>
        <v>0</v>
      </c>
      <c r="AI261" s="18"/>
      <c r="AJ261" s="18"/>
    </row>
    <row r="262" spans="1:38" ht="26.65" customHeight="1" x14ac:dyDescent="0.25">
      <c r="A262" s="10" t="s">
        <v>9124</v>
      </c>
      <c r="B262" s="9" t="s">
        <v>903</v>
      </c>
      <c r="C262" s="9" t="s">
        <v>34</v>
      </c>
      <c r="D262" s="9" t="s">
        <v>904</v>
      </c>
      <c r="E262" s="9" t="s">
        <v>35</v>
      </c>
      <c r="F262" s="9" t="s">
        <v>36</v>
      </c>
      <c r="G262" s="9">
        <v>6</v>
      </c>
      <c r="H262" s="9">
        <v>84212300</v>
      </c>
      <c r="I262" s="11" t="s">
        <v>37</v>
      </c>
      <c r="J262" s="12">
        <v>2.3E-2</v>
      </c>
      <c r="K262" s="12">
        <v>0.108</v>
      </c>
      <c r="L262" s="12">
        <v>5.1999999999999998E-2</v>
      </c>
      <c r="M262" s="13">
        <v>8003453063532</v>
      </c>
      <c r="N262" s="14" t="s">
        <v>35</v>
      </c>
      <c r="O262" s="14" t="s">
        <v>35</v>
      </c>
      <c r="P262" s="15">
        <v>45383</v>
      </c>
      <c r="Q262" s="16" t="s">
        <v>9125</v>
      </c>
      <c r="R262" s="17" t="s">
        <v>35</v>
      </c>
      <c r="S262" s="17" t="s">
        <v>35</v>
      </c>
      <c r="T262" s="17" t="s">
        <v>35</v>
      </c>
      <c r="U262" s="17" t="s">
        <v>35</v>
      </c>
      <c r="V262" s="17" t="s">
        <v>35</v>
      </c>
      <c r="W262" s="17" t="s">
        <v>35</v>
      </c>
      <c r="X262" s="17" t="s">
        <v>35</v>
      </c>
      <c r="Y262" s="17" t="s">
        <v>35</v>
      </c>
      <c r="Z262" s="17" t="s">
        <v>35</v>
      </c>
      <c r="AA262" s="17" t="s">
        <v>9126</v>
      </c>
      <c r="AB262" s="17" t="s">
        <v>35</v>
      </c>
      <c r="AC262" s="17" t="s">
        <v>9539</v>
      </c>
      <c r="AD262" s="42">
        <v>70.34</v>
      </c>
      <c r="AE262" s="42">
        <v>74</v>
      </c>
      <c r="AF262" s="48"/>
      <c r="AG262" s="44"/>
      <c r="AH262" s="7">
        <f t="shared" si="4"/>
        <v>0</v>
      </c>
      <c r="AI262" s="18"/>
      <c r="AJ262" s="18"/>
    </row>
    <row r="263" spans="1:38" ht="26.65" customHeight="1" x14ac:dyDescent="0.25">
      <c r="A263" s="10" t="s">
        <v>1657</v>
      </c>
      <c r="B263" s="9" t="s">
        <v>1658</v>
      </c>
      <c r="C263" s="9" t="s">
        <v>58</v>
      </c>
      <c r="D263" s="9" t="s">
        <v>59</v>
      </c>
      <c r="E263" s="9" t="s">
        <v>35</v>
      </c>
      <c r="F263" s="9" t="s">
        <v>36</v>
      </c>
      <c r="G263" s="9">
        <v>6</v>
      </c>
      <c r="H263" s="9">
        <v>84212300</v>
      </c>
      <c r="I263" s="11" t="s">
        <v>37</v>
      </c>
      <c r="J263" s="12">
        <v>2.3E-2</v>
      </c>
      <c r="K263" s="12">
        <v>0.108</v>
      </c>
      <c r="L263" s="12">
        <v>5.1999999999999998E-2</v>
      </c>
      <c r="M263" s="13">
        <v>8003453063556</v>
      </c>
      <c r="N263" s="14">
        <v>1.02</v>
      </c>
      <c r="O263" s="14">
        <v>1.1200000000000001</v>
      </c>
      <c r="P263" s="15">
        <v>45078</v>
      </c>
      <c r="Q263" s="16" t="s">
        <v>1659</v>
      </c>
      <c r="R263" s="17" t="s">
        <v>35</v>
      </c>
      <c r="S263" s="17" t="s">
        <v>1660</v>
      </c>
      <c r="T263" s="17" t="s">
        <v>35</v>
      </c>
      <c r="U263" s="17" t="s">
        <v>35</v>
      </c>
      <c r="V263" s="17" t="s">
        <v>1661</v>
      </c>
      <c r="W263" s="17" t="s">
        <v>35</v>
      </c>
      <c r="X263" s="17" t="s">
        <v>35</v>
      </c>
      <c r="Y263" s="17" t="s">
        <v>1662</v>
      </c>
      <c r="Z263" s="17" t="s">
        <v>1663</v>
      </c>
      <c r="AA263" s="17" t="s">
        <v>1664</v>
      </c>
      <c r="AB263" s="17" t="s">
        <v>1665</v>
      </c>
      <c r="AC263" s="17" t="s">
        <v>9539</v>
      </c>
      <c r="AD263" s="42">
        <v>56.4</v>
      </c>
      <c r="AE263" s="42">
        <v>59.33</v>
      </c>
      <c r="AF263" s="48"/>
      <c r="AG263" s="44"/>
      <c r="AH263" s="7">
        <f t="shared" si="4"/>
        <v>0</v>
      </c>
      <c r="AI263" s="18"/>
      <c r="AJ263" s="18"/>
    </row>
    <row r="264" spans="1:38" ht="26.65" customHeight="1" x14ac:dyDescent="0.25">
      <c r="A264" s="10" t="s">
        <v>10096</v>
      </c>
      <c r="B264" s="9" t="s">
        <v>903</v>
      </c>
      <c r="C264" s="9" t="s">
        <v>58</v>
      </c>
      <c r="D264" s="9" t="s">
        <v>59</v>
      </c>
      <c r="E264" s="9" t="s">
        <v>35</v>
      </c>
      <c r="F264" s="9" t="s">
        <v>36</v>
      </c>
      <c r="G264" s="9">
        <v>6</v>
      </c>
      <c r="H264" s="9">
        <v>84212300</v>
      </c>
      <c r="I264" s="11" t="s">
        <v>37</v>
      </c>
      <c r="J264" s="12">
        <v>2.3E-2</v>
      </c>
      <c r="K264" s="12">
        <v>0.108</v>
      </c>
      <c r="L264" s="12">
        <v>5.1999999999999998E-2</v>
      </c>
      <c r="M264" s="13">
        <v>8003453809925</v>
      </c>
      <c r="N264" s="14">
        <v>0</v>
      </c>
      <c r="O264" s="14">
        <v>0</v>
      </c>
      <c r="P264" s="15">
        <v>45566</v>
      </c>
      <c r="Q264" s="16" t="s">
        <v>10097</v>
      </c>
      <c r="R264" s="17" t="s">
        <v>10098</v>
      </c>
      <c r="S264" s="17" t="s">
        <v>35</v>
      </c>
      <c r="T264" s="17" t="s">
        <v>35</v>
      </c>
      <c r="U264" s="17" t="s">
        <v>35</v>
      </c>
      <c r="V264" s="17" t="s">
        <v>35</v>
      </c>
      <c r="W264" s="17" t="s">
        <v>35</v>
      </c>
      <c r="X264" s="17" t="s">
        <v>35</v>
      </c>
      <c r="Y264" s="17" t="s">
        <v>10099</v>
      </c>
      <c r="Z264" s="17" t="s">
        <v>10100</v>
      </c>
      <c r="AA264" s="17" t="s">
        <v>35</v>
      </c>
      <c r="AB264" s="17" t="s">
        <v>10101</v>
      </c>
      <c r="AC264" s="17" t="s">
        <v>9539</v>
      </c>
      <c r="AD264" s="41">
        <v>83.96</v>
      </c>
      <c r="AE264" s="41">
        <v>88.33</v>
      </c>
      <c r="AF264" s="48"/>
      <c r="AG264" s="44"/>
      <c r="AH264" s="7">
        <f t="shared" si="4"/>
        <v>0</v>
      </c>
      <c r="AI264" s="18"/>
      <c r="AJ264" s="18"/>
    </row>
    <row r="265" spans="1:38" ht="26.65" customHeight="1" x14ac:dyDescent="0.25">
      <c r="A265" s="10" t="s">
        <v>9821</v>
      </c>
      <c r="B265" s="9" t="s">
        <v>903</v>
      </c>
      <c r="C265" s="9" t="s">
        <v>34</v>
      </c>
      <c r="D265" s="9" t="s">
        <v>904</v>
      </c>
      <c r="E265" s="9" t="s">
        <v>35</v>
      </c>
      <c r="F265" s="9" t="s">
        <v>36</v>
      </c>
      <c r="G265" s="9">
        <v>1</v>
      </c>
      <c r="H265" s="9">
        <v>84212300</v>
      </c>
      <c r="I265" s="11" t="s">
        <v>37</v>
      </c>
      <c r="J265" s="12">
        <v>2.3E-2</v>
      </c>
      <c r="K265" s="12">
        <v>0.108</v>
      </c>
      <c r="L265" s="12">
        <v>5.1999999999999998E-2</v>
      </c>
      <c r="M265" s="13">
        <v>8003453063587</v>
      </c>
      <c r="N265" s="14" t="s">
        <v>35</v>
      </c>
      <c r="O265" s="14" t="s">
        <v>35</v>
      </c>
      <c r="P265" s="15">
        <v>45536</v>
      </c>
      <c r="Q265" s="16" t="s">
        <v>9822</v>
      </c>
      <c r="R265" s="17" t="s">
        <v>9823</v>
      </c>
      <c r="S265" s="17" t="s">
        <v>35</v>
      </c>
      <c r="T265" s="17" t="s">
        <v>35</v>
      </c>
      <c r="U265" s="17" t="s">
        <v>35</v>
      </c>
      <c r="V265" s="17" t="s">
        <v>35</v>
      </c>
      <c r="W265" s="17" t="s">
        <v>35</v>
      </c>
      <c r="X265" s="17" t="s">
        <v>35</v>
      </c>
      <c r="Y265" s="17" t="s">
        <v>35</v>
      </c>
      <c r="Z265" s="17" t="s">
        <v>9824</v>
      </c>
      <c r="AA265" s="17" t="s">
        <v>35</v>
      </c>
      <c r="AB265" s="17" t="s">
        <v>9825</v>
      </c>
      <c r="AC265" s="17" t="s">
        <v>9539</v>
      </c>
      <c r="AD265" s="41">
        <v>83.9</v>
      </c>
      <c r="AE265" s="41">
        <v>88.26</v>
      </c>
      <c r="AF265" s="48"/>
      <c r="AG265" s="44"/>
      <c r="AH265" s="7">
        <f t="shared" si="4"/>
        <v>0</v>
      </c>
      <c r="AI265" s="18"/>
      <c r="AJ265" s="18"/>
    </row>
    <row r="266" spans="1:38" ht="26.65" customHeight="1" x14ac:dyDescent="0.25">
      <c r="A266" s="38" t="s">
        <v>1666</v>
      </c>
      <c r="B266" s="9" t="s">
        <v>1667</v>
      </c>
      <c r="C266" s="9" t="s">
        <v>43</v>
      </c>
      <c r="D266" s="9" t="s">
        <v>904</v>
      </c>
      <c r="E266" s="9" t="s">
        <v>35</v>
      </c>
      <c r="F266" s="9" t="s">
        <v>36</v>
      </c>
      <c r="G266" s="9">
        <v>6</v>
      </c>
      <c r="H266" s="9">
        <v>84212300</v>
      </c>
      <c r="I266" s="11" t="s">
        <v>37</v>
      </c>
      <c r="J266" s="12">
        <v>2.3E-2</v>
      </c>
      <c r="K266" s="12">
        <v>0.108</v>
      </c>
      <c r="L266" s="12">
        <v>5.1999999999999998E-2</v>
      </c>
      <c r="M266" s="13">
        <v>8003453809055</v>
      </c>
      <c r="N266" s="14">
        <v>0.48699999999999999</v>
      </c>
      <c r="O266" s="14">
        <v>0.5</v>
      </c>
      <c r="P266" s="15">
        <v>45231</v>
      </c>
      <c r="Q266" s="16" t="s">
        <v>1668</v>
      </c>
      <c r="R266" s="17" t="s">
        <v>1669</v>
      </c>
      <c r="S266" s="17" t="s">
        <v>1670</v>
      </c>
      <c r="T266" s="17" t="s">
        <v>35</v>
      </c>
      <c r="U266" s="17" t="s">
        <v>1671</v>
      </c>
      <c r="V266" s="17" t="s">
        <v>1672</v>
      </c>
      <c r="W266" s="17" t="s">
        <v>35</v>
      </c>
      <c r="X266" s="17" t="s">
        <v>35</v>
      </c>
      <c r="Y266" s="17" t="s">
        <v>1673</v>
      </c>
      <c r="Z266" s="17" t="s">
        <v>35</v>
      </c>
      <c r="AA266" s="17" t="s">
        <v>35</v>
      </c>
      <c r="AB266" s="17" t="s">
        <v>35</v>
      </c>
      <c r="AC266" s="17" t="s">
        <v>9538</v>
      </c>
      <c r="AD266" s="41">
        <v>131.02000000000001</v>
      </c>
      <c r="AE266" s="41">
        <v>137.83000000000001</v>
      </c>
      <c r="AF266" s="48"/>
      <c r="AG266" s="44"/>
      <c r="AH266" s="7">
        <f t="shared" si="4"/>
        <v>0</v>
      </c>
      <c r="AI266" s="18"/>
      <c r="AJ266" s="18"/>
    </row>
    <row r="267" spans="1:38" ht="26.65" customHeight="1" x14ac:dyDescent="0.25">
      <c r="A267" s="10" t="s">
        <v>10102</v>
      </c>
      <c r="B267" s="9" t="s">
        <v>903</v>
      </c>
      <c r="C267" s="9" t="s">
        <v>34</v>
      </c>
      <c r="D267" s="9" t="s">
        <v>59</v>
      </c>
      <c r="E267" s="9" t="s">
        <v>35</v>
      </c>
      <c r="F267" s="9" t="s">
        <v>36</v>
      </c>
      <c r="G267" s="9">
        <v>6</v>
      </c>
      <c r="H267" s="9">
        <v>84212300</v>
      </c>
      <c r="I267" s="11" t="s">
        <v>37</v>
      </c>
      <c r="J267" s="12">
        <v>2.3E-2</v>
      </c>
      <c r="K267" s="12">
        <v>0.108</v>
      </c>
      <c r="L267" s="12">
        <v>5.1999999999999998E-2</v>
      </c>
      <c r="M267" s="13">
        <v>8003453809208</v>
      </c>
      <c r="N267" s="14">
        <v>0</v>
      </c>
      <c r="O267" s="14">
        <v>0</v>
      </c>
      <c r="P267" s="15">
        <v>45566</v>
      </c>
      <c r="Q267" s="16" t="s">
        <v>10103</v>
      </c>
      <c r="R267" s="17" t="s">
        <v>10104</v>
      </c>
      <c r="S267" s="17" t="s">
        <v>35</v>
      </c>
      <c r="T267" s="17" t="s">
        <v>35</v>
      </c>
      <c r="U267" s="17" t="s">
        <v>35</v>
      </c>
      <c r="V267" s="17" t="s">
        <v>35</v>
      </c>
      <c r="W267" s="17" t="s">
        <v>35</v>
      </c>
      <c r="X267" s="17" t="s">
        <v>35</v>
      </c>
      <c r="Y267" s="17" t="s">
        <v>35</v>
      </c>
      <c r="Z267" s="17" t="s">
        <v>35</v>
      </c>
      <c r="AA267" s="17" t="s">
        <v>35</v>
      </c>
      <c r="AB267" s="17" t="s">
        <v>10105</v>
      </c>
      <c r="AC267" s="17" t="s">
        <v>9539</v>
      </c>
      <c r="AD267" s="41">
        <v>19.420000000000002</v>
      </c>
      <c r="AE267" s="41">
        <v>20.43</v>
      </c>
      <c r="AF267" s="48"/>
      <c r="AG267" s="44"/>
      <c r="AH267" s="7">
        <f t="shared" si="4"/>
        <v>0</v>
      </c>
      <c r="AI267" s="18"/>
      <c r="AJ267" s="18"/>
    </row>
    <row r="268" spans="1:38" ht="26.65" customHeight="1" x14ac:dyDescent="0.25">
      <c r="A268" s="10" t="s">
        <v>10106</v>
      </c>
      <c r="B268" s="9" t="s">
        <v>903</v>
      </c>
      <c r="C268" s="9" t="s">
        <v>34</v>
      </c>
      <c r="D268" s="9" t="s">
        <v>59</v>
      </c>
      <c r="E268" s="9" t="s">
        <v>35</v>
      </c>
      <c r="F268" s="9" t="s">
        <v>36</v>
      </c>
      <c r="G268" s="9">
        <v>6</v>
      </c>
      <c r="H268" s="9">
        <v>84212300</v>
      </c>
      <c r="I268" s="11" t="s">
        <v>37</v>
      </c>
      <c r="J268" s="12">
        <v>2.3E-2</v>
      </c>
      <c r="K268" s="12">
        <v>0.108</v>
      </c>
      <c r="L268" s="12">
        <v>5.1999999999999998E-2</v>
      </c>
      <c r="M268" s="13">
        <v>8003453809314</v>
      </c>
      <c r="N268" s="14">
        <v>0</v>
      </c>
      <c r="O268" s="14">
        <v>0</v>
      </c>
      <c r="P268" s="15">
        <v>45566</v>
      </c>
      <c r="Q268" s="16" t="s">
        <v>10107</v>
      </c>
      <c r="R268" s="17" t="s">
        <v>10108</v>
      </c>
      <c r="S268" s="17" t="s">
        <v>35</v>
      </c>
      <c r="T268" s="17" t="s">
        <v>35</v>
      </c>
      <c r="U268" s="17" t="s">
        <v>35</v>
      </c>
      <c r="V268" s="17" t="s">
        <v>35</v>
      </c>
      <c r="W268" s="17" t="s">
        <v>35</v>
      </c>
      <c r="X268" s="17" t="s">
        <v>35</v>
      </c>
      <c r="Y268" s="17" t="s">
        <v>35</v>
      </c>
      <c r="Z268" s="17" t="s">
        <v>35</v>
      </c>
      <c r="AA268" s="17" t="s">
        <v>35</v>
      </c>
      <c r="AB268" s="17" t="s">
        <v>10109</v>
      </c>
      <c r="AC268" s="17" t="s">
        <v>9539</v>
      </c>
      <c r="AD268" s="41">
        <v>212.17</v>
      </c>
      <c r="AE268" s="41">
        <v>223.2</v>
      </c>
      <c r="AF268" s="48"/>
      <c r="AG268" s="44"/>
      <c r="AH268" s="7">
        <f t="shared" si="4"/>
        <v>0</v>
      </c>
      <c r="AI268" s="18"/>
      <c r="AJ268" s="18"/>
    </row>
    <row r="269" spans="1:38" ht="26.65" customHeight="1" x14ac:dyDescent="0.25">
      <c r="A269" s="10" t="s">
        <v>10110</v>
      </c>
      <c r="B269" s="9" t="s">
        <v>903</v>
      </c>
      <c r="C269" s="9" t="s">
        <v>34</v>
      </c>
      <c r="D269" s="9" t="s">
        <v>59</v>
      </c>
      <c r="E269" s="9" t="s">
        <v>35</v>
      </c>
      <c r="F269" s="9" t="s">
        <v>36</v>
      </c>
      <c r="G269" s="9">
        <v>6</v>
      </c>
      <c r="H269" s="9">
        <v>84212300</v>
      </c>
      <c r="I269" s="11" t="s">
        <v>37</v>
      </c>
      <c r="J269" s="12">
        <v>2.3E-2</v>
      </c>
      <c r="K269" s="12">
        <v>0.108</v>
      </c>
      <c r="L269" s="12">
        <v>5.1999999999999998E-2</v>
      </c>
      <c r="M269" s="13">
        <v>8003453809789</v>
      </c>
      <c r="N269" s="14">
        <v>0</v>
      </c>
      <c r="O269" s="14">
        <v>0</v>
      </c>
      <c r="P269" s="15">
        <v>45566</v>
      </c>
      <c r="Q269" s="16" t="s">
        <v>10111</v>
      </c>
      <c r="R269" s="17" t="s">
        <v>10112</v>
      </c>
      <c r="S269" s="17" t="s">
        <v>35</v>
      </c>
      <c r="T269" s="17" t="s">
        <v>35</v>
      </c>
      <c r="U269" s="17" t="s">
        <v>35</v>
      </c>
      <c r="V269" s="17" t="s">
        <v>35</v>
      </c>
      <c r="W269" s="17" t="s">
        <v>35</v>
      </c>
      <c r="X269" s="17" t="s">
        <v>35</v>
      </c>
      <c r="Y269" s="17" t="s">
        <v>35</v>
      </c>
      <c r="Z269" s="17" t="s">
        <v>35</v>
      </c>
      <c r="AA269" s="17" t="s">
        <v>35</v>
      </c>
      <c r="AB269" s="17" t="s">
        <v>10113</v>
      </c>
      <c r="AC269" s="17" t="s">
        <v>9539</v>
      </c>
      <c r="AD269" s="41">
        <v>60.32</v>
      </c>
      <c r="AE269" s="41">
        <v>63.46</v>
      </c>
      <c r="AF269" s="48"/>
      <c r="AG269" s="44"/>
      <c r="AH269" s="7">
        <f t="shared" si="4"/>
        <v>0</v>
      </c>
      <c r="AI269" s="18"/>
      <c r="AJ269" s="18"/>
    </row>
    <row r="270" spans="1:38" ht="26.65" customHeight="1" x14ac:dyDescent="0.25">
      <c r="A270" s="10" t="s">
        <v>9127</v>
      </c>
      <c r="B270" s="9" t="s">
        <v>903</v>
      </c>
      <c r="C270" s="9" t="s">
        <v>34</v>
      </c>
      <c r="D270" s="9" t="s">
        <v>59</v>
      </c>
      <c r="E270" s="9" t="s">
        <v>35</v>
      </c>
      <c r="F270" s="9" t="s">
        <v>36</v>
      </c>
      <c r="G270" s="9">
        <v>6</v>
      </c>
      <c r="H270" s="9">
        <v>84212300</v>
      </c>
      <c r="I270" s="11" t="s">
        <v>37</v>
      </c>
      <c r="J270" s="12">
        <v>2.3E-2</v>
      </c>
      <c r="K270" s="12">
        <v>0.108</v>
      </c>
      <c r="L270" s="12">
        <v>5.1999999999999998E-2</v>
      </c>
      <c r="M270" s="13">
        <v>8003453809833</v>
      </c>
      <c r="N270" s="14" t="s">
        <v>35</v>
      </c>
      <c r="O270" s="14" t="s">
        <v>35</v>
      </c>
      <c r="P270" s="15">
        <v>45383</v>
      </c>
      <c r="Q270" s="16" t="s">
        <v>9128</v>
      </c>
      <c r="R270" s="17" t="s">
        <v>9129</v>
      </c>
      <c r="S270" s="17" t="s">
        <v>9130</v>
      </c>
      <c r="T270" s="17" t="s">
        <v>35</v>
      </c>
      <c r="U270" s="17" t="s">
        <v>35</v>
      </c>
      <c r="V270" s="17" t="s">
        <v>35</v>
      </c>
      <c r="W270" s="17" t="s">
        <v>35</v>
      </c>
      <c r="X270" s="17" t="s">
        <v>35</v>
      </c>
      <c r="Y270" s="17" t="s">
        <v>35</v>
      </c>
      <c r="Z270" s="17" t="s">
        <v>9131</v>
      </c>
      <c r="AA270" s="17" t="s">
        <v>10671</v>
      </c>
      <c r="AB270" s="17" t="s">
        <v>35</v>
      </c>
      <c r="AC270" s="17" t="s">
        <v>9539</v>
      </c>
      <c r="AD270" s="41">
        <v>56.23</v>
      </c>
      <c r="AE270" s="41">
        <v>59.15</v>
      </c>
      <c r="AF270" s="48"/>
      <c r="AG270" s="44"/>
      <c r="AH270" s="7">
        <f t="shared" si="4"/>
        <v>0</v>
      </c>
      <c r="AI270" s="18"/>
      <c r="AJ270" s="18"/>
      <c r="AL270" s="18"/>
    </row>
    <row r="271" spans="1:38" ht="26.65" customHeight="1" x14ac:dyDescent="0.25">
      <c r="A271" s="10" t="s">
        <v>9132</v>
      </c>
      <c r="B271" s="9" t="s">
        <v>903</v>
      </c>
      <c r="C271" s="9" t="s">
        <v>34</v>
      </c>
      <c r="D271" s="9" t="s">
        <v>59</v>
      </c>
      <c r="E271" s="9" t="s">
        <v>35</v>
      </c>
      <c r="F271" s="9" t="s">
        <v>36</v>
      </c>
      <c r="G271" s="9">
        <v>6</v>
      </c>
      <c r="H271" s="9">
        <v>84212300</v>
      </c>
      <c r="I271" s="11" t="s">
        <v>37</v>
      </c>
      <c r="J271" s="12">
        <v>2.3E-2</v>
      </c>
      <c r="K271" s="12">
        <v>0.108</v>
      </c>
      <c r="L271" s="12">
        <v>5.1999999999999998E-2</v>
      </c>
      <c r="M271" s="13">
        <v>8003453809840</v>
      </c>
      <c r="N271" s="14" t="s">
        <v>35</v>
      </c>
      <c r="O271" s="14" t="s">
        <v>35</v>
      </c>
      <c r="P271" s="15">
        <v>45383</v>
      </c>
      <c r="Q271" s="16" t="s">
        <v>10672</v>
      </c>
      <c r="R271" s="17" t="s">
        <v>9119</v>
      </c>
      <c r="S271" s="17" t="s">
        <v>10673</v>
      </c>
      <c r="T271" s="17" t="s">
        <v>35</v>
      </c>
      <c r="U271" s="17" t="s">
        <v>35</v>
      </c>
      <c r="V271" s="17" t="s">
        <v>35</v>
      </c>
      <c r="W271" s="17" t="s">
        <v>35</v>
      </c>
      <c r="X271" s="17" t="s">
        <v>35</v>
      </c>
      <c r="Y271" s="17" t="s">
        <v>35</v>
      </c>
      <c r="Z271" s="17" t="s">
        <v>9134</v>
      </c>
      <c r="AA271" s="17" t="s">
        <v>10674</v>
      </c>
      <c r="AB271" s="17" t="s">
        <v>35</v>
      </c>
      <c r="AC271" s="17" t="s">
        <v>9539</v>
      </c>
      <c r="AD271" s="42">
        <v>60.95</v>
      </c>
      <c r="AE271" s="42">
        <v>64.12</v>
      </c>
      <c r="AF271" s="48"/>
      <c r="AG271" s="44"/>
      <c r="AH271" s="7">
        <f t="shared" si="4"/>
        <v>0</v>
      </c>
      <c r="AI271" s="18"/>
      <c r="AJ271" s="18"/>
    </row>
    <row r="272" spans="1:38" ht="26.65" customHeight="1" x14ac:dyDescent="0.25">
      <c r="A272" s="10" t="s">
        <v>9135</v>
      </c>
      <c r="B272" s="9" t="s">
        <v>903</v>
      </c>
      <c r="C272" s="9" t="s">
        <v>34</v>
      </c>
      <c r="D272" s="9" t="s">
        <v>59</v>
      </c>
      <c r="E272" s="9" t="s">
        <v>35</v>
      </c>
      <c r="F272" s="9" t="s">
        <v>36</v>
      </c>
      <c r="G272" s="9">
        <v>6</v>
      </c>
      <c r="H272" s="9">
        <v>84212300</v>
      </c>
      <c r="I272" s="11" t="s">
        <v>37</v>
      </c>
      <c r="J272" s="12">
        <v>2.3E-2</v>
      </c>
      <c r="K272" s="12">
        <v>0.108</v>
      </c>
      <c r="L272" s="12">
        <v>5.1999999999999998E-2</v>
      </c>
      <c r="M272" s="13">
        <v>8003453809857</v>
      </c>
      <c r="N272" s="14" t="s">
        <v>35</v>
      </c>
      <c r="O272" s="14" t="s">
        <v>35</v>
      </c>
      <c r="P272" s="15">
        <v>45383</v>
      </c>
      <c r="Q272" s="16" t="s">
        <v>10675</v>
      </c>
      <c r="R272" s="17" t="s">
        <v>9133</v>
      </c>
      <c r="S272" s="17" t="s">
        <v>10676</v>
      </c>
      <c r="T272" s="17" t="s">
        <v>35</v>
      </c>
      <c r="U272" s="17" t="s">
        <v>35</v>
      </c>
      <c r="V272" s="17" t="s">
        <v>35</v>
      </c>
      <c r="W272" s="17" t="s">
        <v>35</v>
      </c>
      <c r="X272" s="17" t="s">
        <v>35</v>
      </c>
      <c r="Y272" s="17" t="s">
        <v>35</v>
      </c>
      <c r="Z272" s="17" t="s">
        <v>35</v>
      </c>
      <c r="AA272" s="17" t="s">
        <v>10677</v>
      </c>
      <c r="AB272" s="17" t="s">
        <v>35</v>
      </c>
      <c r="AC272" s="17" t="s">
        <v>9539</v>
      </c>
      <c r="AD272" s="42">
        <v>49.25</v>
      </c>
      <c r="AE272" s="42">
        <v>51.81</v>
      </c>
      <c r="AF272" s="48"/>
      <c r="AG272" s="44"/>
      <c r="AH272" s="7">
        <f t="shared" si="4"/>
        <v>0</v>
      </c>
      <c r="AI272" s="18"/>
      <c r="AJ272" s="18"/>
    </row>
    <row r="273" spans="1:38" ht="26.65" customHeight="1" x14ac:dyDescent="0.25">
      <c r="A273" s="10" t="s">
        <v>9137</v>
      </c>
      <c r="B273" s="9" t="s">
        <v>903</v>
      </c>
      <c r="C273" s="9" t="s">
        <v>34</v>
      </c>
      <c r="D273" s="9" t="s">
        <v>59</v>
      </c>
      <c r="E273" s="9" t="s">
        <v>35</v>
      </c>
      <c r="F273" s="9" t="s">
        <v>36</v>
      </c>
      <c r="G273" s="9">
        <v>6</v>
      </c>
      <c r="H273" s="9">
        <v>84212300</v>
      </c>
      <c r="I273" s="11" t="s">
        <v>37</v>
      </c>
      <c r="J273" s="12">
        <v>2.3E-2</v>
      </c>
      <c r="K273" s="12">
        <v>0.108</v>
      </c>
      <c r="L273" s="12">
        <v>5.1999999999999998E-2</v>
      </c>
      <c r="M273" s="13">
        <v>8003453809864</v>
      </c>
      <c r="N273" s="14" t="s">
        <v>35</v>
      </c>
      <c r="O273" s="14" t="s">
        <v>35</v>
      </c>
      <c r="P273" s="15">
        <v>45383</v>
      </c>
      <c r="Q273" s="16" t="s">
        <v>10678</v>
      </c>
      <c r="R273" s="17" t="s">
        <v>9136</v>
      </c>
      <c r="S273" s="17" t="s">
        <v>10679</v>
      </c>
      <c r="T273" s="17" t="s">
        <v>35</v>
      </c>
      <c r="U273" s="17" t="s">
        <v>35</v>
      </c>
      <c r="V273" s="17" t="s">
        <v>35</v>
      </c>
      <c r="W273" s="17" t="s">
        <v>35</v>
      </c>
      <c r="X273" s="17" t="s">
        <v>35</v>
      </c>
      <c r="Y273" s="17" t="s">
        <v>35</v>
      </c>
      <c r="Z273" s="17" t="s">
        <v>35</v>
      </c>
      <c r="AA273" s="17" t="s">
        <v>10680</v>
      </c>
      <c r="AB273" s="17" t="s">
        <v>35</v>
      </c>
      <c r="AC273" s="17" t="s">
        <v>9539</v>
      </c>
      <c r="AD273" s="42">
        <v>42.16</v>
      </c>
      <c r="AE273" s="42">
        <v>44.35</v>
      </c>
      <c r="AF273" s="48"/>
      <c r="AG273" s="44"/>
      <c r="AH273" s="7">
        <f t="shared" si="4"/>
        <v>0</v>
      </c>
      <c r="AI273" s="18"/>
      <c r="AJ273" s="18"/>
    </row>
    <row r="274" spans="1:38" ht="26.65" customHeight="1" x14ac:dyDescent="0.25">
      <c r="A274" s="10" t="s">
        <v>10114</v>
      </c>
      <c r="B274" s="9" t="s">
        <v>903</v>
      </c>
      <c r="C274" s="9" t="s">
        <v>34</v>
      </c>
      <c r="D274" s="9" t="s">
        <v>59</v>
      </c>
      <c r="E274" s="9" t="s">
        <v>35</v>
      </c>
      <c r="F274" s="9" t="s">
        <v>36</v>
      </c>
      <c r="G274" s="9">
        <v>6</v>
      </c>
      <c r="H274" s="9">
        <v>84212300</v>
      </c>
      <c r="I274" s="11" t="s">
        <v>37</v>
      </c>
      <c r="J274" s="12">
        <v>2.3E-2</v>
      </c>
      <c r="K274" s="12">
        <v>0.108</v>
      </c>
      <c r="L274" s="12">
        <v>5.1999999999999998E-2</v>
      </c>
      <c r="M274" s="13">
        <v>8003453811003</v>
      </c>
      <c r="N274" s="14">
        <v>0</v>
      </c>
      <c r="O274" s="14">
        <v>0</v>
      </c>
      <c r="P274" s="15">
        <v>45566</v>
      </c>
      <c r="Q274" s="16" t="s">
        <v>10115</v>
      </c>
      <c r="R274" s="17" t="s">
        <v>10116</v>
      </c>
      <c r="S274" s="17" t="s">
        <v>35</v>
      </c>
      <c r="T274" s="17" t="s">
        <v>35</v>
      </c>
      <c r="U274" s="17" t="s">
        <v>35</v>
      </c>
      <c r="V274" s="17" t="s">
        <v>35</v>
      </c>
      <c r="W274" s="17" t="s">
        <v>35</v>
      </c>
      <c r="X274" s="17" t="s">
        <v>35</v>
      </c>
      <c r="Y274" s="17" t="s">
        <v>35</v>
      </c>
      <c r="Z274" s="17" t="s">
        <v>35</v>
      </c>
      <c r="AA274" s="17" t="s">
        <v>35</v>
      </c>
      <c r="AB274" s="17" t="s">
        <v>10117</v>
      </c>
      <c r="AC274" s="17" t="s">
        <v>9539</v>
      </c>
      <c r="AD274" s="41">
        <v>28.74</v>
      </c>
      <c r="AE274" s="41">
        <v>30.23</v>
      </c>
      <c r="AF274" s="48"/>
      <c r="AG274" s="44"/>
      <c r="AH274" s="7">
        <f t="shared" si="4"/>
        <v>0</v>
      </c>
      <c r="AI274" s="18"/>
      <c r="AJ274" s="18"/>
    </row>
    <row r="275" spans="1:38" ht="26.65" customHeight="1" x14ac:dyDescent="0.25">
      <c r="A275" s="10" t="s">
        <v>10670</v>
      </c>
      <c r="B275" s="9" t="s">
        <v>903</v>
      </c>
      <c r="C275" s="9" t="s">
        <v>58</v>
      </c>
      <c r="D275" s="9" t="s">
        <v>904</v>
      </c>
      <c r="E275" s="9" t="s">
        <v>35</v>
      </c>
      <c r="F275" s="9" t="s">
        <v>36</v>
      </c>
      <c r="G275" s="9">
        <v>6</v>
      </c>
      <c r="H275" s="9">
        <v>84212300</v>
      </c>
      <c r="I275" s="11" t="s">
        <v>37</v>
      </c>
      <c r="J275" s="12">
        <v>2.3E-2</v>
      </c>
      <c r="K275" s="12">
        <v>0.108</v>
      </c>
      <c r="L275" s="12">
        <v>5.1999999999999998E-2</v>
      </c>
      <c r="M275" s="13">
        <v>8003453810808</v>
      </c>
      <c r="N275" s="14">
        <v>0.7</v>
      </c>
      <c r="O275" s="14">
        <v>0.76</v>
      </c>
      <c r="P275" s="15">
        <v>45474</v>
      </c>
      <c r="Q275" s="16" t="s">
        <v>9553</v>
      </c>
      <c r="R275" s="17" t="s">
        <v>9554</v>
      </c>
      <c r="S275" s="17" t="s">
        <v>9555</v>
      </c>
      <c r="T275" s="17" t="s">
        <v>35</v>
      </c>
      <c r="U275" s="17" t="s">
        <v>9556</v>
      </c>
      <c r="V275" s="17" t="s">
        <v>9557</v>
      </c>
      <c r="W275" s="17" t="s">
        <v>9558</v>
      </c>
      <c r="X275" s="17" t="s">
        <v>9559</v>
      </c>
      <c r="Y275" s="17" t="s">
        <v>9560</v>
      </c>
      <c r="Z275" s="17" t="s">
        <v>9561</v>
      </c>
      <c r="AA275" s="17" t="s">
        <v>9562</v>
      </c>
      <c r="AB275" s="17" t="s">
        <v>9563</v>
      </c>
      <c r="AC275" s="17" t="s">
        <v>9539</v>
      </c>
      <c r="AD275" s="41">
        <v>27.56</v>
      </c>
      <c r="AE275" s="41">
        <v>28.99</v>
      </c>
      <c r="AF275" s="48"/>
      <c r="AG275" s="44"/>
      <c r="AH275" s="7">
        <f t="shared" si="4"/>
        <v>0</v>
      </c>
      <c r="AI275" s="18"/>
      <c r="AJ275" s="18"/>
    </row>
    <row r="276" spans="1:38" ht="26.65" customHeight="1" x14ac:dyDescent="0.25">
      <c r="A276" s="38" t="s">
        <v>1674</v>
      </c>
      <c r="B276" s="9" t="s">
        <v>903</v>
      </c>
      <c r="C276" s="9" t="s">
        <v>43</v>
      </c>
      <c r="D276" s="9" t="s">
        <v>904</v>
      </c>
      <c r="E276" s="9" t="s">
        <v>122</v>
      </c>
      <c r="F276" s="9" t="s">
        <v>36</v>
      </c>
      <c r="G276" s="9">
        <v>6</v>
      </c>
      <c r="H276" s="9">
        <v>84212300</v>
      </c>
      <c r="I276" s="11" t="s">
        <v>37</v>
      </c>
      <c r="J276" s="12">
        <v>2.3E-2</v>
      </c>
      <c r="K276" s="12">
        <v>0.108</v>
      </c>
      <c r="L276" s="12">
        <v>5.1999999999999998E-2</v>
      </c>
      <c r="M276" s="13">
        <v>8003453061064</v>
      </c>
      <c r="N276" s="14">
        <v>0.48499999999999999</v>
      </c>
      <c r="O276" s="14">
        <v>0.51400000000000001</v>
      </c>
      <c r="P276" s="15" t="s">
        <v>35</v>
      </c>
      <c r="Q276" s="16" t="s">
        <v>1675</v>
      </c>
      <c r="R276" s="17" t="s">
        <v>1676</v>
      </c>
      <c r="S276" s="17" t="s">
        <v>1677</v>
      </c>
      <c r="T276" s="17" t="s">
        <v>1678</v>
      </c>
      <c r="U276" s="17" t="s">
        <v>1679</v>
      </c>
      <c r="V276" s="17" t="s">
        <v>35</v>
      </c>
      <c r="W276" s="17" t="s">
        <v>35</v>
      </c>
      <c r="X276" s="17" t="s">
        <v>1680</v>
      </c>
      <c r="Y276" s="17" t="s">
        <v>1681</v>
      </c>
      <c r="Z276" s="17" t="s">
        <v>35</v>
      </c>
      <c r="AA276" s="17" t="s">
        <v>35</v>
      </c>
      <c r="AB276" s="17" t="s">
        <v>35</v>
      </c>
      <c r="AC276" s="17" t="s">
        <v>9538</v>
      </c>
      <c r="AD276" s="42">
        <v>43.2</v>
      </c>
      <c r="AE276" s="42">
        <v>45.45</v>
      </c>
      <c r="AF276" s="48"/>
      <c r="AG276" s="44"/>
      <c r="AH276" s="7">
        <f t="shared" si="4"/>
        <v>0</v>
      </c>
      <c r="AI276" s="18"/>
      <c r="AJ276" s="18"/>
    </row>
    <row r="277" spans="1:38" ht="26.65" customHeight="1" x14ac:dyDescent="0.25">
      <c r="A277" s="38" t="s">
        <v>1682</v>
      </c>
      <c r="B277" s="9" t="s">
        <v>903</v>
      </c>
      <c r="C277" s="9" t="s">
        <v>58</v>
      </c>
      <c r="D277" s="9" t="s">
        <v>904</v>
      </c>
      <c r="E277" s="9" t="s">
        <v>122</v>
      </c>
      <c r="F277" s="9" t="s">
        <v>36</v>
      </c>
      <c r="G277" s="9">
        <v>6</v>
      </c>
      <c r="H277" s="9">
        <v>84212300</v>
      </c>
      <c r="I277" s="11" t="s">
        <v>37</v>
      </c>
      <c r="J277" s="12">
        <v>2.3E-2</v>
      </c>
      <c r="K277" s="12">
        <v>0.108</v>
      </c>
      <c r="L277" s="12">
        <v>5.1999999999999998E-2</v>
      </c>
      <c r="M277" s="13">
        <v>8003453061118</v>
      </c>
      <c r="N277" s="14">
        <v>0.48</v>
      </c>
      <c r="O277" s="14">
        <v>0.59099999999999997</v>
      </c>
      <c r="P277" s="15">
        <v>45170</v>
      </c>
      <c r="Q277" s="16" t="s">
        <v>747</v>
      </c>
      <c r="R277" s="17" t="s">
        <v>1683</v>
      </c>
      <c r="S277" s="17" t="s">
        <v>1684</v>
      </c>
      <c r="T277" s="17" t="s">
        <v>1685</v>
      </c>
      <c r="U277" s="17" t="s">
        <v>1686</v>
      </c>
      <c r="V277" s="17" t="s">
        <v>1687</v>
      </c>
      <c r="W277" s="17" t="s">
        <v>1688</v>
      </c>
      <c r="X277" s="17" t="s">
        <v>1689</v>
      </c>
      <c r="Y277" s="17" t="s">
        <v>1690</v>
      </c>
      <c r="Z277" s="17" t="s">
        <v>1691</v>
      </c>
      <c r="AA277" s="17" t="s">
        <v>35</v>
      </c>
      <c r="AB277" s="17" t="s">
        <v>1692</v>
      </c>
      <c r="AC277" s="17" t="s">
        <v>9538</v>
      </c>
      <c r="AD277" s="42">
        <v>41.03</v>
      </c>
      <c r="AE277" s="42">
        <v>43.16</v>
      </c>
      <c r="AF277" s="48"/>
      <c r="AG277" s="44"/>
      <c r="AH277" s="7">
        <f t="shared" si="4"/>
        <v>0</v>
      </c>
      <c r="AI277" s="18"/>
      <c r="AJ277" s="18"/>
    </row>
    <row r="278" spans="1:38" ht="26.65" customHeight="1" x14ac:dyDescent="0.25">
      <c r="A278" s="10" t="s">
        <v>1693</v>
      </c>
      <c r="B278" s="9" t="s">
        <v>903</v>
      </c>
      <c r="C278" s="9" t="s">
        <v>43</v>
      </c>
      <c r="D278" s="9" t="s">
        <v>904</v>
      </c>
      <c r="E278" s="9" t="s">
        <v>122</v>
      </c>
      <c r="F278" s="9" t="s">
        <v>36</v>
      </c>
      <c r="G278" s="9">
        <v>6</v>
      </c>
      <c r="H278" s="9">
        <v>84212300</v>
      </c>
      <c r="I278" s="11" t="s">
        <v>37</v>
      </c>
      <c r="J278" s="12">
        <v>2.3E-2</v>
      </c>
      <c r="K278" s="12">
        <v>0.108</v>
      </c>
      <c r="L278" s="12">
        <v>5.1999999999999998E-2</v>
      </c>
      <c r="M278" s="13">
        <v>8003453061255</v>
      </c>
      <c r="N278" s="14">
        <v>0.45900000000000002</v>
      </c>
      <c r="O278" s="14">
        <v>0.501</v>
      </c>
      <c r="P278" s="15" t="s">
        <v>35</v>
      </c>
      <c r="Q278" s="16" t="s">
        <v>1694</v>
      </c>
      <c r="R278" s="17" t="s">
        <v>1695</v>
      </c>
      <c r="S278" s="17" t="s">
        <v>1696</v>
      </c>
      <c r="T278" s="17" t="s">
        <v>1697</v>
      </c>
      <c r="U278" s="17" t="s">
        <v>1686</v>
      </c>
      <c r="V278" s="17" t="s">
        <v>1687</v>
      </c>
      <c r="W278" s="17" t="s">
        <v>1688</v>
      </c>
      <c r="X278" s="17" t="s">
        <v>1689</v>
      </c>
      <c r="Y278" s="17" t="s">
        <v>1698</v>
      </c>
      <c r="Z278" s="17" t="s">
        <v>35</v>
      </c>
      <c r="AA278" s="17" t="s">
        <v>35</v>
      </c>
      <c r="AB278" s="17" t="s">
        <v>35</v>
      </c>
      <c r="AC278" s="17" t="s">
        <v>9539</v>
      </c>
      <c r="AD278" s="42">
        <v>45.8</v>
      </c>
      <c r="AE278" s="42">
        <v>48.18</v>
      </c>
      <c r="AF278" s="48"/>
      <c r="AG278" s="44"/>
      <c r="AH278" s="7">
        <f t="shared" si="4"/>
        <v>0</v>
      </c>
      <c r="AI278" s="18"/>
      <c r="AJ278" s="18"/>
    </row>
    <row r="279" spans="1:38" ht="26.65" customHeight="1" x14ac:dyDescent="0.25">
      <c r="A279" s="10" t="s">
        <v>1699</v>
      </c>
      <c r="B279" s="9" t="s">
        <v>47</v>
      </c>
      <c r="C279" s="9" t="s">
        <v>43</v>
      </c>
      <c r="D279" s="9" t="s">
        <v>67</v>
      </c>
      <c r="E279" s="9" t="s">
        <v>35</v>
      </c>
      <c r="F279" s="9" t="s">
        <v>36</v>
      </c>
      <c r="G279" s="9">
        <v>6</v>
      </c>
      <c r="H279" s="9">
        <v>84219999</v>
      </c>
      <c r="I279" s="11" t="s">
        <v>37</v>
      </c>
      <c r="J279" s="12">
        <v>1.6500000000000001E-2</v>
      </c>
      <c r="K279" s="12">
        <v>7.5999999999999998E-2</v>
      </c>
      <c r="L279" s="12">
        <v>5.1999999999999998E-2</v>
      </c>
      <c r="M279" s="13">
        <v>8003453066991</v>
      </c>
      <c r="N279" s="14">
        <v>7.2999999999999995E-2</v>
      </c>
      <c r="O279" s="14">
        <v>8.8999999999999996E-2</v>
      </c>
      <c r="P279" s="15" t="s">
        <v>35</v>
      </c>
      <c r="Q279" s="16" t="s">
        <v>1700</v>
      </c>
      <c r="R279" s="17" t="s">
        <v>35</v>
      </c>
      <c r="S279" s="17" t="s">
        <v>1701</v>
      </c>
      <c r="T279" s="17" t="s">
        <v>1702</v>
      </c>
      <c r="U279" s="17" t="s">
        <v>1703</v>
      </c>
      <c r="V279" s="17" t="s">
        <v>35</v>
      </c>
      <c r="W279" s="17" t="s">
        <v>35</v>
      </c>
      <c r="X279" s="17" t="s">
        <v>1704</v>
      </c>
      <c r="Y279" s="17" t="s">
        <v>1705</v>
      </c>
      <c r="Z279" s="17" t="s">
        <v>35</v>
      </c>
      <c r="AA279" s="17" t="s">
        <v>35</v>
      </c>
      <c r="AB279" s="17" t="s">
        <v>1706</v>
      </c>
      <c r="AC279" s="17" t="s">
        <v>9539</v>
      </c>
      <c r="AD279" s="42">
        <v>14.49</v>
      </c>
      <c r="AE279" s="42">
        <v>15.24</v>
      </c>
      <c r="AF279" s="48"/>
      <c r="AG279" s="44"/>
      <c r="AH279" s="7">
        <f t="shared" si="4"/>
        <v>0</v>
      </c>
      <c r="AI279" s="18"/>
      <c r="AJ279" s="18"/>
    </row>
    <row r="280" spans="1:38" ht="26.65" customHeight="1" x14ac:dyDescent="0.25">
      <c r="A280" s="10" t="s">
        <v>1707</v>
      </c>
      <c r="B280" s="9" t="s">
        <v>47</v>
      </c>
      <c r="C280" s="9" t="s">
        <v>43</v>
      </c>
      <c r="D280" s="9" t="s">
        <v>67</v>
      </c>
      <c r="E280" s="9" t="s">
        <v>35</v>
      </c>
      <c r="F280" s="9" t="s">
        <v>36</v>
      </c>
      <c r="G280" s="9">
        <v>6</v>
      </c>
      <c r="H280" s="9">
        <v>84219999</v>
      </c>
      <c r="I280" s="11" t="s">
        <v>37</v>
      </c>
      <c r="J280" s="12">
        <v>1.6500000000000001E-2</v>
      </c>
      <c r="K280" s="12">
        <v>7.5999999999999998E-2</v>
      </c>
      <c r="L280" s="12">
        <v>5.1999999999999998E-2</v>
      </c>
      <c r="M280" s="13">
        <v>8003453067011</v>
      </c>
      <c r="N280" s="14">
        <v>6.8000000000000005E-2</v>
      </c>
      <c r="O280" s="14">
        <v>8.7999999999999995E-2</v>
      </c>
      <c r="P280" s="15" t="s">
        <v>35</v>
      </c>
      <c r="Q280" s="16" t="s">
        <v>1708</v>
      </c>
      <c r="R280" s="17" t="s">
        <v>35</v>
      </c>
      <c r="S280" s="17" t="s">
        <v>1709</v>
      </c>
      <c r="T280" s="17" t="s">
        <v>1710</v>
      </c>
      <c r="U280" s="17" t="s">
        <v>1711</v>
      </c>
      <c r="V280" s="17" t="s">
        <v>1712</v>
      </c>
      <c r="W280" s="17" t="s">
        <v>1713</v>
      </c>
      <c r="X280" s="17" t="s">
        <v>1714</v>
      </c>
      <c r="Y280" s="17" t="s">
        <v>1715</v>
      </c>
      <c r="Z280" s="17" t="s">
        <v>35</v>
      </c>
      <c r="AA280" s="17" t="s">
        <v>35</v>
      </c>
      <c r="AB280" s="17" t="s">
        <v>35</v>
      </c>
      <c r="AC280" s="17" t="s">
        <v>9539</v>
      </c>
      <c r="AD280" s="42">
        <v>17.13</v>
      </c>
      <c r="AE280" s="42">
        <v>18.02</v>
      </c>
      <c r="AF280" s="48"/>
      <c r="AG280" s="44"/>
      <c r="AH280" s="7">
        <f t="shared" si="4"/>
        <v>0</v>
      </c>
      <c r="AI280" s="18"/>
      <c r="AJ280" s="18"/>
    </row>
    <row r="281" spans="1:38" ht="26.65" customHeight="1" x14ac:dyDescent="0.25">
      <c r="A281" s="10" t="s">
        <v>1716</v>
      </c>
      <c r="B281" s="9" t="s">
        <v>47</v>
      </c>
      <c r="C281" s="9" t="s">
        <v>58</v>
      </c>
      <c r="D281" s="9" t="s">
        <v>67</v>
      </c>
      <c r="E281" s="9" t="s">
        <v>35</v>
      </c>
      <c r="F281" s="9" t="s">
        <v>36</v>
      </c>
      <c r="G281" s="9">
        <v>6</v>
      </c>
      <c r="H281" s="9">
        <v>84219999</v>
      </c>
      <c r="I281" s="11" t="s">
        <v>37</v>
      </c>
      <c r="J281" s="12">
        <v>1.6500000000000001E-2</v>
      </c>
      <c r="K281" s="12">
        <v>7.5999999999999998E-2</v>
      </c>
      <c r="L281" s="12">
        <v>5.1999999999999998E-2</v>
      </c>
      <c r="M281" s="13">
        <v>8003453067028</v>
      </c>
      <c r="N281" s="14">
        <v>0.121</v>
      </c>
      <c r="O281" s="14">
        <v>0.158</v>
      </c>
      <c r="P281" s="15" t="s">
        <v>35</v>
      </c>
      <c r="Q281" s="16" t="s">
        <v>1717</v>
      </c>
      <c r="R281" s="17" t="s">
        <v>35</v>
      </c>
      <c r="S281" s="17" t="s">
        <v>1718</v>
      </c>
      <c r="T281" s="17" t="s">
        <v>1719</v>
      </c>
      <c r="U281" s="17" t="s">
        <v>35</v>
      </c>
      <c r="V281" s="17" t="s">
        <v>1720</v>
      </c>
      <c r="W281" s="17" t="s">
        <v>1721</v>
      </c>
      <c r="X281" s="17" t="s">
        <v>35</v>
      </c>
      <c r="Y281" s="17" t="s">
        <v>1722</v>
      </c>
      <c r="Z281" s="17" t="s">
        <v>1723</v>
      </c>
      <c r="AA281" s="17" t="s">
        <v>35</v>
      </c>
      <c r="AB281" s="17" t="s">
        <v>1724</v>
      </c>
      <c r="AC281" s="17" t="s">
        <v>9539</v>
      </c>
      <c r="AD281" s="42">
        <v>16.79</v>
      </c>
      <c r="AE281" s="42">
        <v>17.66</v>
      </c>
      <c r="AF281" s="48"/>
      <c r="AG281" s="44"/>
      <c r="AH281" s="7">
        <f t="shared" si="4"/>
        <v>0</v>
      </c>
      <c r="AI281" s="18"/>
      <c r="AJ281" s="18"/>
    </row>
    <row r="282" spans="1:38" ht="26.65" customHeight="1" x14ac:dyDescent="0.25">
      <c r="A282" s="10" t="s">
        <v>1725</v>
      </c>
      <c r="B282" s="9" t="s">
        <v>47</v>
      </c>
      <c r="C282" s="9" t="s">
        <v>58</v>
      </c>
      <c r="D282" s="9" t="s">
        <v>67</v>
      </c>
      <c r="E282" s="9" t="s">
        <v>35</v>
      </c>
      <c r="F282" s="9" t="s">
        <v>36</v>
      </c>
      <c r="G282" s="9">
        <v>6</v>
      </c>
      <c r="H282" s="9">
        <v>84219999</v>
      </c>
      <c r="I282" s="11" t="s">
        <v>37</v>
      </c>
      <c r="J282" s="12">
        <v>1.6500000000000001E-2</v>
      </c>
      <c r="K282" s="12">
        <v>7.5999999999999998E-2</v>
      </c>
      <c r="L282" s="12">
        <v>5.1999999999999998E-2</v>
      </c>
      <c r="M282" s="13">
        <v>8003453067035</v>
      </c>
      <c r="N282" s="14">
        <v>0.33800000000000002</v>
      </c>
      <c r="O282" s="14">
        <v>0.39400000000000002</v>
      </c>
      <c r="P282" s="15" t="s">
        <v>35</v>
      </c>
      <c r="Q282" s="16" t="s">
        <v>1726</v>
      </c>
      <c r="R282" s="17" t="s">
        <v>35</v>
      </c>
      <c r="S282" s="17" t="s">
        <v>1727</v>
      </c>
      <c r="T282" s="17" t="s">
        <v>1728</v>
      </c>
      <c r="U282" s="17" t="s">
        <v>1729</v>
      </c>
      <c r="V282" s="17" t="s">
        <v>1730</v>
      </c>
      <c r="W282" s="17" t="s">
        <v>1731</v>
      </c>
      <c r="X282" s="17" t="s">
        <v>1732</v>
      </c>
      <c r="Y282" s="17" t="s">
        <v>1733</v>
      </c>
      <c r="Z282" s="17" t="s">
        <v>1734</v>
      </c>
      <c r="AA282" s="17" t="s">
        <v>35</v>
      </c>
      <c r="AB282" s="17" t="s">
        <v>1735</v>
      </c>
      <c r="AC282" s="17" t="s">
        <v>9539</v>
      </c>
      <c r="AD282" s="42">
        <v>44.11</v>
      </c>
      <c r="AE282" s="42">
        <v>46.4</v>
      </c>
      <c r="AF282" s="48"/>
      <c r="AG282" s="44"/>
      <c r="AH282" s="7">
        <f t="shared" si="4"/>
        <v>0</v>
      </c>
      <c r="AI282" s="18"/>
      <c r="AJ282" s="18"/>
    </row>
    <row r="283" spans="1:38" ht="26.65" customHeight="1" x14ac:dyDescent="0.25">
      <c r="A283" s="38" t="s">
        <v>1736</v>
      </c>
      <c r="B283" s="9" t="s">
        <v>47</v>
      </c>
      <c r="C283" s="9" t="s">
        <v>58</v>
      </c>
      <c r="D283" s="9" t="s">
        <v>67</v>
      </c>
      <c r="E283" s="9" t="s">
        <v>35</v>
      </c>
      <c r="F283" s="9" t="s">
        <v>36</v>
      </c>
      <c r="G283" s="9">
        <v>6</v>
      </c>
      <c r="H283" s="9">
        <v>84219999</v>
      </c>
      <c r="I283" s="11" t="s">
        <v>37</v>
      </c>
      <c r="J283" s="12">
        <v>1.6500000000000001E-2</v>
      </c>
      <c r="K283" s="12">
        <v>7.5999999999999998E-2</v>
      </c>
      <c r="L283" s="12">
        <v>5.1999999999999998E-2</v>
      </c>
      <c r="M283" s="13">
        <v>8003453067042</v>
      </c>
      <c r="N283" s="14">
        <v>0.1</v>
      </c>
      <c r="O283" s="14">
        <v>0.153</v>
      </c>
      <c r="P283" s="15" t="s">
        <v>35</v>
      </c>
      <c r="Q283" s="16" t="s">
        <v>1737</v>
      </c>
      <c r="R283" s="17" t="s">
        <v>1738</v>
      </c>
      <c r="S283" s="17" t="s">
        <v>1739</v>
      </c>
      <c r="T283" s="17" t="s">
        <v>1740</v>
      </c>
      <c r="U283" s="17" t="s">
        <v>1741</v>
      </c>
      <c r="V283" s="17" t="s">
        <v>1742</v>
      </c>
      <c r="W283" s="17" t="s">
        <v>1743</v>
      </c>
      <c r="X283" s="17" t="s">
        <v>1744</v>
      </c>
      <c r="Y283" s="17" t="s">
        <v>1745</v>
      </c>
      <c r="Z283" s="17" t="s">
        <v>1746</v>
      </c>
      <c r="AA283" s="17" t="s">
        <v>35</v>
      </c>
      <c r="AB283" s="17" t="s">
        <v>1747</v>
      </c>
      <c r="AC283" s="17" t="s">
        <v>9538</v>
      </c>
      <c r="AD283" s="41">
        <v>14.38</v>
      </c>
      <c r="AE283" s="41">
        <v>15.13</v>
      </c>
      <c r="AF283" s="48"/>
      <c r="AG283" s="44"/>
      <c r="AH283" s="7">
        <f t="shared" si="4"/>
        <v>0</v>
      </c>
      <c r="AI283" s="18"/>
      <c r="AJ283" s="18"/>
      <c r="AL283" s="18"/>
    </row>
    <row r="284" spans="1:38" ht="26.65" customHeight="1" x14ac:dyDescent="0.25">
      <c r="A284" s="10" t="s">
        <v>1748</v>
      </c>
      <c r="B284" s="9" t="s">
        <v>47</v>
      </c>
      <c r="C284" s="9" t="s">
        <v>43</v>
      </c>
      <c r="D284" s="9" t="s">
        <v>67</v>
      </c>
      <c r="E284" s="9" t="s">
        <v>35</v>
      </c>
      <c r="F284" s="9" t="s">
        <v>36</v>
      </c>
      <c r="G284" s="9">
        <v>6</v>
      </c>
      <c r="H284" s="9">
        <v>84219999</v>
      </c>
      <c r="I284" s="11" t="s">
        <v>37</v>
      </c>
      <c r="J284" s="12">
        <v>1.6500000000000001E-2</v>
      </c>
      <c r="K284" s="12">
        <v>7.5999999999999998E-2</v>
      </c>
      <c r="L284" s="12">
        <v>5.1999999999999998E-2</v>
      </c>
      <c r="M284" s="13">
        <v>8003453067097</v>
      </c>
      <c r="N284" s="14">
        <v>5.8000000000000003E-2</v>
      </c>
      <c r="O284" s="14">
        <v>7.4999999999999997E-2</v>
      </c>
      <c r="P284" s="15" t="s">
        <v>35</v>
      </c>
      <c r="Q284" s="16" t="s">
        <v>1749</v>
      </c>
      <c r="R284" s="17" t="s">
        <v>35</v>
      </c>
      <c r="S284" s="17" t="s">
        <v>1750</v>
      </c>
      <c r="T284" s="17" t="s">
        <v>1751</v>
      </c>
      <c r="U284" s="17" t="s">
        <v>1752</v>
      </c>
      <c r="V284" s="17" t="s">
        <v>35</v>
      </c>
      <c r="W284" s="17" t="s">
        <v>35</v>
      </c>
      <c r="X284" s="17" t="s">
        <v>1753</v>
      </c>
      <c r="Y284" s="17" t="s">
        <v>1754</v>
      </c>
      <c r="Z284" s="17" t="s">
        <v>35</v>
      </c>
      <c r="AA284" s="17" t="s">
        <v>35</v>
      </c>
      <c r="AB284" s="17" t="s">
        <v>35</v>
      </c>
      <c r="AC284" s="17" t="s">
        <v>9539</v>
      </c>
      <c r="AD284" s="42">
        <v>15.44</v>
      </c>
      <c r="AE284" s="42">
        <v>16.239999999999998</v>
      </c>
      <c r="AF284" s="48"/>
      <c r="AG284" s="44"/>
      <c r="AH284" s="7">
        <f t="shared" si="4"/>
        <v>0</v>
      </c>
      <c r="AI284" s="18"/>
      <c r="AJ284" s="18"/>
    </row>
    <row r="285" spans="1:38" ht="26.65" customHeight="1" x14ac:dyDescent="0.25">
      <c r="A285" s="10" t="s">
        <v>1755</v>
      </c>
      <c r="B285" s="9" t="s">
        <v>47</v>
      </c>
      <c r="C285" s="9" t="s">
        <v>43</v>
      </c>
      <c r="D285" s="9" t="s">
        <v>67</v>
      </c>
      <c r="E285" s="9" t="s">
        <v>35</v>
      </c>
      <c r="F285" s="9" t="s">
        <v>36</v>
      </c>
      <c r="G285" s="9">
        <v>6</v>
      </c>
      <c r="H285" s="9">
        <v>84219999</v>
      </c>
      <c r="I285" s="11" t="s">
        <v>37</v>
      </c>
      <c r="J285" s="12">
        <v>1.6500000000000001E-2</v>
      </c>
      <c r="K285" s="12">
        <v>7.5999999999999998E-2</v>
      </c>
      <c r="L285" s="12">
        <v>5.1999999999999998E-2</v>
      </c>
      <c r="M285" s="13">
        <v>8003453067059</v>
      </c>
      <c r="N285" s="14">
        <v>0.14899999999999999</v>
      </c>
      <c r="O285" s="14">
        <v>0.18099999999999999</v>
      </c>
      <c r="P285" s="15" t="s">
        <v>35</v>
      </c>
      <c r="Q285" s="16" t="s">
        <v>1756</v>
      </c>
      <c r="R285" s="17" t="s">
        <v>35</v>
      </c>
      <c r="S285" s="17" t="s">
        <v>1757</v>
      </c>
      <c r="T285" s="17" t="s">
        <v>1758</v>
      </c>
      <c r="U285" s="17" t="s">
        <v>1759</v>
      </c>
      <c r="V285" s="17" t="s">
        <v>35</v>
      </c>
      <c r="W285" s="17" t="s">
        <v>35</v>
      </c>
      <c r="X285" s="17" t="s">
        <v>1760</v>
      </c>
      <c r="Y285" s="17" t="s">
        <v>1761</v>
      </c>
      <c r="Z285" s="17" t="s">
        <v>35</v>
      </c>
      <c r="AA285" s="17" t="s">
        <v>35</v>
      </c>
      <c r="AB285" s="17" t="s">
        <v>35</v>
      </c>
      <c r="AC285" s="17" t="s">
        <v>9539</v>
      </c>
      <c r="AD285" s="41">
        <v>17.07</v>
      </c>
      <c r="AE285" s="41">
        <v>17.96</v>
      </c>
      <c r="AF285" s="48"/>
      <c r="AG285" s="44"/>
      <c r="AH285" s="7">
        <f t="shared" si="4"/>
        <v>0</v>
      </c>
      <c r="AI285" s="18"/>
      <c r="AJ285" s="18"/>
      <c r="AL285" s="18"/>
    </row>
    <row r="286" spans="1:38" ht="26.65" customHeight="1" x14ac:dyDescent="0.25">
      <c r="A286" s="10" t="s">
        <v>1762</v>
      </c>
      <c r="B286" s="9" t="s">
        <v>47</v>
      </c>
      <c r="C286" s="9" t="s">
        <v>43</v>
      </c>
      <c r="D286" s="9" t="s">
        <v>67</v>
      </c>
      <c r="E286" s="9" t="s">
        <v>35</v>
      </c>
      <c r="F286" s="9" t="s">
        <v>36</v>
      </c>
      <c r="G286" s="9">
        <v>6</v>
      </c>
      <c r="H286" s="9">
        <v>84219999</v>
      </c>
      <c r="I286" s="11" t="s">
        <v>37</v>
      </c>
      <c r="J286" s="12">
        <v>1.6500000000000001E-2</v>
      </c>
      <c r="K286" s="12">
        <v>7.5999999999999998E-2</v>
      </c>
      <c r="L286" s="12">
        <v>5.1999999999999998E-2</v>
      </c>
      <c r="M286" s="13">
        <v>8003453067066</v>
      </c>
      <c r="N286" s="14">
        <v>7.8E-2</v>
      </c>
      <c r="O286" s="14">
        <v>9.2999999999999999E-2</v>
      </c>
      <c r="P286" s="15" t="s">
        <v>35</v>
      </c>
      <c r="Q286" s="16" t="s">
        <v>1763</v>
      </c>
      <c r="R286" s="17" t="s">
        <v>35</v>
      </c>
      <c r="S286" s="17" t="s">
        <v>1764</v>
      </c>
      <c r="T286" s="17" t="s">
        <v>1765</v>
      </c>
      <c r="U286" s="17" t="s">
        <v>1766</v>
      </c>
      <c r="V286" s="17" t="s">
        <v>1767</v>
      </c>
      <c r="W286" s="17" t="s">
        <v>1768</v>
      </c>
      <c r="X286" s="17" t="s">
        <v>1769</v>
      </c>
      <c r="Y286" s="17" t="s">
        <v>1770</v>
      </c>
      <c r="Z286" s="17" t="s">
        <v>35</v>
      </c>
      <c r="AA286" s="17" t="s">
        <v>35</v>
      </c>
      <c r="AB286" s="17" t="s">
        <v>35</v>
      </c>
      <c r="AC286" s="17" t="s">
        <v>9539</v>
      </c>
      <c r="AD286" s="41">
        <v>15.37</v>
      </c>
      <c r="AE286" s="41">
        <v>16.170000000000002</v>
      </c>
      <c r="AF286" s="48"/>
      <c r="AG286" s="44"/>
      <c r="AH286" s="7">
        <f t="shared" si="4"/>
        <v>0</v>
      </c>
      <c r="AI286" s="18"/>
      <c r="AJ286" s="18"/>
      <c r="AL286" s="18"/>
    </row>
    <row r="287" spans="1:38" ht="26.65" customHeight="1" x14ac:dyDescent="0.25">
      <c r="A287" s="10" t="s">
        <v>1771</v>
      </c>
      <c r="B287" s="9" t="s">
        <v>47</v>
      </c>
      <c r="C287" s="9" t="s">
        <v>43</v>
      </c>
      <c r="D287" s="9" t="s">
        <v>67</v>
      </c>
      <c r="E287" s="9" t="s">
        <v>35</v>
      </c>
      <c r="F287" s="9" t="s">
        <v>36</v>
      </c>
      <c r="G287" s="9">
        <v>6</v>
      </c>
      <c r="H287" s="9">
        <v>84219999</v>
      </c>
      <c r="I287" s="11" t="s">
        <v>37</v>
      </c>
      <c r="J287" s="12">
        <v>1.6500000000000001E-2</v>
      </c>
      <c r="K287" s="12">
        <v>7.5999999999999998E-2</v>
      </c>
      <c r="L287" s="12">
        <v>5.1999999999999998E-2</v>
      </c>
      <c r="M287" s="13">
        <v>8003453067110</v>
      </c>
      <c r="N287" s="14">
        <v>5.0999999999999997E-2</v>
      </c>
      <c r="O287" s="14">
        <v>7.3999999999999996E-2</v>
      </c>
      <c r="P287" s="15" t="s">
        <v>35</v>
      </c>
      <c r="Q287" s="16" t="s">
        <v>1772</v>
      </c>
      <c r="R287" s="17" t="s">
        <v>35</v>
      </c>
      <c r="S287" s="17" t="s">
        <v>1773</v>
      </c>
      <c r="T287" s="17" t="s">
        <v>1774</v>
      </c>
      <c r="U287" s="17" t="s">
        <v>1703</v>
      </c>
      <c r="V287" s="17" t="s">
        <v>1775</v>
      </c>
      <c r="W287" s="17" t="s">
        <v>1776</v>
      </c>
      <c r="X287" s="17" t="s">
        <v>1777</v>
      </c>
      <c r="Y287" s="17" t="s">
        <v>1778</v>
      </c>
      <c r="Z287" s="17" t="s">
        <v>1779</v>
      </c>
      <c r="AA287" s="17" t="s">
        <v>35</v>
      </c>
      <c r="AB287" s="17" t="s">
        <v>1706</v>
      </c>
      <c r="AC287" s="17" t="s">
        <v>9539</v>
      </c>
      <c r="AD287" s="42">
        <v>10.119999999999999</v>
      </c>
      <c r="AE287" s="42">
        <v>10.65</v>
      </c>
      <c r="AF287" s="48"/>
      <c r="AG287" s="44"/>
      <c r="AH287" s="7">
        <f t="shared" si="4"/>
        <v>0</v>
      </c>
      <c r="AI287" s="18"/>
      <c r="AJ287" s="18"/>
    </row>
    <row r="288" spans="1:38" ht="26.65" customHeight="1" x14ac:dyDescent="0.25">
      <c r="A288" s="10" t="s">
        <v>1780</v>
      </c>
      <c r="B288" s="9" t="s">
        <v>47</v>
      </c>
      <c r="C288" s="9" t="s">
        <v>43</v>
      </c>
      <c r="D288" s="9" t="s">
        <v>67</v>
      </c>
      <c r="E288" s="9" t="s">
        <v>35</v>
      </c>
      <c r="F288" s="9" t="s">
        <v>36</v>
      </c>
      <c r="G288" s="9">
        <v>6</v>
      </c>
      <c r="H288" s="9">
        <v>84219999</v>
      </c>
      <c r="I288" s="11" t="s">
        <v>37</v>
      </c>
      <c r="J288" s="12">
        <v>1.6500000000000001E-2</v>
      </c>
      <c r="K288" s="12">
        <v>7.5999999999999998E-2</v>
      </c>
      <c r="L288" s="12">
        <v>5.1999999999999998E-2</v>
      </c>
      <c r="M288" s="13">
        <v>8003453067127</v>
      </c>
      <c r="N288" s="14">
        <v>3.2000000000000001E-2</v>
      </c>
      <c r="O288" s="14">
        <v>0.05</v>
      </c>
      <c r="P288" s="15" t="s">
        <v>35</v>
      </c>
      <c r="Q288" s="16" t="s">
        <v>1781</v>
      </c>
      <c r="R288" s="17" t="s">
        <v>35</v>
      </c>
      <c r="S288" s="17" t="s">
        <v>1782</v>
      </c>
      <c r="T288" s="17" t="s">
        <v>1783</v>
      </c>
      <c r="U288" s="17" t="s">
        <v>1784</v>
      </c>
      <c r="V288" s="17" t="s">
        <v>1785</v>
      </c>
      <c r="W288" s="17" t="s">
        <v>1786</v>
      </c>
      <c r="X288" s="17" t="s">
        <v>1787</v>
      </c>
      <c r="Y288" s="17" t="s">
        <v>1788</v>
      </c>
      <c r="Z288" s="17" t="s">
        <v>35</v>
      </c>
      <c r="AA288" s="17" t="s">
        <v>35</v>
      </c>
      <c r="AB288" s="17" t="s">
        <v>35</v>
      </c>
      <c r="AC288" s="17" t="s">
        <v>9539</v>
      </c>
      <c r="AD288" s="42">
        <v>11.74</v>
      </c>
      <c r="AE288" s="42">
        <v>12.35</v>
      </c>
      <c r="AF288" s="48"/>
      <c r="AG288" s="44"/>
      <c r="AH288" s="7">
        <f t="shared" si="4"/>
        <v>0</v>
      </c>
      <c r="AI288" s="18"/>
      <c r="AJ288" s="18"/>
    </row>
    <row r="289" spans="1:38" ht="26.65" customHeight="1" x14ac:dyDescent="0.25">
      <c r="A289" s="10" t="s">
        <v>1789</v>
      </c>
      <c r="B289" s="9" t="s">
        <v>47</v>
      </c>
      <c r="C289" s="9" t="s">
        <v>58</v>
      </c>
      <c r="D289" s="9" t="s">
        <v>67</v>
      </c>
      <c r="E289" s="9" t="s">
        <v>35</v>
      </c>
      <c r="F289" s="9" t="s">
        <v>36</v>
      </c>
      <c r="G289" s="9">
        <v>6</v>
      </c>
      <c r="H289" s="9">
        <v>84219999</v>
      </c>
      <c r="I289" s="11" t="s">
        <v>37</v>
      </c>
      <c r="J289" s="12">
        <v>1.6500000000000001E-2</v>
      </c>
      <c r="K289" s="12">
        <v>7.5999999999999998E-2</v>
      </c>
      <c r="L289" s="12">
        <v>5.1999999999999998E-2</v>
      </c>
      <c r="M289" s="13">
        <v>8003453067158</v>
      </c>
      <c r="N289" s="14">
        <v>0.22900000000000001</v>
      </c>
      <c r="O289" s="14">
        <v>0.26700000000000002</v>
      </c>
      <c r="P289" s="15">
        <v>44896</v>
      </c>
      <c r="Q289" s="16" t="s">
        <v>1790</v>
      </c>
      <c r="R289" s="17" t="s">
        <v>1791</v>
      </c>
      <c r="S289" s="17" t="s">
        <v>1792</v>
      </c>
      <c r="T289" s="17" t="s">
        <v>1793</v>
      </c>
      <c r="U289" s="17" t="s">
        <v>35</v>
      </c>
      <c r="V289" s="17" t="s">
        <v>35</v>
      </c>
      <c r="W289" s="17" t="s">
        <v>35</v>
      </c>
      <c r="X289" s="17" t="s">
        <v>35</v>
      </c>
      <c r="Y289" s="17" t="s">
        <v>35</v>
      </c>
      <c r="Z289" s="17" t="s">
        <v>1794</v>
      </c>
      <c r="AA289" s="17" t="s">
        <v>35</v>
      </c>
      <c r="AB289" s="17" t="s">
        <v>1795</v>
      </c>
      <c r="AC289" s="17" t="s">
        <v>9539</v>
      </c>
      <c r="AD289" s="42">
        <v>37.479999999999997</v>
      </c>
      <c r="AE289" s="42">
        <v>39.43</v>
      </c>
      <c r="AF289" s="48"/>
      <c r="AG289" s="44"/>
      <c r="AH289" s="7">
        <f t="shared" si="4"/>
        <v>0</v>
      </c>
      <c r="AI289" s="18"/>
      <c r="AJ289" s="18"/>
    </row>
    <row r="290" spans="1:38" ht="26.65" customHeight="1" x14ac:dyDescent="0.25">
      <c r="A290" s="10" t="s">
        <v>1796</v>
      </c>
      <c r="B290" s="9" t="s">
        <v>47</v>
      </c>
      <c r="C290" s="9" t="s">
        <v>43</v>
      </c>
      <c r="D290" s="9" t="s">
        <v>67</v>
      </c>
      <c r="E290" s="9" t="s">
        <v>35</v>
      </c>
      <c r="F290" s="9" t="s">
        <v>36</v>
      </c>
      <c r="G290" s="9">
        <v>6</v>
      </c>
      <c r="H290" s="9">
        <v>84219999</v>
      </c>
      <c r="I290" s="11" t="s">
        <v>37</v>
      </c>
      <c r="J290" s="12">
        <v>1.6500000000000001E-2</v>
      </c>
      <c r="K290" s="12">
        <v>7.5999999999999998E-2</v>
      </c>
      <c r="L290" s="12">
        <v>5.1999999999999998E-2</v>
      </c>
      <c r="M290" s="13">
        <v>8003453067172</v>
      </c>
      <c r="N290" s="14">
        <v>0.06</v>
      </c>
      <c r="O290" s="14">
        <v>8.3000000000000004E-2</v>
      </c>
      <c r="P290" s="15" t="s">
        <v>35</v>
      </c>
      <c r="Q290" s="16" t="s">
        <v>1797</v>
      </c>
      <c r="R290" s="17" t="s">
        <v>35</v>
      </c>
      <c r="S290" s="17" t="s">
        <v>1798</v>
      </c>
      <c r="T290" s="17" t="s">
        <v>1799</v>
      </c>
      <c r="U290" s="17" t="s">
        <v>35</v>
      </c>
      <c r="V290" s="17" t="s">
        <v>1800</v>
      </c>
      <c r="W290" s="17" t="s">
        <v>1801</v>
      </c>
      <c r="X290" s="17" t="s">
        <v>1802</v>
      </c>
      <c r="Y290" s="17" t="s">
        <v>1803</v>
      </c>
      <c r="Z290" s="17" t="s">
        <v>35</v>
      </c>
      <c r="AA290" s="17" t="s">
        <v>35</v>
      </c>
      <c r="AB290" s="17" t="s">
        <v>35</v>
      </c>
      <c r="AC290" s="17" t="s">
        <v>9539</v>
      </c>
      <c r="AD290" s="42">
        <v>16.62</v>
      </c>
      <c r="AE290" s="42">
        <v>17.48</v>
      </c>
      <c r="AF290" s="48"/>
      <c r="AG290" s="44"/>
      <c r="AH290" s="7">
        <f t="shared" si="4"/>
        <v>0</v>
      </c>
      <c r="AI290" s="18"/>
      <c r="AJ290" s="18"/>
    </row>
    <row r="291" spans="1:38" ht="26.65" customHeight="1" x14ac:dyDescent="0.25">
      <c r="A291" s="10" t="s">
        <v>1804</v>
      </c>
      <c r="B291" s="9" t="s">
        <v>47</v>
      </c>
      <c r="C291" s="9" t="s">
        <v>43</v>
      </c>
      <c r="D291" s="9" t="s">
        <v>67</v>
      </c>
      <c r="E291" s="9" t="s">
        <v>35</v>
      </c>
      <c r="F291" s="9" t="s">
        <v>36</v>
      </c>
      <c r="G291" s="9">
        <v>6</v>
      </c>
      <c r="H291" s="9">
        <v>84219999</v>
      </c>
      <c r="I291" s="11" t="s">
        <v>37</v>
      </c>
      <c r="J291" s="12">
        <v>1.6500000000000001E-2</v>
      </c>
      <c r="K291" s="12">
        <v>7.5999999999999998E-2</v>
      </c>
      <c r="L291" s="12">
        <v>5.1999999999999998E-2</v>
      </c>
      <c r="M291" s="13">
        <v>8003453067202</v>
      </c>
      <c r="N291" s="14">
        <v>2.7E-2</v>
      </c>
      <c r="O291" s="14">
        <v>4.4999999999999998E-2</v>
      </c>
      <c r="P291" s="15" t="s">
        <v>35</v>
      </c>
      <c r="Q291" s="16" t="s">
        <v>1805</v>
      </c>
      <c r="R291" s="17" t="s">
        <v>35</v>
      </c>
      <c r="S291" s="17" t="s">
        <v>1806</v>
      </c>
      <c r="T291" s="17" t="s">
        <v>1807</v>
      </c>
      <c r="U291" s="17" t="s">
        <v>1808</v>
      </c>
      <c r="V291" s="17" t="s">
        <v>1809</v>
      </c>
      <c r="W291" s="17" t="s">
        <v>1810</v>
      </c>
      <c r="X291" s="17" t="s">
        <v>1811</v>
      </c>
      <c r="Y291" s="17" t="s">
        <v>1812</v>
      </c>
      <c r="Z291" s="17" t="s">
        <v>35</v>
      </c>
      <c r="AA291" s="17" t="s">
        <v>35</v>
      </c>
      <c r="AB291" s="17" t="s">
        <v>35</v>
      </c>
      <c r="AC291" s="17" t="s">
        <v>9539</v>
      </c>
      <c r="AD291" s="42">
        <v>12.18</v>
      </c>
      <c r="AE291" s="42">
        <v>12.81</v>
      </c>
      <c r="AF291" s="48"/>
      <c r="AG291" s="44"/>
      <c r="AH291" s="7">
        <f t="shared" si="4"/>
        <v>0</v>
      </c>
      <c r="AI291" s="18"/>
      <c r="AJ291" s="18"/>
    </row>
    <row r="292" spans="1:38" ht="26.65" customHeight="1" x14ac:dyDescent="0.25">
      <c r="A292" s="10" t="s">
        <v>1813</v>
      </c>
      <c r="B292" s="9" t="s">
        <v>47</v>
      </c>
      <c r="C292" s="9" t="s">
        <v>43</v>
      </c>
      <c r="D292" s="9" t="s">
        <v>67</v>
      </c>
      <c r="E292" s="9" t="s">
        <v>35</v>
      </c>
      <c r="F292" s="9" t="s">
        <v>36</v>
      </c>
      <c r="G292" s="9">
        <v>6</v>
      </c>
      <c r="H292" s="9">
        <v>84219999</v>
      </c>
      <c r="I292" s="11" t="s">
        <v>37</v>
      </c>
      <c r="J292" s="12">
        <v>1.6500000000000001E-2</v>
      </c>
      <c r="K292" s="12">
        <v>7.5999999999999998E-2</v>
      </c>
      <c r="L292" s="12">
        <v>5.1999999999999998E-2</v>
      </c>
      <c r="M292" s="13">
        <v>8003453067226</v>
      </c>
      <c r="N292" s="14">
        <v>6.5000000000000002E-2</v>
      </c>
      <c r="O292" s="14">
        <v>0.08</v>
      </c>
      <c r="P292" s="15" t="s">
        <v>35</v>
      </c>
      <c r="Q292" s="16" t="s">
        <v>1814</v>
      </c>
      <c r="R292" s="17" t="s">
        <v>35</v>
      </c>
      <c r="S292" s="17" t="s">
        <v>1815</v>
      </c>
      <c r="T292" s="17" t="s">
        <v>1816</v>
      </c>
      <c r="U292" s="17" t="s">
        <v>1817</v>
      </c>
      <c r="V292" s="17" t="s">
        <v>35</v>
      </c>
      <c r="W292" s="17" t="s">
        <v>35</v>
      </c>
      <c r="X292" s="17" t="s">
        <v>1818</v>
      </c>
      <c r="Y292" s="17" t="s">
        <v>1819</v>
      </c>
      <c r="Z292" s="17" t="s">
        <v>35</v>
      </c>
      <c r="AA292" s="17" t="s">
        <v>35</v>
      </c>
      <c r="AB292" s="17" t="s">
        <v>35</v>
      </c>
      <c r="AC292" s="17" t="s">
        <v>9539</v>
      </c>
      <c r="AD292" s="41">
        <v>10.27</v>
      </c>
      <c r="AE292" s="41">
        <v>10.8</v>
      </c>
      <c r="AF292" s="48"/>
      <c r="AG292" s="44"/>
      <c r="AH292" s="7">
        <f t="shared" si="4"/>
        <v>0</v>
      </c>
      <c r="AI292" s="18"/>
      <c r="AJ292" s="18"/>
      <c r="AL292" s="18"/>
    </row>
    <row r="293" spans="1:38" ht="26.65" customHeight="1" x14ac:dyDescent="0.25">
      <c r="A293" s="10" t="s">
        <v>1820</v>
      </c>
      <c r="B293" s="9" t="s">
        <v>47</v>
      </c>
      <c r="C293" s="9" t="s">
        <v>43</v>
      </c>
      <c r="D293" s="9" t="s">
        <v>67</v>
      </c>
      <c r="E293" s="9" t="s">
        <v>35</v>
      </c>
      <c r="F293" s="9" t="s">
        <v>36</v>
      </c>
      <c r="G293" s="9">
        <v>6</v>
      </c>
      <c r="H293" s="9">
        <v>84219999</v>
      </c>
      <c r="I293" s="11" t="s">
        <v>37</v>
      </c>
      <c r="J293" s="12">
        <v>1.6500000000000001E-2</v>
      </c>
      <c r="K293" s="12">
        <v>7.5999999999999998E-2</v>
      </c>
      <c r="L293" s="12">
        <v>5.1999999999999998E-2</v>
      </c>
      <c r="M293" s="13">
        <v>8003453067233</v>
      </c>
      <c r="N293" s="14">
        <v>3.3000000000000002E-2</v>
      </c>
      <c r="O293" s="14">
        <v>5.3999999999999999E-2</v>
      </c>
      <c r="P293" s="15" t="s">
        <v>35</v>
      </c>
      <c r="Q293" s="16" t="s">
        <v>1821</v>
      </c>
      <c r="R293" s="17" t="s">
        <v>35</v>
      </c>
      <c r="S293" s="17" t="s">
        <v>1822</v>
      </c>
      <c r="T293" s="17" t="s">
        <v>1823</v>
      </c>
      <c r="U293" s="17" t="s">
        <v>1824</v>
      </c>
      <c r="V293" s="17" t="s">
        <v>1825</v>
      </c>
      <c r="W293" s="17" t="s">
        <v>1826</v>
      </c>
      <c r="X293" s="17" t="s">
        <v>1827</v>
      </c>
      <c r="Y293" s="17" t="s">
        <v>1828</v>
      </c>
      <c r="Z293" s="17" t="s">
        <v>35</v>
      </c>
      <c r="AA293" s="17" t="s">
        <v>35</v>
      </c>
      <c r="AB293" s="17" t="s">
        <v>35</v>
      </c>
      <c r="AC293" s="17" t="s">
        <v>9539</v>
      </c>
      <c r="AD293" s="42">
        <v>13.85</v>
      </c>
      <c r="AE293" s="42">
        <v>14.57</v>
      </c>
      <c r="AF293" s="48"/>
      <c r="AG293" s="44"/>
      <c r="AH293" s="7">
        <f t="shared" si="4"/>
        <v>0</v>
      </c>
      <c r="AI293" s="18"/>
      <c r="AJ293" s="18"/>
    </row>
    <row r="294" spans="1:38" ht="26.65" customHeight="1" x14ac:dyDescent="0.25">
      <c r="A294" s="10" t="s">
        <v>1829</v>
      </c>
      <c r="B294" s="9" t="s">
        <v>47</v>
      </c>
      <c r="C294" s="9" t="s">
        <v>34</v>
      </c>
      <c r="D294" s="9" t="s">
        <v>67</v>
      </c>
      <c r="E294" s="9" t="s">
        <v>35</v>
      </c>
      <c r="F294" s="9" t="s">
        <v>36</v>
      </c>
      <c r="G294" s="9">
        <v>6</v>
      </c>
      <c r="H294" s="9">
        <v>84219999</v>
      </c>
      <c r="I294" s="11" t="s">
        <v>37</v>
      </c>
      <c r="J294" s="12">
        <v>1.6500000000000001E-2</v>
      </c>
      <c r="K294" s="12">
        <v>7.5999999999999998E-2</v>
      </c>
      <c r="L294" s="12">
        <v>5.1999999999999998E-2</v>
      </c>
      <c r="M294" s="13">
        <v>8003453067264</v>
      </c>
      <c r="N294" s="14">
        <v>5.5E-2</v>
      </c>
      <c r="O294" s="14">
        <v>7.8E-2</v>
      </c>
      <c r="P294" s="15">
        <v>45139</v>
      </c>
      <c r="Q294" s="16" t="s">
        <v>1830</v>
      </c>
      <c r="R294" s="17" t="s">
        <v>1831</v>
      </c>
      <c r="S294" s="17" t="s">
        <v>1832</v>
      </c>
      <c r="T294" s="17" t="s">
        <v>1833</v>
      </c>
      <c r="U294" s="17" t="s">
        <v>35</v>
      </c>
      <c r="V294" s="17" t="s">
        <v>35</v>
      </c>
      <c r="W294" s="17" t="s">
        <v>35</v>
      </c>
      <c r="X294" s="17" t="s">
        <v>1834</v>
      </c>
      <c r="Y294" s="17" t="s">
        <v>35</v>
      </c>
      <c r="Z294" s="17" t="s">
        <v>35</v>
      </c>
      <c r="AA294" s="17" t="s">
        <v>35</v>
      </c>
      <c r="AB294" s="17" t="s">
        <v>35</v>
      </c>
      <c r="AC294" s="17" t="s">
        <v>9539</v>
      </c>
      <c r="AD294" s="42">
        <v>30.26</v>
      </c>
      <c r="AE294" s="42">
        <v>31.83</v>
      </c>
      <c r="AF294" s="48"/>
      <c r="AG294" s="44"/>
      <c r="AH294" s="7">
        <f t="shared" si="4"/>
        <v>0</v>
      </c>
      <c r="AI294" s="18"/>
      <c r="AJ294" s="18"/>
    </row>
    <row r="295" spans="1:38" ht="26.65" customHeight="1" x14ac:dyDescent="0.25">
      <c r="A295" s="10" t="s">
        <v>1835</v>
      </c>
      <c r="B295" s="9" t="s">
        <v>47</v>
      </c>
      <c r="C295" s="9" t="s">
        <v>43</v>
      </c>
      <c r="D295" s="9" t="s">
        <v>67</v>
      </c>
      <c r="E295" s="9" t="s">
        <v>35</v>
      </c>
      <c r="F295" s="9" t="s">
        <v>36</v>
      </c>
      <c r="G295" s="9">
        <v>6</v>
      </c>
      <c r="H295" s="9">
        <v>84219999</v>
      </c>
      <c r="I295" s="11" t="s">
        <v>37</v>
      </c>
      <c r="J295" s="12">
        <v>1.6500000000000001E-2</v>
      </c>
      <c r="K295" s="12">
        <v>7.5999999999999998E-2</v>
      </c>
      <c r="L295" s="12">
        <v>5.1999999999999998E-2</v>
      </c>
      <c r="M295" s="13">
        <v>8003453067271</v>
      </c>
      <c r="N295" s="14">
        <v>0.05</v>
      </c>
      <c r="O295" s="14">
        <v>6.5000000000000002E-2</v>
      </c>
      <c r="P295" s="15" t="s">
        <v>35</v>
      </c>
      <c r="Q295" s="16" t="s">
        <v>1836</v>
      </c>
      <c r="R295" s="17" t="s">
        <v>35</v>
      </c>
      <c r="S295" s="17" t="s">
        <v>1837</v>
      </c>
      <c r="T295" s="17" t="s">
        <v>1838</v>
      </c>
      <c r="U295" s="17" t="s">
        <v>1839</v>
      </c>
      <c r="V295" s="17" t="s">
        <v>1840</v>
      </c>
      <c r="W295" s="17" t="s">
        <v>1841</v>
      </c>
      <c r="X295" s="17" t="s">
        <v>1842</v>
      </c>
      <c r="Y295" s="17" t="s">
        <v>1843</v>
      </c>
      <c r="Z295" s="17" t="s">
        <v>35</v>
      </c>
      <c r="AA295" s="17" t="s">
        <v>35</v>
      </c>
      <c r="AB295" s="17" t="s">
        <v>35</v>
      </c>
      <c r="AC295" s="17" t="s">
        <v>9539</v>
      </c>
      <c r="AD295" s="41">
        <v>16.260000000000002</v>
      </c>
      <c r="AE295" s="41">
        <v>17.11</v>
      </c>
      <c r="AF295" s="48"/>
      <c r="AG295" s="44"/>
      <c r="AH295" s="7">
        <f t="shared" si="4"/>
        <v>0</v>
      </c>
      <c r="AI295" s="18"/>
      <c r="AJ295" s="18"/>
      <c r="AL295" s="18"/>
    </row>
    <row r="296" spans="1:38" ht="26.65" customHeight="1" x14ac:dyDescent="0.25">
      <c r="A296" s="10" t="s">
        <v>1844</v>
      </c>
      <c r="B296" s="9" t="s">
        <v>47</v>
      </c>
      <c r="C296" s="9" t="s">
        <v>43</v>
      </c>
      <c r="D296" s="9" t="s">
        <v>48</v>
      </c>
      <c r="E296" s="9" t="s">
        <v>35</v>
      </c>
      <c r="F296" s="9" t="s">
        <v>36</v>
      </c>
      <c r="G296" s="9">
        <v>6</v>
      </c>
      <c r="H296" s="9">
        <v>84219999</v>
      </c>
      <c r="I296" s="11" t="s">
        <v>37</v>
      </c>
      <c r="J296" s="12">
        <v>1.6500000000000001E-2</v>
      </c>
      <c r="K296" s="12">
        <v>7.5999999999999998E-2</v>
      </c>
      <c r="L296" s="12">
        <v>5.1999999999999998E-2</v>
      </c>
      <c r="M296" s="13">
        <v>8003453067295</v>
      </c>
      <c r="N296" s="14">
        <v>0.05</v>
      </c>
      <c r="O296" s="14">
        <v>7.0999999999999994E-2</v>
      </c>
      <c r="P296" s="15" t="s">
        <v>35</v>
      </c>
      <c r="Q296" s="16" t="s">
        <v>1845</v>
      </c>
      <c r="R296" s="17" t="s">
        <v>35</v>
      </c>
      <c r="S296" s="17" t="s">
        <v>1846</v>
      </c>
      <c r="T296" s="17" t="s">
        <v>1847</v>
      </c>
      <c r="U296" s="17" t="s">
        <v>35</v>
      </c>
      <c r="V296" s="17" t="s">
        <v>35</v>
      </c>
      <c r="W296" s="17" t="s">
        <v>35</v>
      </c>
      <c r="X296" s="17" t="s">
        <v>1744</v>
      </c>
      <c r="Y296" s="17" t="s">
        <v>1848</v>
      </c>
      <c r="Z296" s="17" t="s">
        <v>35</v>
      </c>
      <c r="AA296" s="17" t="s">
        <v>35</v>
      </c>
      <c r="AB296" s="17" t="s">
        <v>35</v>
      </c>
      <c r="AC296" s="17" t="s">
        <v>9539</v>
      </c>
      <c r="AD296" s="41">
        <v>13.77</v>
      </c>
      <c r="AE296" s="41">
        <v>14.49</v>
      </c>
      <c r="AF296" s="48"/>
      <c r="AG296" s="44"/>
      <c r="AH296" s="7">
        <f t="shared" si="4"/>
        <v>0</v>
      </c>
      <c r="AI296" s="18"/>
      <c r="AJ296" s="18"/>
      <c r="AL296" s="18"/>
    </row>
    <row r="297" spans="1:38" ht="26.65" customHeight="1" x14ac:dyDescent="0.25">
      <c r="A297" s="10" t="s">
        <v>1849</v>
      </c>
      <c r="B297" s="9" t="s">
        <v>47</v>
      </c>
      <c r="C297" s="9" t="s">
        <v>43</v>
      </c>
      <c r="D297" s="9" t="s">
        <v>67</v>
      </c>
      <c r="E297" s="9" t="s">
        <v>35</v>
      </c>
      <c r="F297" s="9" t="s">
        <v>36</v>
      </c>
      <c r="G297" s="9">
        <v>6</v>
      </c>
      <c r="H297" s="9">
        <v>84219999</v>
      </c>
      <c r="I297" s="11" t="s">
        <v>37</v>
      </c>
      <c r="J297" s="12">
        <v>1.6500000000000001E-2</v>
      </c>
      <c r="K297" s="12">
        <v>7.5999999999999998E-2</v>
      </c>
      <c r="L297" s="12">
        <v>5.1999999999999998E-2</v>
      </c>
      <c r="M297" s="13">
        <v>8003453067301</v>
      </c>
      <c r="N297" s="14">
        <v>4.2000000000000003E-2</v>
      </c>
      <c r="O297" s="14">
        <v>6.8000000000000005E-2</v>
      </c>
      <c r="P297" s="15" t="s">
        <v>35</v>
      </c>
      <c r="Q297" s="16" t="s">
        <v>1850</v>
      </c>
      <c r="R297" s="17" t="s">
        <v>35</v>
      </c>
      <c r="S297" s="17" t="s">
        <v>1851</v>
      </c>
      <c r="T297" s="17" t="s">
        <v>1852</v>
      </c>
      <c r="U297" s="17" t="s">
        <v>1853</v>
      </c>
      <c r="V297" s="17" t="s">
        <v>1854</v>
      </c>
      <c r="W297" s="17" t="s">
        <v>1855</v>
      </c>
      <c r="X297" s="17" t="s">
        <v>1856</v>
      </c>
      <c r="Y297" s="17" t="s">
        <v>1857</v>
      </c>
      <c r="Z297" s="17" t="s">
        <v>35</v>
      </c>
      <c r="AA297" s="17" t="s">
        <v>35</v>
      </c>
      <c r="AB297" s="17" t="s">
        <v>35</v>
      </c>
      <c r="AC297" s="17" t="s">
        <v>9539</v>
      </c>
      <c r="AD297" s="42">
        <v>13.66</v>
      </c>
      <c r="AE297" s="42">
        <v>14.37</v>
      </c>
      <c r="AF297" s="48"/>
      <c r="AG297" s="44"/>
      <c r="AH297" s="7">
        <f t="shared" si="4"/>
        <v>0</v>
      </c>
      <c r="AI297" s="18"/>
      <c r="AJ297" s="18"/>
    </row>
    <row r="298" spans="1:38" ht="26.65" customHeight="1" x14ac:dyDescent="0.25">
      <c r="A298" s="10" t="s">
        <v>1858</v>
      </c>
      <c r="B298" s="9" t="s">
        <v>47</v>
      </c>
      <c r="C298" s="9" t="s">
        <v>43</v>
      </c>
      <c r="D298" s="9" t="s">
        <v>67</v>
      </c>
      <c r="E298" s="9" t="s">
        <v>35</v>
      </c>
      <c r="F298" s="9" t="s">
        <v>36</v>
      </c>
      <c r="G298" s="9">
        <v>6</v>
      </c>
      <c r="H298" s="9">
        <v>84219999</v>
      </c>
      <c r="I298" s="11" t="s">
        <v>37</v>
      </c>
      <c r="J298" s="12">
        <v>1.6500000000000001E-2</v>
      </c>
      <c r="K298" s="12">
        <v>7.5999999999999998E-2</v>
      </c>
      <c r="L298" s="12">
        <v>5.1999999999999998E-2</v>
      </c>
      <c r="M298" s="13">
        <v>8003453067318</v>
      </c>
      <c r="N298" s="14">
        <v>9.4E-2</v>
      </c>
      <c r="O298" s="14">
        <v>0.11899999999999999</v>
      </c>
      <c r="P298" s="15" t="s">
        <v>35</v>
      </c>
      <c r="Q298" s="16" t="s">
        <v>1859</v>
      </c>
      <c r="R298" s="17" t="s">
        <v>35</v>
      </c>
      <c r="S298" s="17" t="s">
        <v>1860</v>
      </c>
      <c r="T298" s="17" t="s">
        <v>1861</v>
      </c>
      <c r="U298" s="17" t="s">
        <v>1862</v>
      </c>
      <c r="V298" s="17" t="s">
        <v>1863</v>
      </c>
      <c r="W298" s="17" t="s">
        <v>1864</v>
      </c>
      <c r="X298" s="17" t="s">
        <v>1865</v>
      </c>
      <c r="Y298" s="17" t="s">
        <v>1866</v>
      </c>
      <c r="Z298" s="17" t="s">
        <v>35</v>
      </c>
      <c r="AA298" s="17" t="s">
        <v>35</v>
      </c>
      <c r="AB298" s="17" t="s">
        <v>35</v>
      </c>
      <c r="AC298" s="17" t="s">
        <v>9539</v>
      </c>
      <c r="AD298" s="42">
        <v>22.91</v>
      </c>
      <c r="AE298" s="42">
        <v>24.1</v>
      </c>
      <c r="AF298" s="48"/>
      <c r="AG298" s="44"/>
      <c r="AH298" s="7">
        <f t="shared" si="4"/>
        <v>0</v>
      </c>
      <c r="AI298" s="18"/>
      <c r="AJ298" s="18"/>
    </row>
    <row r="299" spans="1:38" ht="26.65" customHeight="1" x14ac:dyDescent="0.25">
      <c r="A299" s="10" t="s">
        <v>1867</v>
      </c>
      <c r="B299" s="9" t="s">
        <v>47</v>
      </c>
      <c r="C299" s="9" t="s">
        <v>43</v>
      </c>
      <c r="D299" s="9" t="s">
        <v>67</v>
      </c>
      <c r="E299" s="9" t="s">
        <v>35</v>
      </c>
      <c r="F299" s="9" t="s">
        <v>36</v>
      </c>
      <c r="G299" s="9">
        <v>6</v>
      </c>
      <c r="H299" s="9">
        <v>84219999</v>
      </c>
      <c r="I299" s="11" t="s">
        <v>37</v>
      </c>
      <c r="J299" s="12">
        <v>1.6500000000000001E-2</v>
      </c>
      <c r="K299" s="12">
        <v>7.5999999999999998E-2</v>
      </c>
      <c r="L299" s="12">
        <v>5.1999999999999998E-2</v>
      </c>
      <c r="M299" s="13">
        <v>8003453067325</v>
      </c>
      <c r="N299" s="14">
        <v>5.7000000000000002E-2</v>
      </c>
      <c r="O299" s="14">
        <v>7.0000000000000007E-2</v>
      </c>
      <c r="P299" s="15" t="s">
        <v>35</v>
      </c>
      <c r="Q299" s="16" t="s">
        <v>1868</v>
      </c>
      <c r="R299" s="17" t="s">
        <v>1869</v>
      </c>
      <c r="S299" s="17" t="s">
        <v>1870</v>
      </c>
      <c r="T299" s="17" t="s">
        <v>1871</v>
      </c>
      <c r="U299" s="17" t="s">
        <v>1872</v>
      </c>
      <c r="V299" s="17" t="s">
        <v>1873</v>
      </c>
      <c r="W299" s="17" t="s">
        <v>1874</v>
      </c>
      <c r="X299" s="17" t="s">
        <v>1875</v>
      </c>
      <c r="Y299" s="17" t="s">
        <v>1876</v>
      </c>
      <c r="Z299" s="17" t="s">
        <v>35</v>
      </c>
      <c r="AA299" s="17" t="s">
        <v>35</v>
      </c>
      <c r="AB299" s="17" t="s">
        <v>35</v>
      </c>
      <c r="AC299" s="17" t="s">
        <v>9539</v>
      </c>
      <c r="AD299" s="41">
        <v>10.92</v>
      </c>
      <c r="AE299" s="41">
        <v>11.49</v>
      </c>
      <c r="AF299" s="48"/>
      <c r="AG299" s="44"/>
      <c r="AH299" s="7">
        <f t="shared" si="4"/>
        <v>0</v>
      </c>
      <c r="AI299" s="18"/>
      <c r="AJ299" s="18"/>
      <c r="AL299" s="18"/>
    </row>
    <row r="300" spans="1:38" ht="26.65" customHeight="1" x14ac:dyDescent="0.25">
      <c r="A300" s="10" t="s">
        <v>1877</v>
      </c>
      <c r="B300" s="9" t="s">
        <v>47</v>
      </c>
      <c r="C300" s="9" t="s">
        <v>58</v>
      </c>
      <c r="D300" s="9" t="s">
        <v>67</v>
      </c>
      <c r="E300" s="9" t="s">
        <v>35</v>
      </c>
      <c r="F300" s="9" t="s">
        <v>36</v>
      </c>
      <c r="G300" s="9">
        <v>6</v>
      </c>
      <c r="H300" s="9">
        <v>84219999</v>
      </c>
      <c r="I300" s="11" t="s">
        <v>37</v>
      </c>
      <c r="J300" s="12">
        <v>1.6500000000000001E-2</v>
      </c>
      <c r="K300" s="12">
        <v>7.5999999999999998E-2</v>
      </c>
      <c r="L300" s="12">
        <v>5.1999999999999998E-2</v>
      </c>
      <c r="M300" s="13">
        <v>8003453067356</v>
      </c>
      <c r="N300" s="14">
        <v>0.13500000000000001</v>
      </c>
      <c r="O300" s="14">
        <v>0.17</v>
      </c>
      <c r="P300" s="15" t="s">
        <v>35</v>
      </c>
      <c r="Q300" s="16" t="s">
        <v>1878</v>
      </c>
      <c r="R300" s="17" t="s">
        <v>1879</v>
      </c>
      <c r="S300" s="17" t="s">
        <v>1880</v>
      </c>
      <c r="T300" s="17" t="s">
        <v>1881</v>
      </c>
      <c r="U300" s="17" t="s">
        <v>1882</v>
      </c>
      <c r="V300" s="17" t="s">
        <v>1883</v>
      </c>
      <c r="W300" s="17" t="s">
        <v>1884</v>
      </c>
      <c r="X300" s="17" t="s">
        <v>1885</v>
      </c>
      <c r="Y300" s="17" t="s">
        <v>1886</v>
      </c>
      <c r="Z300" s="17" t="s">
        <v>1887</v>
      </c>
      <c r="AA300" s="17" t="s">
        <v>35</v>
      </c>
      <c r="AB300" s="17" t="s">
        <v>1888</v>
      </c>
      <c r="AC300" s="17" t="s">
        <v>9539</v>
      </c>
      <c r="AD300" s="42">
        <v>17.47</v>
      </c>
      <c r="AE300" s="42">
        <v>18.38</v>
      </c>
      <c r="AF300" s="48"/>
      <c r="AG300" s="44"/>
      <c r="AH300" s="7">
        <f t="shared" si="4"/>
        <v>0</v>
      </c>
      <c r="AI300" s="18"/>
      <c r="AJ300" s="18"/>
    </row>
    <row r="301" spans="1:38" ht="26.65" customHeight="1" x14ac:dyDescent="0.25">
      <c r="A301" s="10" t="s">
        <v>1889</v>
      </c>
      <c r="B301" s="9" t="s">
        <v>47</v>
      </c>
      <c r="C301" s="9" t="s">
        <v>43</v>
      </c>
      <c r="D301" s="9" t="s">
        <v>67</v>
      </c>
      <c r="E301" s="9" t="s">
        <v>35</v>
      </c>
      <c r="F301" s="9" t="s">
        <v>36</v>
      </c>
      <c r="G301" s="9">
        <v>6</v>
      </c>
      <c r="H301" s="9">
        <v>84219999</v>
      </c>
      <c r="I301" s="11" t="s">
        <v>37</v>
      </c>
      <c r="J301" s="12">
        <v>1.6500000000000001E-2</v>
      </c>
      <c r="K301" s="12">
        <v>7.5999999999999998E-2</v>
      </c>
      <c r="L301" s="12">
        <v>5.1999999999999998E-2</v>
      </c>
      <c r="M301" s="13">
        <v>8003453067394</v>
      </c>
      <c r="N301" s="14">
        <v>0.1</v>
      </c>
      <c r="O301" s="14">
        <v>0.85</v>
      </c>
      <c r="P301" s="15" t="s">
        <v>35</v>
      </c>
      <c r="Q301" s="16" t="s">
        <v>1890</v>
      </c>
      <c r="R301" s="17" t="s">
        <v>35</v>
      </c>
      <c r="S301" s="17" t="s">
        <v>1891</v>
      </c>
      <c r="T301" s="17" t="s">
        <v>1892</v>
      </c>
      <c r="U301" s="17" t="s">
        <v>35</v>
      </c>
      <c r="V301" s="17" t="s">
        <v>1893</v>
      </c>
      <c r="W301" s="17" t="s">
        <v>1894</v>
      </c>
      <c r="X301" s="17" t="s">
        <v>1895</v>
      </c>
      <c r="Y301" s="17" t="s">
        <v>1896</v>
      </c>
      <c r="Z301" s="17" t="s">
        <v>35</v>
      </c>
      <c r="AA301" s="17" t="s">
        <v>35</v>
      </c>
      <c r="AB301" s="17" t="s">
        <v>35</v>
      </c>
      <c r="AC301" s="17" t="s">
        <v>9539</v>
      </c>
      <c r="AD301" s="42">
        <v>21.11</v>
      </c>
      <c r="AE301" s="42">
        <v>22.21</v>
      </c>
      <c r="AF301" s="48"/>
      <c r="AG301" s="44"/>
      <c r="AH301" s="7">
        <f t="shared" si="4"/>
        <v>0</v>
      </c>
      <c r="AI301" s="18"/>
      <c r="AJ301" s="18"/>
    </row>
    <row r="302" spans="1:38" ht="26.65" customHeight="1" x14ac:dyDescent="0.25">
      <c r="A302" s="10" t="s">
        <v>1897</v>
      </c>
      <c r="B302" s="9" t="s">
        <v>47</v>
      </c>
      <c r="C302" s="9" t="s">
        <v>43</v>
      </c>
      <c r="D302" s="9" t="s">
        <v>67</v>
      </c>
      <c r="E302" s="9" t="s">
        <v>35</v>
      </c>
      <c r="F302" s="9" t="s">
        <v>36</v>
      </c>
      <c r="G302" s="9">
        <v>6</v>
      </c>
      <c r="H302" s="9">
        <v>84219999</v>
      </c>
      <c r="I302" s="11" t="s">
        <v>37</v>
      </c>
      <c r="J302" s="12">
        <v>1.6500000000000001E-2</v>
      </c>
      <c r="K302" s="12">
        <v>7.5999999999999998E-2</v>
      </c>
      <c r="L302" s="12">
        <v>5.1999999999999998E-2</v>
      </c>
      <c r="M302" s="13">
        <v>8003453067400</v>
      </c>
      <c r="N302" s="14">
        <v>5.3999999999999999E-2</v>
      </c>
      <c r="O302" s="14">
        <v>0.08</v>
      </c>
      <c r="P302" s="15" t="s">
        <v>35</v>
      </c>
      <c r="Q302" s="16" t="s">
        <v>1898</v>
      </c>
      <c r="R302" s="17" t="s">
        <v>35</v>
      </c>
      <c r="S302" s="17" t="s">
        <v>1899</v>
      </c>
      <c r="T302" s="17" t="s">
        <v>1900</v>
      </c>
      <c r="U302" s="17" t="s">
        <v>1901</v>
      </c>
      <c r="V302" s="17" t="s">
        <v>1902</v>
      </c>
      <c r="W302" s="17" t="s">
        <v>1903</v>
      </c>
      <c r="X302" s="17" t="s">
        <v>1904</v>
      </c>
      <c r="Y302" s="17" t="s">
        <v>1905</v>
      </c>
      <c r="Z302" s="17" t="s">
        <v>35</v>
      </c>
      <c r="AA302" s="17" t="s">
        <v>35</v>
      </c>
      <c r="AB302" s="17" t="s">
        <v>35</v>
      </c>
      <c r="AC302" s="17" t="s">
        <v>9539</v>
      </c>
      <c r="AD302" s="42">
        <v>13.88</v>
      </c>
      <c r="AE302" s="42">
        <v>14.6</v>
      </c>
      <c r="AF302" s="48"/>
      <c r="AG302" s="44"/>
      <c r="AH302" s="7">
        <f t="shared" si="4"/>
        <v>0</v>
      </c>
      <c r="AI302" s="18"/>
      <c r="AJ302" s="18"/>
    </row>
    <row r="303" spans="1:38" ht="26.65" customHeight="1" x14ac:dyDescent="0.25">
      <c r="A303" s="10" t="s">
        <v>1906</v>
      </c>
      <c r="B303" s="9" t="s">
        <v>47</v>
      </c>
      <c r="C303" s="9" t="s">
        <v>58</v>
      </c>
      <c r="D303" s="9" t="s">
        <v>48</v>
      </c>
      <c r="E303" s="9" t="s">
        <v>35</v>
      </c>
      <c r="F303" s="9" t="s">
        <v>36</v>
      </c>
      <c r="G303" s="9">
        <v>6</v>
      </c>
      <c r="H303" s="9">
        <v>84219999</v>
      </c>
      <c r="I303" s="11" t="s">
        <v>37</v>
      </c>
      <c r="J303" s="12">
        <v>1.6500000000000001E-2</v>
      </c>
      <c r="K303" s="12">
        <v>7.5999999999999998E-2</v>
      </c>
      <c r="L303" s="12">
        <v>5.1999999999999998E-2</v>
      </c>
      <c r="M303" s="13">
        <v>8003453067417</v>
      </c>
      <c r="N303" s="14">
        <v>0.05</v>
      </c>
      <c r="O303" s="14">
        <v>0.08</v>
      </c>
      <c r="P303" s="15" t="s">
        <v>35</v>
      </c>
      <c r="Q303" s="16" t="s">
        <v>1907</v>
      </c>
      <c r="R303" s="17" t="s">
        <v>1908</v>
      </c>
      <c r="S303" s="17" t="s">
        <v>1909</v>
      </c>
      <c r="T303" s="17" t="s">
        <v>1910</v>
      </c>
      <c r="U303" s="17" t="s">
        <v>1911</v>
      </c>
      <c r="V303" s="17" t="s">
        <v>1912</v>
      </c>
      <c r="W303" s="17" t="s">
        <v>1913</v>
      </c>
      <c r="X303" s="17" t="s">
        <v>1914</v>
      </c>
      <c r="Y303" s="17" t="s">
        <v>1915</v>
      </c>
      <c r="Z303" s="17" t="s">
        <v>35</v>
      </c>
      <c r="AA303" s="17" t="s">
        <v>35</v>
      </c>
      <c r="AB303" s="17" t="s">
        <v>35</v>
      </c>
      <c r="AC303" s="17" t="s">
        <v>9539</v>
      </c>
      <c r="AD303" s="42">
        <v>16.57</v>
      </c>
      <c r="AE303" s="42">
        <v>17.43</v>
      </c>
      <c r="AF303" s="48"/>
      <c r="AG303" s="44"/>
      <c r="AH303" s="7">
        <f t="shared" si="4"/>
        <v>0</v>
      </c>
      <c r="AI303" s="18"/>
      <c r="AJ303" s="18"/>
    </row>
    <row r="304" spans="1:38" ht="26.65" customHeight="1" x14ac:dyDescent="0.25">
      <c r="A304" s="10" t="s">
        <v>1916</v>
      </c>
      <c r="B304" s="9" t="s">
        <v>47</v>
      </c>
      <c r="C304" s="9" t="s">
        <v>43</v>
      </c>
      <c r="D304" s="9" t="s">
        <v>67</v>
      </c>
      <c r="E304" s="9" t="s">
        <v>35</v>
      </c>
      <c r="F304" s="9" t="s">
        <v>36</v>
      </c>
      <c r="G304" s="9">
        <v>6</v>
      </c>
      <c r="H304" s="9">
        <v>84219999</v>
      </c>
      <c r="I304" s="11" t="s">
        <v>37</v>
      </c>
      <c r="J304" s="12">
        <v>1.6500000000000001E-2</v>
      </c>
      <c r="K304" s="12">
        <v>7.5999999999999998E-2</v>
      </c>
      <c r="L304" s="12">
        <v>5.1999999999999998E-2</v>
      </c>
      <c r="M304" s="13">
        <v>8003453067424</v>
      </c>
      <c r="N304" s="14">
        <v>5.8999999999999997E-2</v>
      </c>
      <c r="O304" s="14">
        <v>7.8E-2</v>
      </c>
      <c r="P304" s="15" t="s">
        <v>35</v>
      </c>
      <c r="Q304" s="16" t="s">
        <v>1917</v>
      </c>
      <c r="R304" s="17" t="s">
        <v>35</v>
      </c>
      <c r="S304" s="17" t="s">
        <v>1918</v>
      </c>
      <c r="T304" s="17" t="s">
        <v>1919</v>
      </c>
      <c r="U304" s="17" t="s">
        <v>1920</v>
      </c>
      <c r="V304" s="17" t="s">
        <v>1921</v>
      </c>
      <c r="W304" s="17" t="s">
        <v>1922</v>
      </c>
      <c r="X304" s="17" t="s">
        <v>1923</v>
      </c>
      <c r="Y304" s="17" t="s">
        <v>1924</v>
      </c>
      <c r="Z304" s="17" t="s">
        <v>35</v>
      </c>
      <c r="AA304" s="17" t="s">
        <v>35</v>
      </c>
      <c r="AB304" s="17" t="s">
        <v>35</v>
      </c>
      <c r="AC304" s="17" t="s">
        <v>9539</v>
      </c>
      <c r="AD304" s="42">
        <v>17.059999999999999</v>
      </c>
      <c r="AE304" s="42">
        <v>17.95</v>
      </c>
      <c r="AF304" s="48"/>
      <c r="AG304" s="44"/>
      <c r="AH304" s="7">
        <f t="shared" si="4"/>
        <v>0</v>
      </c>
      <c r="AI304" s="18"/>
      <c r="AJ304" s="18"/>
    </row>
    <row r="305" spans="1:38" ht="26.65" customHeight="1" x14ac:dyDescent="0.25">
      <c r="A305" s="10" t="s">
        <v>1925</v>
      </c>
      <c r="B305" s="9" t="s">
        <v>47</v>
      </c>
      <c r="C305" s="9" t="s">
        <v>58</v>
      </c>
      <c r="D305" s="9" t="s">
        <v>67</v>
      </c>
      <c r="E305" s="9" t="s">
        <v>35</v>
      </c>
      <c r="F305" s="9" t="s">
        <v>36</v>
      </c>
      <c r="G305" s="9">
        <v>6</v>
      </c>
      <c r="H305" s="9">
        <v>84219999</v>
      </c>
      <c r="I305" s="11" t="s">
        <v>37</v>
      </c>
      <c r="J305" s="12">
        <v>1.6500000000000001E-2</v>
      </c>
      <c r="K305" s="12">
        <v>7.5999999999999998E-2</v>
      </c>
      <c r="L305" s="12">
        <v>5.1999999999999998E-2</v>
      </c>
      <c r="M305" s="13">
        <v>8003453067493</v>
      </c>
      <c r="N305" s="14">
        <v>0.22700000000000001</v>
      </c>
      <c r="O305" s="14">
        <v>0.28199999999999997</v>
      </c>
      <c r="P305" s="15" t="s">
        <v>35</v>
      </c>
      <c r="Q305" s="16" t="s">
        <v>1926</v>
      </c>
      <c r="R305" s="17" t="s">
        <v>35</v>
      </c>
      <c r="S305" s="17" t="s">
        <v>1927</v>
      </c>
      <c r="T305" s="17" t="s">
        <v>1928</v>
      </c>
      <c r="U305" s="17" t="s">
        <v>1929</v>
      </c>
      <c r="V305" s="17" t="s">
        <v>1930</v>
      </c>
      <c r="W305" s="17" t="s">
        <v>35</v>
      </c>
      <c r="X305" s="17" t="s">
        <v>1931</v>
      </c>
      <c r="Y305" s="17" t="s">
        <v>1932</v>
      </c>
      <c r="Z305" s="17" t="s">
        <v>1933</v>
      </c>
      <c r="AA305" s="17" t="s">
        <v>35</v>
      </c>
      <c r="AB305" s="17" t="s">
        <v>1934</v>
      </c>
      <c r="AC305" s="17" t="s">
        <v>9539</v>
      </c>
      <c r="AD305" s="42">
        <v>51.99</v>
      </c>
      <c r="AE305" s="42">
        <v>54.69</v>
      </c>
      <c r="AF305" s="48"/>
      <c r="AG305" s="44"/>
      <c r="AH305" s="7">
        <f t="shared" si="4"/>
        <v>0</v>
      </c>
      <c r="AI305" s="18"/>
      <c r="AJ305" s="18"/>
    </row>
    <row r="306" spans="1:38" ht="26.65" customHeight="1" x14ac:dyDescent="0.25">
      <c r="A306" s="10" t="s">
        <v>1935</v>
      </c>
      <c r="B306" s="9" t="s">
        <v>47</v>
      </c>
      <c r="C306" s="9" t="s">
        <v>43</v>
      </c>
      <c r="D306" s="9" t="s">
        <v>67</v>
      </c>
      <c r="E306" s="9" t="s">
        <v>35</v>
      </c>
      <c r="F306" s="9" t="s">
        <v>36</v>
      </c>
      <c r="G306" s="9">
        <v>6</v>
      </c>
      <c r="H306" s="9">
        <v>84219999</v>
      </c>
      <c r="I306" s="11" t="s">
        <v>37</v>
      </c>
      <c r="J306" s="12">
        <v>1.6500000000000001E-2</v>
      </c>
      <c r="K306" s="12">
        <v>7.5999999999999998E-2</v>
      </c>
      <c r="L306" s="12">
        <v>5.1999999999999998E-2</v>
      </c>
      <c r="M306" s="13">
        <v>8003453067509</v>
      </c>
      <c r="N306" s="14">
        <v>5.0999999999999997E-2</v>
      </c>
      <c r="O306" s="14">
        <v>7.0999999999999994E-2</v>
      </c>
      <c r="P306" s="15" t="s">
        <v>35</v>
      </c>
      <c r="Q306" s="16" t="s">
        <v>1936</v>
      </c>
      <c r="R306" s="17" t="s">
        <v>35</v>
      </c>
      <c r="S306" s="17" t="s">
        <v>1937</v>
      </c>
      <c r="T306" s="17" t="s">
        <v>1938</v>
      </c>
      <c r="U306" s="17" t="s">
        <v>35</v>
      </c>
      <c r="V306" s="17" t="s">
        <v>1939</v>
      </c>
      <c r="W306" s="17" t="s">
        <v>1940</v>
      </c>
      <c r="X306" s="17" t="s">
        <v>1941</v>
      </c>
      <c r="Y306" s="17" t="s">
        <v>1942</v>
      </c>
      <c r="Z306" s="17" t="s">
        <v>35</v>
      </c>
      <c r="AA306" s="17" t="s">
        <v>35</v>
      </c>
      <c r="AB306" s="17" t="s">
        <v>35</v>
      </c>
      <c r="AC306" s="17" t="s">
        <v>9539</v>
      </c>
      <c r="AD306" s="41">
        <v>15.4</v>
      </c>
      <c r="AE306" s="41">
        <v>16.2</v>
      </c>
      <c r="AF306" s="48"/>
      <c r="AG306" s="44"/>
      <c r="AH306" s="7">
        <f t="shared" si="4"/>
        <v>0</v>
      </c>
      <c r="AI306" s="18"/>
      <c r="AJ306" s="18"/>
      <c r="AL306" s="18"/>
    </row>
    <row r="307" spans="1:38" ht="26.65" customHeight="1" x14ac:dyDescent="0.25">
      <c r="A307" s="38" t="s">
        <v>1943</v>
      </c>
      <c r="B307" s="9" t="s">
        <v>47</v>
      </c>
      <c r="C307" s="9" t="s">
        <v>34</v>
      </c>
      <c r="D307" s="9" t="s">
        <v>67</v>
      </c>
      <c r="E307" s="9" t="s">
        <v>122</v>
      </c>
      <c r="F307" s="9" t="s">
        <v>36</v>
      </c>
      <c r="G307" s="9">
        <v>6</v>
      </c>
      <c r="H307" s="9">
        <v>84219999</v>
      </c>
      <c r="I307" s="11" t="s">
        <v>37</v>
      </c>
      <c r="J307" s="12">
        <v>1.6500000000000001E-2</v>
      </c>
      <c r="K307" s="12">
        <v>7.5999999999999998E-2</v>
      </c>
      <c r="L307" s="12">
        <v>5.1999999999999998E-2</v>
      </c>
      <c r="M307" s="13">
        <v>8003453067745</v>
      </c>
      <c r="N307" s="14">
        <v>0.19500000000000001</v>
      </c>
      <c r="O307" s="14">
        <v>0.35</v>
      </c>
      <c r="P307" s="15" t="s">
        <v>35</v>
      </c>
      <c r="Q307" s="16" t="s">
        <v>1944</v>
      </c>
      <c r="R307" s="17" t="s">
        <v>1945</v>
      </c>
      <c r="S307" s="17" t="s">
        <v>1946</v>
      </c>
      <c r="T307" s="17" t="s">
        <v>1947</v>
      </c>
      <c r="U307" s="17" t="s">
        <v>35</v>
      </c>
      <c r="V307" s="17" t="s">
        <v>1948</v>
      </c>
      <c r="W307" s="17" t="s">
        <v>1949</v>
      </c>
      <c r="X307" s="17" t="s">
        <v>35</v>
      </c>
      <c r="Y307" s="17" t="s">
        <v>1950</v>
      </c>
      <c r="Z307" s="17" t="s">
        <v>1951</v>
      </c>
      <c r="AA307" s="17" t="s">
        <v>35</v>
      </c>
      <c r="AB307" s="17" t="s">
        <v>35</v>
      </c>
      <c r="AC307" s="17" t="s">
        <v>9538</v>
      </c>
      <c r="AD307" s="41">
        <v>109.87</v>
      </c>
      <c r="AE307" s="41">
        <v>115.58</v>
      </c>
      <c r="AF307" s="48"/>
      <c r="AG307" s="44"/>
      <c r="AH307" s="7">
        <f t="shared" si="4"/>
        <v>0</v>
      </c>
      <c r="AI307" s="18"/>
      <c r="AJ307" s="18"/>
      <c r="AL307" s="18"/>
    </row>
    <row r="308" spans="1:38" ht="26.65" customHeight="1" x14ac:dyDescent="0.25">
      <c r="A308" s="10" t="s">
        <v>1952</v>
      </c>
      <c r="B308" s="9" t="s">
        <v>47</v>
      </c>
      <c r="C308" s="9" t="s">
        <v>43</v>
      </c>
      <c r="D308" s="9" t="s">
        <v>67</v>
      </c>
      <c r="E308" s="9" t="s">
        <v>35</v>
      </c>
      <c r="F308" s="9" t="s">
        <v>36</v>
      </c>
      <c r="G308" s="9">
        <v>6</v>
      </c>
      <c r="H308" s="9">
        <v>84219999</v>
      </c>
      <c r="I308" s="11" t="s">
        <v>37</v>
      </c>
      <c r="J308" s="12">
        <v>1.6500000000000001E-2</v>
      </c>
      <c r="K308" s="12">
        <v>7.5999999999999998E-2</v>
      </c>
      <c r="L308" s="12">
        <v>5.1999999999999998E-2</v>
      </c>
      <c r="M308" s="13">
        <v>8003453067523</v>
      </c>
      <c r="N308" s="14">
        <v>0.05</v>
      </c>
      <c r="O308" s="14">
        <v>7.4999999999999997E-2</v>
      </c>
      <c r="P308" s="15" t="s">
        <v>35</v>
      </c>
      <c r="Q308" s="16" t="s">
        <v>1953</v>
      </c>
      <c r="R308" s="17" t="s">
        <v>35</v>
      </c>
      <c r="S308" s="17" t="s">
        <v>1954</v>
      </c>
      <c r="T308" s="17" t="s">
        <v>1955</v>
      </c>
      <c r="U308" s="17" t="s">
        <v>35</v>
      </c>
      <c r="V308" s="17" t="s">
        <v>1956</v>
      </c>
      <c r="W308" s="17" t="s">
        <v>35</v>
      </c>
      <c r="X308" s="17" t="s">
        <v>1957</v>
      </c>
      <c r="Y308" s="17" t="s">
        <v>1958</v>
      </c>
      <c r="Z308" s="17" t="s">
        <v>35</v>
      </c>
      <c r="AA308" s="17" t="s">
        <v>35</v>
      </c>
      <c r="AB308" s="17" t="s">
        <v>35</v>
      </c>
      <c r="AC308" s="17" t="s">
        <v>9539</v>
      </c>
      <c r="AD308" s="41">
        <v>14.22</v>
      </c>
      <c r="AE308" s="41">
        <v>14.96</v>
      </c>
      <c r="AF308" s="48"/>
      <c r="AG308" s="44"/>
      <c r="AH308" s="7">
        <f t="shared" si="4"/>
        <v>0</v>
      </c>
      <c r="AI308" s="18"/>
      <c r="AJ308" s="18"/>
      <c r="AL308" s="18"/>
    </row>
    <row r="309" spans="1:38" ht="26.65" customHeight="1" x14ac:dyDescent="0.25">
      <c r="A309" s="10" t="s">
        <v>1959</v>
      </c>
      <c r="B309" s="9" t="s">
        <v>47</v>
      </c>
      <c r="C309" s="9" t="s">
        <v>43</v>
      </c>
      <c r="D309" s="9" t="s">
        <v>67</v>
      </c>
      <c r="E309" s="9" t="s">
        <v>35</v>
      </c>
      <c r="F309" s="9" t="s">
        <v>36</v>
      </c>
      <c r="G309" s="9">
        <v>6</v>
      </c>
      <c r="H309" s="9">
        <v>84219999</v>
      </c>
      <c r="I309" s="11" t="s">
        <v>37</v>
      </c>
      <c r="J309" s="12">
        <v>1.6500000000000001E-2</v>
      </c>
      <c r="K309" s="12">
        <v>7.5999999999999998E-2</v>
      </c>
      <c r="L309" s="12">
        <v>5.1999999999999998E-2</v>
      </c>
      <c r="M309" s="13">
        <v>8003453067547</v>
      </c>
      <c r="N309" s="14">
        <v>5.2999999999999999E-2</v>
      </c>
      <c r="O309" s="14">
        <v>6.5000000000000002E-2</v>
      </c>
      <c r="P309" s="15" t="s">
        <v>35</v>
      </c>
      <c r="Q309" s="16" t="s">
        <v>1960</v>
      </c>
      <c r="R309" s="17" t="s">
        <v>35</v>
      </c>
      <c r="S309" s="17" t="s">
        <v>1961</v>
      </c>
      <c r="T309" s="17" t="s">
        <v>1962</v>
      </c>
      <c r="U309" s="17" t="s">
        <v>1963</v>
      </c>
      <c r="V309" s="17" t="s">
        <v>1964</v>
      </c>
      <c r="W309" s="17" t="s">
        <v>1965</v>
      </c>
      <c r="X309" s="17" t="s">
        <v>1966</v>
      </c>
      <c r="Y309" s="17" t="s">
        <v>1967</v>
      </c>
      <c r="Z309" s="17" t="s">
        <v>35</v>
      </c>
      <c r="AA309" s="17" t="s">
        <v>35</v>
      </c>
      <c r="AB309" s="17" t="s">
        <v>35</v>
      </c>
      <c r="AC309" s="17" t="s">
        <v>9539</v>
      </c>
      <c r="AD309" s="41">
        <v>11.42</v>
      </c>
      <c r="AE309" s="41">
        <v>12.01</v>
      </c>
      <c r="AF309" s="48"/>
      <c r="AG309" s="44"/>
      <c r="AH309" s="7">
        <f t="shared" si="4"/>
        <v>0</v>
      </c>
      <c r="AI309" s="18"/>
      <c r="AJ309" s="18"/>
      <c r="AL309" s="18"/>
    </row>
    <row r="310" spans="1:38" ht="26.65" customHeight="1" x14ac:dyDescent="0.25">
      <c r="A310" s="10" t="s">
        <v>1968</v>
      </c>
      <c r="B310" s="9" t="s">
        <v>47</v>
      </c>
      <c r="C310" s="9" t="s">
        <v>43</v>
      </c>
      <c r="D310" s="9" t="s">
        <v>67</v>
      </c>
      <c r="E310" s="9" t="s">
        <v>35</v>
      </c>
      <c r="F310" s="9" t="s">
        <v>36</v>
      </c>
      <c r="G310" s="9">
        <v>6</v>
      </c>
      <c r="H310" s="9">
        <v>84219999</v>
      </c>
      <c r="I310" s="11" t="s">
        <v>37</v>
      </c>
      <c r="J310" s="12">
        <v>1.6500000000000001E-2</v>
      </c>
      <c r="K310" s="12">
        <v>7.5999999999999998E-2</v>
      </c>
      <c r="L310" s="12">
        <v>5.1999999999999998E-2</v>
      </c>
      <c r="M310" s="13">
        <v>8003453067561</v>
      </c>
      <c r="N310" s="14">
        <v>4.1000000000000002E-2</v>
      </c>
      <c r="O310" s="14">
        <v>5.0999999999999997E-2</v>
      </c>
      <c r="P310" s="15" t="s">
        <v>35</v>
      </c>
      <c r="Q310" s="16" t="s">
        <v>1969</v>
      </c>
      <c r="R310" s="17" t="s">
        <v>35</v>
      </c>
      <c r="S310" s="17" t="s">
        <v>1970</v>
      </c>
      <c r="T310" s="17" t="s">
        <v>1971</v>
      </c>
      <c r="U310" s="17" t="s">
        <v>1972</v>
      </c>
      <c r="V310" s="17" t="s">
        <v>35</v>
      </c>
      <c r="W310" s="17" t="s">
        <v>35</v>
      </c>
      <c r="X310" s="17" t="s">
        <v>1973</v>
      </c>
      <c r="Y310" s="17" t="s">
        <v>1974</v>
      </c>
      <c r="Z310" s="17" t="s">
        <v>35</v>
      </c>
      <c r="AA310" s="17" t="s">
        <v>35</v>
      </c>
      <c r="AB310" s="17" t="s">
        <v>35</v>
      </c>
      <c r="AC310" s="17" t="s">
        <v>9539</v>
      </c>
      <c r="AD310" s="42">
        <v>19.04</v>
      </c>
      <c r="AE310" s="42">
        <v>20.03</v>
      </c>
      <c r="AF310" s="48"/>
      <c r="AG310" s="44"/>
      <c r="AH310" s="7">
        <f t="shared" si="4"/>
        <v>0</v>
      </c>
      <c r="AI310" s="18"/>
      <c r="AJ310" s="18"/>
    </row>
    <row r="311" spans="1:38" ht="26.65" customHeight="1" x14ac:dyDescent="0.25">
      <c r="A311" s="10" t="s">
        <v>1975</v>
      </c>
      <c r="B311" s="9" t="s">
        <v>47</v>
      </c>
      <c r="C311" s="9" t="s">
        <v>43</v>
      </c>
      <c r="D311" s="9" t="s">
        <v>48</v>
      </c>
      <c r="E311" s="9" t="s">
        <v>35</v>
      </c>
      <c r="F311" s="9" t="s">
        <v>36</v>
      </c>
      <c r="G311" s="9">
        <v>6</v>
      </c>
      <c r="H311" s="9">
        <v>84219999</v>
      </c>
      <c r="I311" s="11" t="s">
        <v>37</v>
      </c>
      <c r="J311" s="12">
        <v>1.6500000000000001E-2</v>
      </c>
      <c r="K311" s="12">
        <v>7.5999999999999998E-2</v>
      </c>
      <c r="L311" s="12">
        <v>5.1999999999999998E-2</v>
      </c>
      <c r="M311" s="13">
        <v>8003453067578</v>
      </c>
      <c r="N311" s="14">
        <v>5.1999999999999998E-2</v>
      </c>
      <c r="O311" s="14">
        <v>0.09</v>
      </c>
      <c r="P311" s="15">
        <v>45200</v>
      </c>
      <c r="Q311" s="16" t="s">
        <v>1976</v>
      </c>
      <c r="R311" s="17" t="s">
        <v>1977</v>
      </c>
      <c r="S311" s="17" t="s">
        <v>1978</v>
      </c>
      <c r="T311" s="17" t="s">
        <v>1979</v>
      </c>
      <c r="U311" s="17" t="s">
        <v>1980</v>
      </c>
      <c r="V311" s="17" t="s">
        <v>1981</v>
      </c>
      <c r="W311" s="17" t="s">
        <v>1982</v>
      </c>
      <c r="X311" s="17" t="s">
        <v>1983</v>
      </c>
      <c r="Y311" s="17" t="s">
        <v>1984</v>
      </c>
      <c r="Z311" s="17" t="s">
        <v>1985</v>
      </c>
      <c r="AA311" s="17" t="s">
        <v>35</v>
      </c>
      <c r="AB311" s="17" t="s">
        <v>1986</v>
      </c>
      <c r="AC311" s="17" t="s">
        <v>9539</v>
      </c>
      <c r="AD311" s="42">
        <v>51.58</v>
      </c>
      <c r="AE311" s="42">
        <v>54.26</v>
      </c>
      <c r="AF311" s="48"/>
      <c r="AG311" s="44"/>
      <c r="AH311" s="7">
        <f t="shared" si="4"/>
        <v>0</v>
      </c>
      <c r="AI311" s="18"/>
      <c r="AJ311" s="18"/>
    </row>
    <row r="312" spans="1:38" ht="26.65" customHeight="1" x14ac:dyDescent="0.25">
      <c r="A312" s="10" t="s">
        <v>1987</v>
      </c>
      <c r="B312" s="9" t="s">
        <v>47</v>
      </c>
      <c r="C312" s="9" t="s">
        <v>43</v>
      </c>
      <c r="D312" s="9" t="s">
        <v>67</v>
      </c>
      <c r="E312" s="9" t="s">
        <v>35</v>
      </c>
      <c r="F312" s="9" t="s">
        <v>36</v>
      </c>
      <c r="G312" s="9">
        <v>6</v>
      </c>
      <c r="H312" s="9">
        <v>84219999</v>
      </c>
      <c r="I312" s="11" t="s">
        <v>37</v>
      </c>
      <c r="J312" s="12">
        <v>1.6500000000000001E-2</v>
      </c>
      <c r="K312" s="12">
        <v>7.5999999999999998E-2</v>
      </c>
      <c r="L312" s="12">
        <v>5.1999999999999998E-2</v>
      </c>
      <c r="M312" s="13">
        <v>8003453067844</v>
      </c>
      <c r="N312" s="14">
        <v>5.2999999999999999E-2</v>
      </c>
      <c r="O312" s="14">
        <v>7.3999999999999996E-2</v>
      </c>
      <c r="P312" s="15" t="s">
        <v>35</v>
      </c>
      <c r="Q312" s="16" t="s">
        <v>1988</v>
      </c>
      <c r="R312" s="17" t="s">
        <v>1989</v>
      </c>
      <c r="S312" s="17" t="s">
        <v>1990</v>
      </c>
      <c r="T312" s="17" t="s">
        <v>1991</v>
      </c>
      <c r="U312" s="17" t="s">
        <v>1992</v>
      </c>
      <c r="V312" s="17" t="s">
        <v>1993</v>
      </c>
      <c r="W312" s="17" t="s">
        <v>1994</v>
      </c>
      <c r="X312" s="17" t="s">
        <v>1995</v>
      </c>
      <c r="Y312" s="17" t="s">
        <v>1996</v>
      </c>
      <c r="Z312" s="17" t="s">
        <v>35</v>
      </c>
      <c r="AA312" s="17" t="s">
        <v>35</v>
      </c>
      <c r="AB312" s="17" t="s">
        <v>35</v>
      </c>
      <c r="AC312" s="17" t="s">
        <v>9539</v>
      </c>
      <c r="AD312" s="42">
        <v>9.4700000000000006</v>
      </c>
      <c r="AE312" s="42">
        <v>9.9600000000000009</v>
      </c>
      <c r="AF312" s="48"/>
      <c r="AG312" s="44"/>
      <c r="AH312" s="7">
        <f t="shared" si="4"/>
        <v>0</v>
      </c>
      <c r="AI312" s="18"/>
      <c r="AJ312" s="18"/>
    </row>
    <row r="313" spans="1:38" ht="26.65" customHeight="1" x14ac:dyDescent="0.25">
      <c r="A313" s="10" t="s">
        <v>1997</v>
      </c>
      <c r="B313" s="9" t="s">
        <v>1998</v>
      </c>
      <c r="C313" s="9" t="s">
        <v>58</v>
      </c>
      <c r="D313" s="9" t="s">
        <v>67</v>
      </c>
      <c r="E313" s="9" t="s">
        <v>35</v>
      </c>
      <c r="F313" s="9" t="s">
        <v>36</v>
      </c>
      <c r="G313" s="9">
        <v>6</v>
      </c>
      <c r="H313" s="9">
        <v>84219999</v>
      </c>
      <c r="I313" s="11" t="s">
        <v>37</v>
      </c>
      <c r="J313" s="12">
        <v>1.6500000000000001E-2</v>
      </c>
      <c r="K313" s="12">
        <v>7.5999999999999998E-2</v>
      </c>
      <c r="L313" s="12">
        <v>5.1999999999999998E-2</v>
      </c>
      <c r="M313" s="13" t="s">
        <v>35</v>
      </c>
      <c r="N313" s="14" t="s">
        <v>35</v>
      </c>
      <c r="O313" s="14" t="s">
        <v>35</v>
      </c>
      <c r="P313" s="15">
        <v>45170</v>
      </c>
      <c r="Q313" s="16" t="s">
        <v>1999</v>
      </c>
      <c r="R313" s="17" t="s">
        <v>2000</v>
      </c>
      <c r="S313" s="17" t="s">
        <v>2001</v>
      </c>
      <c r="T313" s="17" t="s">
        <v>2002</v>
      </c>
      <c r="U313" s="17" t="s">
        <v>2003</v>
      </c>
      <c r="V313" s="17" t="s">
        <v>2004</v>
      </c>
      <c r="W313" s="17" t="s">
        <v>2005</v>
      </c>
      <c r="X313" s="17" t="s">
        <v>2006</v>
      </c>
      <c r="Y313" s="17" t="s">
        <v>2007</v>
      </c>
      <c r="Z313" s="17" t="s">
        <v>2008</v>
      </c>
      <c r="AA313" s="17" t="s">
        <v>2009</v>
      </c>
      <c r="AB313" s="17" t="s">
        <v>2010</v>
      </c>
      <c r="AC313" s="17" t="s">
        <v>9539</v>
      </c>
      <c r="AD313" s="42">
        <v>42.57</v>
      </c>
      <c r="AE313" s="42">
        <v>44.78</v>
      </c>
      <c r="AF313" s="48"/>
      <c r="AG313" s="44"/>
      <c r="AH313" s="7">
        <f t="shared" si="4"/>
        <v>0</v>
      </c>
      <c r="AI313" s="18"/>
      <c r="AJ313" s="18"/>
    </row>
    <row r="314" spans="1:38" ht="26.65" customHeight="1" x14ac:dyDescent="0.25">
      <c r="A314" s="10" t="s">
        <v>2011</v>
      </c>
      <c r="B314" s="9" t="s">
        <v>47</v>
      </c>
      <c r="C314" s="9" t="s">
        <v>43</v>
      </c>
      <c r="D314" s="9" t="s">
        <v>67</v>
      </c>
      <c r="E314" s="9" t="s">
        <v>35</v>
      </c>
      <c r="F314" s="9" t="s">
        <v>36</v>
      </c>
      <c r="G314" s="9">
        <v>6</v>
      </c>
      <c r="H314" s="9">
        <v>84219999</v>
      </c>
      <c r="I314" s="11" t="s">
        <v>37</v>
      </c>
      <c r="J314" s="12">
        <v>1.6500000000000001E-2</v>
      </c>
      <c r="K314" s="12">
        <v>7.5999999999999998E-2</v>
      </c>
      <c r="L314" s="12">
        <v>5.1999999999999998E-2</v>
      </c>
      <c r="M314" s="13">
        <v>8003453067592</v>
      </c>
      <c r="N314" s="14">
        <v>0.04</v>
      </c>
      <c r="O314" s="14">
        <v>5.8000000000000003E-2</v>
      </c>
      <c r="P314" s="15">
        <v>45597</v>
      </c>
      <c r="Q314" s="16" t="s">
        <v>2012</v>
      </c>
      <c r="R314" s="17" t="s">
        <v>35</v>
      </c>
      <c r="S314" s="17" t="s">
        <v>10545</v>
      </c>
      <c r="T314" s="17" t="s">
        <v>10546</v>
      </c>
      <c r="U314" s="17" t="s">
        <v>10547</v>
      </c>
      <c r="V314" s="17" t="s">
        <v>2013</v>
      </c>
      <c r="W314" s="17" t="s">
        <v>2014</v>
      </c>
      <c r="X314" s="17" t="s">
        <v>10548</v>
      </c>
      <c r="Y314" s="17" t="s">
        <v>2015</v>
      </c>
      <c r="Z314" s="17" t="s">
        <v>35</v>
      </c>
      <c r="AA314" s="17" t="s">
        <v>35</v>
      </c>
      <c r="AB314" s="17" t="s">
        <v>35</v>
      </c>
      <c r="AC314" s="17" t="s">
        <v>9539</v>
      </c>
      <c r="AD314" s="41">
        <v>15.84</v>
      </c>
      <c r="AE314" s="41">
        <v>16.66</v>
      </c>
      <c r="AF314" s="48"/>
      <c r="AG314" s="44"/>
      <c r="AH314" s="7">
        <f t="shared" si="4"/>
        <v>0</v>
      </c>
      <c r="AI314" s="18"/>
      <c r="AJ314" s="18"/>
    </row>
    <row r="315" spans="1:38" ht="26.65" customHeight="1" x14ac:dyDescent="0.25">
      <c r="A315" s="10" t="s">
        <v>2016</v>
      </c>
      <c r="B315" s="9" t="s">
        <v>47</v>
      </c>
      <c r="C315" s="9" t="s">
        <v>43</v>
      </c>
      <c r="D315" s="9" t="s">
        <v>67</v>
      </c>
      <c r="E315" s="9" t="s">
        <v>35</v>
      </c>
      <c r="F315" s="9" t="s">
        <v>36</v>
      </c>
      <c r="G315" s="9">
        <v>6</v>
      </c>
      <c r="H315" s="9">
        <v>84219999</v>
      </c>
      <c r="I315" s="11" t="s">
        <v>37</v>
      </c>
      <c r="J315" s="12">
        <v>1.6500000000000001E-2</v>
      </c>
      <c r="K315" s="12">
        <v>7.5999999999999998E-2</v>
      </c>
      <c r="L315" s="12">
        <v>5.1999999999999998E-2</v>
      </c>
      <c r="M315" s="13">
        <v>8003453067608</v>
      </c>
      <c r="N315" s="14">
        <v>0.04</v>
      </c>
      <c r="O315" s="14">
        <v>6.0999999999999999E-2</v>
      </c>
      <c r="P315" s="15" t="s">
        <v>35</v>
      </c>
      <c r="Q315" s="16" t="s">
        <v>2017</v>
      </c>
      <c r="R315" s="17" t="s">
        <v>2018</v>
      </c>
      <c r="S315" s="17" t="s">
        <v>2019</v>
      </c>
      <c r="T315" s="17" t="s">
        <v>2020</v>
      </c>
      <c r="U315" s="17" t="s">
        <v>2021</v>
      </c>
      <c r="V315" s="17" t="s">
        <v>2022</v>
      </c>
      <c r="W315" s="17" t="s">
        <v>2023</v>
      </c>
      <c r="X315" s="17" t="s">
        <v>2024</v>
      </c>
      <c r="Y315" s="17" t="s">
        <v>2025</v>
      </c>
      <c r="Z315" s="17" t="s">
        <v>35</v>
      </c>
      <c r="AA315" s="17" t="s">
        <v>35</v>
      </c>
      <c r="AB315" s="17" t="s">
        <v>35</v>
      </c>
      <c r="AC315" s="17" t="s">
        <v>9539</v>
      </c>
      <c r="AD315" s="42">
        <v>11.12</v>
      </c>
      <c r="AE315" s="42">
        <v>11.7</v>
      </c>
      <c r="AF315" s="48"/>
      <c r="AG315" s="44"/>
      <c r="AH315" s="7">
        <f t="shared" si="4"/>
        <v>0</v>
      </c>
      <c r="AI315" s="18"/>
      <c r="AJ315" s="18"/>
    </row>
    <row r="316" spans="1:38" ht="26.65" customHeight="1" x14ac:dyDescent="0.25">
      <c r="A316" s="10" t="s">
        <v>2026</v>
      </c>
      <c r="B316" s="9" t="s">
        <v>47</v>
      </c>
      <c r="C316" s="9" t="s">
        <v>43</v>
      </c>
      <c r="D316" s="9" t="s">
        <v>67</v>
      </c>
      <c r="E316" s="9" t="s">
        <v>35</v>
      </c>
      <c r="F316" s="9" t="s">
        <v>36</v>
      </c>
      <c r="G316" s="9">
        <v>6</v>
      </c>
      <c r="H316" s="9">
        <v>84219999</v>
      </c>
      <c r="I316" s="11" t="s">
        <v>37</v>
      </c>
      <c r="J316" s="12">
        <v>1.6500000000000001E-2</v>
      </c>
      <c r="K316" s="12">
        <v>7.5999999999999998E-2</v>
      </c>
      <c r="L316" s="12">
        <v>5.1999999999999998E-2</v>
      </c>
      <c r="M316" s="13">
        <v>8003453067622</v>
      </c>
      <c r="N316" s="14">
        <v>0.11700000000000001</v>
      </c>
      <c r="O316" s="14">
        <v>0.14199999999999999</v>
      </c>
      <c r="P316" s="15" t="s">
        <v>35</v>
      </c>
      <c r="Q316" s="16" t="s">
        <v>2027</v>
      </c>
      <c r="R316" s="17" t="s">
        <v>35</v>
      </c>
      <c r="S316" s="17" t="s">
        <v>2028</v>
      </c>
      <c r="T316" s="17" t="s">
        <v>2029</v>
      </c>
      <c r="U316" s="17" t="s">
        <v>35</v>
      </c>
      <c r="V316" s="17" t="s">
        <v>2030</v>
      </c>
      <c r="W316" s="17" t="s">
        <v>35</v>
      </c>
      <c r="X316" s="17" t="s">
        <v>2031</v>
      </c>
      <c r="Y316" s="17" t="s">
        <v>2032</v>
      </c>
      <c r="Z316" s="17" t="s">
        <v>35</v>
      </c>
      <c r="AA316" s="17" t="s">
        <v>35</v>
      </c>
      <c r="AB316" s="17" t="s">
        <v>35</v>
      </c>
      <c r="AC316" s="17" t="s">
        <v>9539</v>
      </c>
      <c r="AD316" s="42">
        <v>32.450000000000003</v>
      </c>
      <c r="AE316" s="42">
        <v>34.14</v>
      </c>
      <c r="AF316" s="48"/>
      <c r="AG316" s="44"/>
      <c r="AH316" s="7">
        <f t="shared" si="4"/>
        <v>0</v>
      </c>
      <c r="AI316" s="18"/>
      <c r="AJ316" s="18"/>
    </row>
    <row r="317" spans="1:38" ht="26.65" customHeight="1" x14ac:dyDescent="0.25">
      <c r="A317" s="10" t="s">
        <v>2033</v>
      </c>
      <c r="B317" s="9" t="s">
        <v>47</v>
      </c>
      <c r="C317" s="9" t="s">
        <v>43</v>
      </c>
      <c r="D317" s="9" t="s">
        <v>67</v>
      </c>
      <c r="E317" s="9" t="s">
        <v>35</v>
      </c>
      <c r="F317" s="9" t="s">
        <v>36</v>
      </c>
      <c r="G317" s="9">
        <v>6</v>
      </c>
      <c r="H317" s="9">
        <v>84219999</v>
      </c>
      <c r="I317" s="11" t="s">
        <v>37</v>
      </c>
      <c r="J317" s="12">
        <v>1.6500000000000001E-2</v>
      </c>
      <c r="K317" s="12">
        <v>7.5999999999999998E-2</v>
      </c>
      <c r="L317" s="12">
        <v>5.1999999999999998E-2</v>
      </c>
      <c r="M317" s="13">
        <v>8003453067653</v>
      </c>
      <c r="N317" s="14">
        <v>5.3999999999999999E-2</v>
      </c>
      <c r="O317" s="14">
        <v>6.4000000000000001E-2</v>
      </c>
      <c r="P317" s="15" t="s">
        <v>35</v>
      </c>
      <c r="Q317" s="16" t="s">
        <v>2034</v>
      </c>
      <c r="R317" s="17" t="s">
        <v>35</v>
      </c>
      <c r="S317" s="17" t="s">
        <v>2035</v>
      </c>
      <c r="T317" s="17" t="s">
        <v>2036</v>
      </c>
      <c r="U317" s="17" t="s">
        <v>2037</v>
      </c>
      <c r="V317" s="17" t="s">
        <v>35</v>
      </c>
      <c r="W317" s="17" t="s">
        <v>35</v>
      </c>
      <c r="X317" s="17" t="s">
        <v>2038</v>
      </c>
      <c r="Y317" s="17" t="s">
        <v>2039</v>
      </c>
      <c r="Z317" s="17" t="s">
        <v>35</v>
      </c>
      <c r="AA317" s="17" t="s">
        <v>35</v>
      </c>
      <c r="AB317" s="17" t="s">
        <v>35</v>
      </c>
      <c r="AC317" s="17" t="s">
        <v>9539</v>
      </c>
      <c r="AD317" s="42">
        <v>22.45</v>
      </c>
      <c r="AE317" s="42">
        <v>23.62</v>
      </c>
      <c r="AF317" s="48"/>
      <c r="AG317" s="44"/>
      <c r="AH317" s="7">
        <f t="shared" si="4"/>
        <v>0</v>
      </c>
      <c r="AI317" s="18"/>
      <c r="AJ317" s="18"/>
    </row>
    <row r="318" spans="1:38" ht="26.65" customHeight="1" x14ac:dyDescent="0.25">
      <c r="A318" s="10" t="s">
        <v>2040</v>
      </c>
      <c r="B318" s="9" t="s">
        <v>47</v>
      </c>
      <c r="C318" s="9" t="s">
        <v>43</v>
      </c>
      <c r="D318" s="9" t="s">
        <v>67</v>
      </c>
      <c r="E318" s="9" t="s">
        <v>122</v>
      </c>
      <c r="F318" s="9" t="s">
        <v>36</v>
      </c>
      <c r="G318" s="9">
        <v>6</v>
      </c>
      <c r="H318" s="9">
        <v>84219999</v>
      </c>
      <c r="I318" s="11" t="s">
        <v>37</v>
      </c>
      <c r="J318" s="12">
        <v>1.6500000000000001E-2</v>
      </c>
      <c r="K318" s="12">
        <v>7.5999999999999998E-2</v>
      </c>
      <c r="L318" s="12">
        <v>5.1999999999999998E-2</v>
      </c>
      <c r="M318" s="13">
        <v>8003453067936</v>
      </c>
      <c r="N318" s="14">
        <v>9.6000000000000002E-2</v>
      </c>
      <c r="O318" s="14">
        <v>0.13200000000000001</v>
      </c>
      <c r="P318" s="15" t="s">
        <v>35</v>
      </c>
      <c r="Q318" s="16" t="s">
        <v>2041</v>
      </c>
      <c r="R318" s="17" t="s">
        <v>2042</v>
      </c>
      <c r="S318" s="17" t="s">
        <v>2043</v>
      </c>
      <c r="T318" s="17" t="s">
        <v>2044</v>
      </c>
      <c r="U318" s="17" t="s">
        <v>2045</v>
      </c>
      <c r="V318" s="17" t="s">
        <v>2046</v>
      </c>
      <c r="W318" s="17" t="s">
        <v>2047</v>
      </c>
      <c r="X318" s="17" t="s">
        <v>2048</v>
      </c>
      <c r="Y318" s="17" t="s">
        <v>2049</v>
      </c>
      <c r="Z318" s="17" t="s">
        <v>35</v>
      </c>
      <c r="AA318" s="17" t="s">
        <v>35</v>
      </c>
      <c r="AB318" s="17" t="s">
        <v>35</v>
      </c>
      <c r="AC318" s="17" t="s">
        <v>9539</v>
      </c>
      <c r="AD318" s="42">
        <v>34.31</v>
      </c>
      <c r="AE318" s="42">
        <v>36.090000000000003</v>
      </c>
      <c r="AF318" s="48"/>
      <c r="AG318" s="44"/>
      <c r="AH318" s="7">
        <f t="shared" si="4"/>
        <v>0</v>
      </c>
      <c r="AI318" s="18"/>
      <c r="AJ318" s="18"/>
    </row>
    <row r="319" spans="1:38" ht="26.65" customHeight="1" x14ac:dyDescent="0.25">
      <c r="A319" s="10" t="s">
        <v>2050</v>
      </c>
      <c r="B319" s="9" t="s">
        <v>47</v>
      </c>
      <c r="C319" s="9" t="s">
        <v>43</v>
      </c>
      <c r="D319" s="9" t="s">
        <v>67</v>
      </c>
      <c r="E319" s="9" t="s">
        <v>35</v>
      </c>
      <c r="F319" s="9" t="s">
        <v>36</v>
      </c>
      <c r="G319" s="9">
        <v>6</v>
      </c>
      <c r="H319" s="9">
        <v>84219999</v>
      </c>
      <c r="I319" s="11" t="s">
        <v>37</v>
      </c>
      <c r="J319" s="12">
        <v>1.6500000000000001E-2</v>
      </c>
      <c r="K319" s="12">
        <v>7.5999999999999998E-2</v>
      </c>
      <c r="L319" s="12">
        <v>5.1999999999999998E-2</v>
      </c>
      <c r="M319" s="13">
        <v>8003453067714</v>
      </c>
      <c r="N319" s="14">
        <v>4.9000000000000002E-2</v>
      </c>
      <c r="O319" s="14">
        <v>7.2999999999999995E-2</v>
      </c>
      <c r="P319" s="15" t="s">
        <v>35</v>
      </c>
      <c r="Q319" s="16" t="s">
        <v>2051</v>
      </c>
      <c r="R319" s="17" t="s">
        <v>35</v>
      </c>
      <c r="S319" s="17" t="s">
        <v>2052</v>
      </c>
      <c r="T319" s="17" t="s">
        <v>2053</v>
      </c>
      <c r="U319" s="17" t="s">
        <v>35</v>
      </c>
      <c r="V319" s="17" t="s">
        <v>35</v>
      </c>
      <c r="W319" s="17" t="s">
        <v>35</v>
      </c>
      <c r="X319" s="17" t="s">
        <v>2054</v>
      </c>
      <c r="Y319" s="17" t="s">
        <v>2055</v>
      </c>
      <c r="Z319" s="17" t="s">
        <v>35</v>
      </c>
      <c r="AA319" s="17" t="s">
        <v>35</v>
      </c>
      <c r="AB319" s="17" t="s">
        <v>35</v>
      </c>
      <c r="AC319" s="17" t="s">
        <v>9539</v>
      </c>
      <c r="AD319" s="42">
        <v>30.8</v>
      </c>
      <c r="AE319" s="42">
        <v>32.4</v>
      </c>
      <c r="AF319" s="48"/>
      <c r="AG319" s="44"/>
      <c r="AH319" s="7">
        <f t="shared" si="4"/>
        <v>0</v>
      </c>
      <c r="AI319" s="18"/>
      <c r="AJ319" s="18"/>
    </row>
    <row r="320" spans="1:38" ht="26.65" customHeight="1" x14ac:dyDescent="0.25">
      <c r="A320" s="10" t="s">
        <v>2056</v>
      </c>
      <c r="B320" s="9" t="s">
        <v>47</v>
      </c>
      <c r="C320" s="9" t="s">
        <v>43</v>
      </c>
      <c r="D320" s="9" t="s">
        <v>67</v>
      </c>
      <c r="E320" s="9" t="s">
        <v>35</v>
      </c>
      <c r="F320" s="9" t="s">
        <v>36</v>
      </c>
      <c r="G320" s="9">
        <v>6</v>
      </c>
      <c r="H320" s="9">
        <v>84219999</v>
      </c>
      <c r="I320" s="11" t="s">
        <v>37</v>
      </c>
      <c r="J320" s="12">
        <v>1.6500000000000001E-2</v>
      </c>
      <c r="K320" s="12">
        <v>7.5999999999999998E-2</v>
      </c>
      <c r="L320" s="12">
        <v>5.1999999999999998E-2</v>
      </c>
      <c r="M320" s="13">
        <v>8003453067721</v>
      </c>
      <c r="N320" s="14">
        <v>8.1000000000000003E-2</v>
      </c>
      <c r="O320" s="14">
        <v>0.1</v>
      </c>
      <c r="P320" s="15" t="s">
        <v>35</v>
      </c>
      <c r="Q320" s="16" t="s">
        <v>2057</v>
      </c>
      <c r="R320" s="17" t="s">
        <v>35</v>
      </c>
      <c r="S320" s="17" t="s">
        <v>2058</v>
      </c>
      <c r="T320" s="17" t="s">
        <v>2059</v>
      </c>
      <c r="U320" s="17" t="s">
        <v>2060</v>
      </c>
      <c r="V320" s="17" t="s">
        <v>35</v>
      </c>
      <c r="W320" s="17" t="s">
        <v>35</v>
      </c>
      <c r="X320" s="17" t="s">
        <v>2061</v>
      </c>
      <c r="Y320" s="17" t="s">
        <v>2062</v>
      </c>
      <c r="Z320" s="17" t="s">
        <v>35</v>
      </c>
      <c r="AA320" s="17" t="s">
        <v>35</v>
      </c>
      <c r="AB320" s="17" t="s">
        <v>35</v>
      </c>
      <c r="AC320" s="17" t="s">
        <v>9539</v>
      </c>
      <c r="AD320" s="42">
        <v>36.409999999999997</v>
      </c>
      <c r="AE320" s="42">
        <v>38.299999999999997</v>
      </c>
      <c r="AF320" s="48"/>
      <c r="AG320" s="44"/>
      <c r="AH320" s="7">
        <f t="shared" si="4"/>
        <v>0</v>
      </c>
      <c r="AI320" s="18"/>
      <c r="AJ320" s="18"/>
    </row>
    <row r="321" spans="1:38" ht="26.65" customHeight="1" x14ac:dyDescent="0.25">
      <c r="A321" s="38" t="s">
        <v>2063</v>
      </c>
      <c r="B321" s="9" t="s">
        <v>47</v>
      </c>
      <c r="C321" s="9" t="s">
        <v>58</v>
      </c>
      <c r="D321" s="9" t="s">
        <v>48</v>
      </c>
      <c r="E321" s="9" t="s">
        <v>35</v>
      </c>
      <c r="F321" s="9" t="s">
        <v>36</v>
      </c>
      <c r="G321" s="9">
        <v>6</v>
      </c>
      <c r="H321" s="9">
        <v>84219999</v>
      </c>
      <c r="I321" s="11" t="s">
        <v>37</v>
      </c>
      <c r="J321" s="12">
        <v>1.6500000000000001E-2</v>
      </c>
      <c r="K321" s="12">
        <v>7.5999999999999998E-2</v>
      </c>
      <c r="L321" s="12">
        <v>5.1999999999999998E-2</v>
      </c>
      <c r="M321" s="13">
        <v>8003453067752</v>
      </c>
      <c r="N321" s="14">
        <v>0.24</v>
      </c>
      <c r="O321" s="14">
        <v>0.312</v>
      </c>
      <c r="P321" s="15" t="s">
        <v>35</v>
      </c>
      <c r="Q321" s="16" t="s">
        <v>2064</v>
      </c>
      <c r="R321" s="17" t="s">
        <v>35</v>
      </c>
      <c r="S321" s="17" t="s">
        <v>2065</v>
      </c>
      <c r="T321" s="17" t="s">
        <v>2066</v>
      </c>
      <c r="U321" s="17" t="s">
        <v>35</v>
      </c>
      <c r="V321" s="17" t="s">
        <v>2067</v>
      </c>
      <c r="W321" s="17" t="s">
        <v>35</v>
      </c>
      <c r="X321" s="17" t="s">
        <v>35</v>
      </c>
      <c r="Y321" s="17" t="s">
        <v>2068</v>
      </c>
      <c r="Z321" s="17" t="s">
        <v>2069</v>
      </c>
      <c r="AA321" s="17" t="s">
        <v>35</v>
      </c>
      <c r="AB321" s="17" t="s">
        <v>2070</v>
      </c>
      <c r="AC321" s="17" t="s">
        <v>9538</v>
      </c>
      <c r="AD321" s="42">
        <v>40.130000000000003</v>
      </c>
      <c r="AE321" s="42">
        <v>42.22</v>
      </c>
      <c r="AF321" s="48"/>
      <c r="AG321" s="44"/>
      <c r="AH321" s="7">
        <f t="shared" si="4"/>
        <v>0</v>
      </c>
      <c r="AI321" s="18"/>
      <c r="AJ321" s="18"/>
    </row>
    <row r="322" spans="1:38" ht="26.65" customHeight="1" x14ac:dyDescent="0.25">
      <c r="A322" s="10" t="s">
        <v>9140</v>
      </c>
      <c r="B322" s="9" t="s">
        <v>47</v>
      </c>
      <c r="C322" s="9" t="s">
        <v>43</v>
      </c>
      <c r="D322" s="9" t="s">
        <v>67</v>
      </c>
      <c r="E322" s="9" t="s">
        <v>122</v>
      </c>
      <c r="F322" s="9" t="s">
        <v>36</v>
      </c>
      <c r="G322" s="9">
        <v>6</v>
      </c>
      <c r="H322" s="9">
        <v>84219999</v>
      </c>
      <c r="I322" s="11" t="s">
        <v>37</v>
      </c>
      <c r="J322" s="12">
        <v>1.6500000000000001E-2</v>
      </c>
      <c r="K322" s="12">
        <v>7.5999999999999998E-2</v>
      </c>
      <c r="L322" s="12">
        <v>5.1999999999999998E-2</v>
      </c>
      <c r="M322" s="13">
        <v>8003453068469</v>
      </c>
      <c r="N322" s="14">
        <v>8.2000000000000003E-2</v>
      </c>
      <c r="O322" s="14">
        <v>0.113</v>
      </c>
      <c r="P322" s="15">
        <v>45383</v>
      </c>
      <c r="Q322" s="16" t="s">
        <v>2074</v>
      </c>
      <c r="R322" s="17" t="s">
        <v>2075</v>
      </c>
      <c r="S322" s="17" t="s">
        <v>35</v>
      </c>
      <c r="T322" s="17" t="s">
        <v>35</v>
      </c>
      <c r="U322" s="17" t="s">
        <v>35</v>
      </c>
      <c r="V322" s="17" t="s">
        <v>2076</v>
      </c>
      <c r="W322" s="17" t="s">
        <v>2077</v>
      </c>
      <c r="X322" s="17" t="s">
        <v>2078</v>
      </c>
      <c r="Y322" s="17" t="s">
        <v>2079</v>
      </c>
      <c r="Z322" s="17" t="s">
        <v>35</v>
      </c>
      <c r="AA322" s="17" t="s">
        <v>35</v>
      </c>
      <c r="AB322" s="17" t="s">
        <v>35</v>
      </c>
      <c r="AC322" s="17" t="s">
        <v>9539</v>
      </c>
      <c r="AD322" s="42">
        <v>17.5</v>
      </c>
      <c r="AE322" s="42">
        <v>18.41</v>
      </c>
      <c r="AF322" s="48"/>
      <c r="AG322" s="44"/>
      <c r="AH322" s="7">
        <f t="shared" si="4"/>
        <v>0</v>
      </c>
      <c r="AI322" s="18"/>
      <c r="AJ322" s="18"/>
    </row>
    <row r="323" spans="1:38" ht="26.65" customHeight="1" x14ac:dyDescent="0.25">
      <c r="A323" s="38" t="s">
        <v>2071</v>
      </c>
      <c r="B323" s="9" t="s">
        <v>47</v>
      </c>
      <c r="C323" s="9" t="s">
        <v>43</v>
      </c>
      <c r="D323" s="9" t="s">
        <v>67</v>
      </c>
      <c r="E323" s="9" t="s">
        <v>122</v>
      </c>
      <c r="F323" s="9" t="s">
        <v>2072</v>
      </c>
      <c r="G323" s="9">
        <v>6</v>
      </c>
      <c r="H323" s="9">
        <v>84219999</v>
      </c>
      <c r="I323" s="11" t="s">
        <v>2073</v>
      </c>
      <c r="J323" s="12">
        <v>1.6500000000000001E-2</v>
      </c>
      <c r="K323" s="12">
        <v>7.5999999999999998E-2</v>
      </c>
      <c r="L323" s="12">
        <v>5.1999999999999998E-2</v>
      </c>
      <c r="M323" s="13">
        <v>8003453068469</v>
      </c>
      <c r="N323" s="14">
        <v>8.2000000000000003E-2</v>
      </c>
      <c r="O323" s="14">
        <v>0.113</v>
      </c>
      <c r="P323" s="15" t="s">
        <v>35</v>
      </c>
      <c r="Q323" s="16" t="s">
        <v>2074</v>
      </c>
      <c r="R323" s="17" t="s">
        <v>2075</v>
      </c>
      <c r="S323" s="17" t="s">
        <v>35</v>
      </c>
      <c r="T323" s="17" t="s">
        <v>35</v>
      </c>
      <c r="U323" s="17" t="s">
        <v>35</v>
      </c>
      <c r="V323" s="17" t="s">
        <v>2076</v>
      </c>
      <c r="W323" s="17" t="s">
        <v>2077</v>
      </c>
      <c r="X323" s="17" t="s">
        <v>2078</v>
      </c>
      <c r="Y323" s="17" t="s">
        <v>2079</v>
      </c>
      <c r="Z323" s="17" t="s">
        <v>35</v>
      </c>
      <c r="AA323" s="17" t="s">
        <v>35</v>
      </c>
      <c r="AB323" s="17" t="s">
        <v>35</v>
      </c>
      <c r="AC323" s="17" t="s">
        <v>9538</v>
      </c>
      <c r="AD323" s="41">
        <v>17.68</v>
      </c>
      <c r="AE323" s="41">
        <v>18.600000000000001</v>
      </c>
      <c r="AF323" s="48"/>
      <c r="AG323" s="44"/>
      <c r="AH323" s="7">
        <f t="shared" si="4"/>
        <v>0</v>
      </c>
      <c r="AI323" s="18"/>
      <c r="AJ323" s="18"/>
    </row>
    <row r="324" spans="1:38" ht="26.65" customHeight="1" x14ac:dyDescent="0.25">
      <c r="A324" s="38" t="s">
        <v>2080</v>
      </c>
      <c r="B324" s="9" t="s">
        <v>47</v>
      </c>
      <c r="C324" s="9" t="s">
        <v>43</v>
      </c>
      <c r="D324" s="9" t="s">
        <v>67</v>
      </c>
      <c r="E324" s="9" t="s">
        <v>122</v>
      </c>
      <c r="F324" s="9" t="s">
        <v>36</v>
      </c>
      <c r="G324" s="9">
        <v>6</v>
      </c>
      <c r="H324" s="9">
        <v>84219999</v>
      </c>
      <c r="I324" s="11" t="s">
        <v>37</v>
      </c>
      <c r="J324" s="12">
        <v>1.6500000000000001E-2</v>
      </c>
      <c r="K324" s="12">
        <v>7.5999999999999998E-2</v>
      </c>
      <c r="L324" s="12">
        <v>5.1999999999999998E-2</v>
      </c>
      <c r="M324" s="13">
        <v>8003453067820</v>
      </c>
      <c r="N324" s="14">
        <v>0.113</v>
      </c>
      <c r="O324" s="14">
        <v>0.14299999999999999</v>
      </c>
      <c r="P324" s="15" t="s">
        <v>35</v>
      </c>
      <c r="Q324" s="16" t="s">
        <v>2081</v>
      </c>
      <c r="R324" s="17" t="s">
        <v>2082</v>
      </c>
      <c r="S324" s="17" t="s">
        <v>2083</v>
      </c>
      <c r="T324" s="17" t="s">
        <v>2084</v>
      </c>
      <c r="U324" s="17" t="s">
        <v>35</v>
      </c>
      <c r="V324" s="17" t="s">
        <v>2085</v>
      </c>
      <c r="W324" s="17" t="s">
        <v>2086</v>
      </c>
      <c r="X324" s="17" t="s">
        <v>2087</v>
      </c>
      <c r="Y324" s="17" t="s">
        <v>2088</v>
      </c>
      <c r="Z324" s="17" t="s">
        <v>35</v>
      </c>
      <c r="AA324" s="17" t="s">
        <v>35</v>
      </c>
      <c r="AB324" s="17" t="s">
        <v>35</v>
      </c>
      <c r="AC324" s="17" t="s">
        <v>9538</v>
      </c>
      <c r="AD324" s="41">
        <v>19.98</v>
      </c>
      <c r="AE324" s="41">
        <v>21.02</v>
      </c>
      <c r="AF324" s="48"/>
      <c r="AG324" s="44"/>
      <c r="AH324" s="7">
        <f t="shared" ref="AH324:AH387" si="5">AG324*AE324</f>
        <v>0</v>
      </c>
      <c r="AI324" s="18"/>
      <c r="AJ324" s="18"/>
      <c r="AL324" s="18"/>
    </row>
    <row r="325" spans="1:38" ht="26.65" customHeight="1" x14ac:dyDescent="0.25">
      <c r="A325" s="10" t="s">
        <v>2089</v>
      </c>
      <c r="B325" s="9" t="s">
        <v>2090</v>
      </c>
      <c r="C325" s="9" t="s">
        <v>43</v>
      </c>
      <c r="D325" s="9" t="s">
        <v>48</v>
      </c>
      <c r="E325" s="9" t="s">
        <v>35</v>
      </c>
      <c r="F325" s="9" t="s">
        <v>36</v>
      </c>
      <c r="G325" s="9">
        <v>6</v>
      </c>
      <c r="H325" s="9">
        <v>84219999</v>
      </c>
      <c r="I325" s="11" t="s">
        <v>37</v>
      </c>
      <c r="J325" s="12">
        <v>1.6500000000000001E-2</v>
      </c>
      <c r="K325" s="12">
        <v>7.5999999999999998E-2</v>
      </c>
      <c r="L325" s="12">
        <v>5.1999999999999998E-2</v>
      </c>
      <c r="M325" s="13">
        <v>8003453067783</v>
      </c>
      <c r="N325" s="14">
        <v>8.8999999999999996E-2</v>
      </c>
      <c r="O325" s="14">
        <v>0.114</v>
      </c>
      <c r="P325" s="15">
        <v>45017</v>
      </c>
      <c r="Q325" s="16" t="s">
        <v>2091</v>
      </c>
      <c r="R325" s="17" t="s">
        <v>35</v>
      </c>
      <c r="S325" s="17" t="s">
        <v>35</v>
      </c>
      <c r="T325" s="17" t="s">
        <v>35</v>
      </c>
      <c r="U325" s="17" t="s">
        <v>35</v>
      </c>
      <c r="V325" s="17" t="s">
        <v>35</v>
      </c>
      <c r="W325" s="17" t="s">
        <v>35</v>
      </c>
      <c r="X325" s="17" t="s">
        <v>35</v>
      </c>
      <c r="Y325" s="17" t="s">
        <v>8631</v>
      </c>
      <c r="Z325" s="17" t="s">
        <v>35</v>
      </c>
      <c r="AA325" s="17" t="s">
        <v>35</v>
      </c>
      <c r="AB325" s="17" t="s">
        <v>35</v>
      </c>
      <c r="AC325" s="17" t="s">
        <v>9539</v>
      </c>
      <c r="AD325" s="42">
        <v>46.02</v>
      </c>
      <c r="AE325" s="42">
        <v>48.41</v>
      </c>
      <c r="AF325" s="48"/>
      <c r="AG325" s="44"/>
      <c r="AH325" s="7">
        <f t="shared" si="5"/>
        <v>0</v>
      </c>
      <c r="AI325" s="18"/>
      <c r="AJ325" s="18"/>
    </row>
    <row r="326" spans="1:38" ht="26.65" customHeight="1" x14ac:dyDescent="0.25">
      <c r="A326" s="10" t="s">
        <v>2092</v>
      </c>
      <c r="B326" s="9" t="s">
        <v>47</v>
      </c>
      <c r="C326" s="9" t="s">
        <v>43</v>
      </c>
      <c r="D326" s="9" t="s">
        <v>67</v>
      </c>
      <c r="E326" s="9" t="s">
        <v>35</v>
      </c>
      <c r="F326" s="9" t="s">
        <v>36</v>
      </c>
      <c r="G326" s="9">
        <v>6</v>
      </c>
      <c r="H326" s="9">
        <v>84219999</v>
      </c>
      <c r="I326" s="11" t="s">
        <v>37</v>
      </c>
      <c r="J326" s="12">
        <v>1.6500000000000001E-2</v>
      </c>
      <c r="K326" s="12">
        <v>7.5999999999999998E-2</v>
      </c>
      <c r="L326" s="12">
        <v>5.1999999999999998E-2</v>
      </c>
      <c r="M326" s="13">
        <v>8003453067806</v>
      </c>
      <c r="N326" s="14">
        <v>3.1E-2</v>
      </c>
      <c r="O326" s="14">
        <v>0.05</v>
      </c>
      <c r="P326" s="15">
        <v>45145</v>
      </c>
      <c r="Q326" s="16" t="s">
        <v>2093</v>
      </c>
      <c r="R326" s="17" t="s">
        <v>2094</v>
      </c>
      <c r="S326" s="17" t="s">
        <v>2095</v>
      </c>
      <c r="T326" s="17" t="s">
        <v>2096</v>
      </c>
      <c r="U326" s="17" t="s">
        <v>2097</v>
      </c>
      <c r="V326" s="17" t="s">
        <v>2098</v>
      </c>
      <c r="W326" s="17" t="s">
        <v>2099</v>
      </c>
      <c r="X326" s="17" t="s">
        <v>2100</v>
      </c>
      <c r="Y326" s="17" t="s">
        <v>2101</v>
      </c>
      <c r="Z326" s="17" t="s">
        <v>35</v>
      </c>
      <c r="AA326" s="17" t="s">
        <v>35</v>
      </c>
      <c r="AB326" s="17" t="s">
        <v>35</v>
      </c>
      <c r="AC326" s="17" t="s">
        <v>9539</v>
      </c>
      <c r="AD326" s="42">
        <v>10.08</v>
      </c>
      <c r="AE326" s="42">
        <v>10.6</v>
      </c>
      <c r="AF326" s="48"/>
      <c r="AG326" s="44"/>
      <c r="AH326" s="7">
        <f t="shared" si="5"/>
        <v>0</v>
      </c>
      <c r="AI326" s="18"/>
      <c r="AJ326" s="18"/>
    </row>
    <row r="327" spans="1:38" ht="26.65" customHeight="1" x14ac:dyDescent="0.25">
      <c r="A327" s="10" t="s">
        <v>2102</v>
      </c>
      <c r="B327" s="9" t="s">
        <v>47</v>
      </c>
      <c r="C327" s="9" t="s">
        <v>43</v>
      </c>
      <c r="D327" s="9" t="s">
        <v>67</v>
      </c>
      <c r="E327" s="9" t="s">
        <v>122</v>
      </c>
      <c r="F327" s="9" t="s">
        <v>36</v>
      </c>
      <c r="G327" s="9">
        <v>6</v>
      </c>
      <c r="H327" s="9">
        <v>84219999</v>
      </c>
      <c r="I327" s="11" t="s">
        <v>37</v>
      </c>
      <c r="J327" s="12">
        <v>1.6500000000000001E-2</v>
      </c>
      <c r="K327" s="12">
        <v>7.5999999999999998E-2</v>
      </c>
      <c r="L327" s="12">
        <v>5.1999999999999998E-2</v>
      </c>
      <c r="M327" s="13">
        <v>8003453067981</v>
      </c>
      <c r="N327" s="14">
        <v>0.11799999999999999</v>
      </c>
      <c r="O327" s="14">
        <v>0.153</v>
      </c>
      <c r="P327" s="15" t="s">
        <v>35</v>
      </c>
      <c r="Q327" s="16" t="s">
        <v>2103</v>
      </c>
      <c r="R327" s="17" t="s">
        <v>2104</v>
      </c>
      <c r="S327" s="17" t="s">
        <v>2105</v>
      </c>
      <c r="T327" s="17" t="s">
        <v>2106</v>
      </c>
      <c r="U327" s="17" t="s">
        <v>2107</v>
      </c>
      <c r="V327" s="17" t="s">
        <v>35</v>
      </c>
      <c r="W327" s="17" t="s">
        <v>35</v>
      </c>
      <c r="X327" s="17" t="s">
        <v>1818</v>
      </c>
      <c r="Y327" s="17" t="s">
        <v>2108</v>
      </c>
      <c r="Z327" s="17" t="s">
        <v>35</v>
      </c>
      <c r="AA327" s="17" t="s">
        <v>35</v>
      </c>
      <c r="AB327" s="17" t="s">
        <v>35</v>
      </c>
      <c r="AC327" s="17" t="s">
        <v>9539</v>
      </c>
      <c r="AD327" s="42">
        <v>63.89</v>
      </c>
      <c r="AE327" s="42">
        <v>67.209999999999994</v>
      </c>
      <c r="AF327" s="48"/>
      <c r="AG327" s="44"/>
      <c r="AH327" s="7">
        <f t="shared" si="5"/>
        <v>0</v>
      </c>
      <c r="AI327" s="18"/>
      <c r="AJ327" s="18"/>
    </row>
    <row r="328" spans="1:38" ht="26.65" customHeight="1" x14ac:dyDescent="0.25">
      <c r="A328" s="10" t="s">
        <v>2109</v>
      </c>
      <c r="B328" s="9" t="s">
        <v>47</v>
      </c>
      <c r="C328" s="9" t="s">
        <v>43</v>
      </c>
      <c r="D328" s="9" t="s">
        <v>67</v>
      </c>
      <c r="E328" s="9" t="s">
        <v>122</v>
      </c>
      <c r="F328" s="9" t="s">
        <v>36</v>
      </c>
      <c r="G328" s="9">
        <v>6</v>
      </c>
      <c r="H328" s="9">
        <v>84219999</v>
      </c>
      <c r="I328" s="11" t="s">
        <v>37</v>
      </c>
      <c r="J328" s="12">
        <v>1.6500000000000001E-2</v>
      </c>
      <c r="K328" s="12">
        <v>7.5999999999999998E-2</v>
      </c>
      <c r="L328" s="12">
        <v>5.1999999999999998E-2</v>
      </c>
      <c r="M328" s="13">
        <v>8003453068179</v>
      </c>
      <c r="N328" s="14">
        <v>0.1</v>
      </c>
      <c r="O328" s="14">
        <v>0.13600000000000001</v>
      </c>
      <c r="P328" s="15" t="s">
        <v>35</v>
      </c>
      <c r="Q328" s="16" t="s">
        <v>2110</v>
      </c>
      <c r="R328" s="17" t="s">
        <v>2111</v>
      </c>
      <c r="S328" s="17" t="s">
        <v>2112</v>
      </c>
      <c r="T328" s="17" t="s">
        <v>2113</v>
      </c>
      <c r="U328" s="17" t="s">
        <v>35</v>
      </c>
      <c r="V328" s="17" t="s">
        <v>35</v>
      </c>
      <c r="W328" s="17" t="s">
        <v>35</v>
      </c>
      <c r="X328" s="17" t="s">
        <v>2114</v>
      </c>
      <c r="Y328" s="17" t="s">
        <v>2115</v>
      </c>
      <c r="Z328" s="17" t="s">
        <v>35</v>
      </c>
      <c r="AA328" s="17" t="s">
        <v>35</v>
      </c>
      <c r="AB328" s="17" t="s">
        <v>35</v>
      </c>
      <c r="AC328" s="17" t="s">
        <v>9539</v>
      </c>
      <c r="AD328" s="42">
        <v>88.59</v>
      </c>
      <c r="AE328" s="42">
        <v>93.2</v>
      </c>
      <c r="AF328" s="48"/>
      <c r="AG328" s="44"/>
      <c r="AH328" s="7">
        <f t="shared" si="5"/>
        <v>0</v>
      </c>
      <c r="AI328" s="18"/>
      <c r="AJ328" s="18"/>
    </row>
    <row r="329" spans="1:38" ht="26.65" customHeight="1" x14ac:dyDescent="0.25">
      <c r="A329" s="10" t="s">
        <v>2116</v>
      </c>
      <c r="B329" s="9" t="s">
        <v>47</v>
      </c>
      <c r="C329" s="9" t="s">
        <v>43</v>
      </c>
      <c r="D329" s="9" t="s">
        <v>67</v>
      </c>
      <c r="E329" s="9" t="s">
        <v>35</v>
      </c>
      <c r="F329" s="9" t="s">
        <v>36</v>
      </c>
      <c r="G329" s="9">
        <v>6</v>
      </c>
      <c r="H329" s="9">
        <v>84219999</v>
      </c>
      <c r="I329" s="11" t="s">
        <v>37</v>
      </c>
      <c r="J329" s="12">
        <v>1.6500000000000001E-2</v>
      </c>
      <c r="K329" s="12">
        <v>7.5999999999999998E-2</v>
      </c>
      <c r="L329" s="12">
        <v>5.1999999999999998E-2</v>
      </c>
      <c r="M329" s="13">
        <v>8003453067837</v>
      </c>
      <c r="N329" s="14">
        <v>0.05</v>
      </c>
      <c r="O329" s="14">
        <v>7.1999999999999995E-2</v>
      </c>
      <c r="P329" s="15" t="s">
        <v>35</v>
      </c>
      <c r="Q329" s="16" t="s">
        <v>2117</v>
      </c>
      <c r="R329" s="17" t="s">
        <v>35</v>
      </c>
      <c r="S329" s="17" t="s">
        <v>2118</v>
      </c>
      <c r="T329" s="17" t="s">
        <v>2119</v>
      </c>
      <c r="U329" s="17" t="s">
        <v>2120</v>
      </c>
      <c r="V329" s="17" t="s">
        <v>2121</v>
      </c>
      <c r="W329" s="17" t="s">
        <v>2122</v>
      </c>
      <c r="X329" s="17" t="s">
        <v>2123</v>
      </c>
      <c r="Y329" s="17" t="s">
        <v>2124</v>
      </c>
      <c r="Z329" s="17" t="s">
        <v>35</v>
      </c>
      <c r="AA329" s="17" t="s">
        <v>35</v>
      </c>
      <c r="AB329" s="17" t="s">
        <v>35</v>
      </c>
      <c r="AC329" s="17" t="s">
        <v>9539</v>
      </c>
      <c r="AD329" s="42">
        <v>14.66</v>
      </c>
      <c r="AE329" s="42">
        <v>15.42</v>
      </c>
      <c r="AF329" s="48"/>
      <c r="AG329" s="44"/>
      <c r="AH329" s="7">
        <f t="shared" si="5"/>
        <v>0</v>
      </c>
      <c r="AI329" s="18"/>
      <c r="AJ329" s="18"/>
    </row>
    <row r="330" spans="1:38" ht="26.65" customHeight="1" x14ac:dyDescent="0.25">
      <c r="A330" s="10" t="s">
        <v>2125</v>
      </c>
      <c r="B330" s="9" t="s">
        <v>47</v>
      </c>
      <c r="C330" s="9" t="s">
        <v>58</v>
      </c>
      <c r="D330" s="9" t="s">
        <v>67</v>
      </c>
      <c r="E330" s="9" t="s">
        <v>35</v>
      </c>
      <c r="F330" s="9" t="s">
        <v>36</v>
      </c>
      <c r="G330" s="9">
        <v>6</v>
      </c>
      <c r="H330" s="9">
        <v>84219999</v>
      </c>
      <c r="I330" s="11" t="s">
        <v>37</v>
      </c>
      <c r="J330" s="12">
        <v>1.6500000000000001E-2</v>
      </c>
      <c r="K330" s="12">
        <v>7.5999999999999998E-2</v>
      </c>
      <c r="L330" s="12">
        <v>5.1999999999999998E-2</v>
      </c>
      <c r="M330" s="13">
        <v>8003453067851</v>
      </c>
      <c r="N330" s="14">
        <v>0.151</v>
      </c>
      <c r="O330" s="14">
        <v>0.19600000000000001</v>
      </c>
      <c r="P330" s="15" t="s">
        <v>35</v>
      </c>
      <c r="Q330" s="16" t="s">
        <v>2126</v>
      </c>
      <c r="R330" s="17" t="s">
        <v>2127</v>
      </c>
      <c r="S330" s="17" t="s">
        <v>2128</v>
      </c>
      <c r="T330" s="17" t="s">
        <v>2129</v>
      </c>
      <c r="U330" s="17" t="s">
        <v>35</v>
      </c>
      <c r="V330" s="17" t="s">
        <v>2130</v>
      </c>
      <c r="W330" s="17" t="s">
        <v>2131</v>
      </c>
      <c r="X330" s="17" t="s">
        <v>2132</v>
      </c>
      <c r="Y330" s="17" t="s">
        <v>2133</v>
      </c>
      <c r="Z330" s="17" t="s">
        <v>2134</v>
      </c>
      <c r="AA330" s="17" t="s">
        <v>35</v>
      </c>
      <c r="AB330" s="17" t="s">
        <v>2135</v>
      </c>
      <c r="AC330" s="17" t="s">
        <v>9539</v>
      </c>
      <c r="AD330" s="42">
        <v>24.69</v>
      </c>
      <c r="AE330" s="42">
        <v>25.97</v>
      </c>
      <c r="AF330" s="48"/>
      <c r="AG330" s="44"/>
      <c r="AH330" s="7">
        <f t="shared" si="5"/>
        <v>0</v>
      </c>
      <c r="AI330" s="18"/>
      <c r="AJ330" s="18"/>
    </row>
    <row r="331" spans="1:38" ht="26.65" customHeight="1" x14ac:dyDescent="0.25">
      <c r="A331" s="10" t="s">
        <v>2136</v>
      </c>
      <c r="B331" s="9" t="s">
        <v>47</v>
      </c>
      <c r="C331" s="9" t="s">
        <v>43</v>
      </c>
      <c r="D331" s="9" t="s">
        <v>67</v>
      </c>
      <c r="E331" s="9" t="s">
        <v>35</v>
      </c>
      <c r="F331" s="9" t="s">
        <v>36</v>
      </c>
      <c r="G331" s="9">
        <v>6</v>
      </c>
      <c r="H331" s="9">
        <v>84219999</v>
      </c>
      <c r="I331" s="11" t="s">
        <v>37</v>
      </c>
      <c r="J331" s="12">
        <v>1.6500000000000001E-2</v>
      </c>
      <c r="K331" s="12">
        <v>7.5999999999999998E-2</v>
      </c>
      <c r="L331" s="12">
        <v>5.1999999999999998E-2</v>
      </c>
      <c r="M331" s="13">
        <v>8003453067868</v>
      </c>
      <c r="N331" s="14">
        <v>6.5000000000000002E-2</v>
      </c>
      <c r="O331" s="14">
        <v>0.115</v>
      </c>
      <c r="P331" s="15" t="s">
        <v>35</v>
      </c>
      <c r="Q331" s="16" t="s">
        <v>2137</v>
      </c>
      <c r="R331" s="17" t="s">
        <v>35</v>
      </c>
      <c r="S331" s="17" t="s">
        <v>2138</v>
      </c>
      <c r="T331" s="17" t="s">
        <v>2139</v>
      </c>
      <c r="U331" s="17" t="s">
        <v>2140</v>
      </c>
      <c r="V331" s="17" t="s">
        <v>35</v>
      </c>
      <c r="W331" s="17" t="s">
        <v>35</v>
      </c>
      <c r="X331" s="17" t="s">
        <v>2141</v>
      </c>
      <c r="Y331" s="17" t="s">
        <v>35</v>
      </c>
      <c r="Z331" s="17" t="s">
        <v>35</v>
      </c>
      <c r="AA331" s="17" t="s">
        <v>35</v>
      </c>
      <c r="AB331" s="17" t="s">
        <v>35</v>
      </c>
      <c r="AC331" s="17" t="s">
        <v>9539</v>
      </c>
      <c r="AD331" s="41">
        <v>30.08</v>
      </c>
      <c r="AE331" s="41">
        <v>31.64</v>
      </c>
      <c r="AF331" s="48"/>
      <c r="AG331" s="44"/>
      <c r="AH331" s="7">
        <f t="shared" si="5"/>
        <v>0</v>
      </c>
      <c r="AI331" s="18"/>
      <c r="AJ331" s="18"/>
      <c r="AL331" s="18"/>
    </row>
    <row r="332" spans="1:38" ht="26.65" customHeight="1" x14ac:dyDescent="0.25">
      <c r="A332" s="10" t="s">
        <v>9141</v>
      </c>
      <c r="B332" s="9" t="s">
        <v>47</v>
      </c>
      <c r="C332" s="9" t="s">
        <v>58</v>
      </c>
      <c r="D332" s="9" t="s">
        <v>67</v>
      </c>
      <c r="E332" s="9" t="s">
        <v>35</v>
      </c>
      <c r="F332" s="9" t="s">
        <v>36</v>
      </c>
      <c r="G332" s="9">
        <v>6</v>
      </c>
      <c r="H332" s="9">
        <v>84219999</v>
      </c>
      <c r="I332" s="11" t="s">
        <v>37</v>
      </c>
      <c r="J332" s="12">
        <v>1.6500000000000001E-2</v>
      </c>
      <c r="K332" s="12">
        <v>7.5999999999999998E-2</v>
      </c>
      <c r="L332" s="12">
        <v>5.1999999999999998E-2</v>
      </c>
      <c r="M332" s="13">
        <v>8003453809444</v>
      </c>
      <c r="N332" s="14">
        <v>0.23799999999999999</v>
      </c>
      <c r="O332" s="14">
        <v>0.34</v>
      </c>
      <c r="P332" s="15">
        <v>45383</v>
      </c>
      <c r="Q332" s="16" t="s">
        <v>9142</v>
      </c>
      <c r="R332" s="17" t="s">
        <v>9143</v>
      </c>
      <c r="S332" s="17" t="s">
        <v>9144</v>
      </c>
      <c r="T332" s="17" t="s">
        <v>9145</v>
      </c>
      <c r="U332" s="17" t="s">
        <v>9146</v>
      </c>
      <c r="V332" s="17" t="s">
        <v>9147</v>
      </c>
      <c r="W332" s="17" t="s">
        <v>35</v>
      </c>
      <c r="X332" s="17" t="s">
        <v>35</v>
      </c>
      <c r="Y332" s="17" t="s">
        <v>35</v>
      </c>
      <c r="Z332" s="17" t="s">
        <v>9148</v>
      </c>
      <c r="AA332" s="17" t="s">
        <v>35</v>
      </c>
      <c r="AB332" s="17" t="s">
        <v>9149</v>
      </c>
      <c r="AC332" s="17" t="s">
        <v>9539</v>
      </c>
      <c r="AD332" s="42">
        <v>26.08</v>
      </c>
      <c r="AE332" s="42">
        <v>27.44</v>
      </c>
      <c r="AF332" s="48"/>
      <c r="AG332" s="44"/>
      <c r="AH332" s="7">
        <f t="shared" si="5"/>
        <v>0</v>
      </c>
      <c r="AI332" s="18"/>
      <c r="AJ332" s="18"/>
    </row>
    <row r="333" spans="1:38" ht="26.65" customHeight="1" x14ac:dyDescent="0.25">
      <c r="A333" s="10" t="s">
        <v>2142</v>
      </c>
      <c r="B333" s="9" t="s">
        <v>47</v>
      </c>
      <c r="C333" s="9" t="s">
        <v>58</v>
      </c>
      <c r="D333" s="9" t="s">
        <v>48</v>
      </c>
      <c r="E333" s="9" t="s">
        <v>122</v>
      </c>
      <c r="F333" s="9" t="s">
        <v>36</v>
      </c>
      <c r="G333" s="9">
        <v>6</v>
      </c>
      <c r="H333" s="9">
        <v>84219999</v>
      </c>
      <c r="I333" s="11" t="s">
        <v>37</v>
      </c>
      <c r="J333" s="12">
        <v>1.6500000000000001E-2</v>
      </c>
      <c r="K333" s="12">
        <v>7.5999999999999998E-2</v>
      </c>
      <c r="L333" s="12">
        <v>5.1999999999999998E-2</v>
      </c>
      <c r="M333" s="13">
        <v>8003453068209</v>
      </c>
      <c r="N333" s="14">
        <v>0.44400000000000001</v>
      </c>
      <c r="O333" s="14">
        <v>0.51900000000000002</v>
      </c>
      <c r="P333" s="15" t="s">
        <v>35</v>
      </c>
      <c r="Q333" s="16" t="s">
        <v>2143</v>
      </c>
      <c r="R333" s="17" t="s">
        <v>35</v>
      </c>
      <c r="S333" s="17" t="s">
        <v>2144</v>
      </c>
      <c r="T333" s="17" t="s">
        <v>2145</v>
      </c>
      <c r="U333" s="17" t="s">
        <v>35</v>
      </c>
      <c r="V333" s="17" t="s">
        <v>2146</v>
      </c>
      <c r="W333" s="17" t="s">
        <v>35</v>
      </c>
      <c r="X333" s="17" t="s">
        <v>35</v>
      </c>
      <c r="Y333" s="17" t="s">
        <v>2147</v>
      </c>
      <c r="Z333" s="17" t="s">
        <v>2148</v>
      </c>
      <c r="AA333" s="17" t="s">
        <v>35</v>
      </c>
      <c r="AB333" s="17" t="s">
        <v>35</v>
      </c>
      <c r="AC333" s="17" t="s">
        <v>9539</v>
      </c>
      <c r="AD333" s="42">
        <v>232.13</v>
      </c>
      <c r="AE333" s="42">
        <v>244.2</v>
      </c>
      <c r="AF333" s="48"/>
      <c r="AG333" s="44"/>
      <c r="AH333" s="7">
        <f t="shared" si="5"/>
        <v>0</v>
      </c>
      <c r="AI333" s="18"/>
      <c r="AJ333" s="18"/>
    </row>
    <row r="334" spans="1:38" ht="26.65" customHeight="1" x14ac:dyDescent="0.25">
      <c r="A334" s="38" t="s">
        <v>2149</v>
      </c>
      <c r="B334" s="9" t="s">
        <v>47</v>
      </c>
      <c r="C334" s="9" t="s">
        <v>43</v>
      </c>
      <c r="D334" s="9" t="s">
        <v>67</v>
      </c>
      <c r="E334" s="9" t="s">
        <v>35</v>
      </c>
      <c r="F334" s="9" t="s">
        <v>36</v>
      </c>
      <c r="G334" s="9">
        <v>6</v>
      </c>
      <c r="H334" s="9">
        <v>84219999</v>
      </c>
      <c r="I334" s="11" t="s">
        <v>37</v>
      </c>
      <c r="J334" s="12">
        <v>1.6500000000000001E-2</v>
      </c>
      <c r="K334" s="12">
        <v>7.5999999999999998E-2</v>
      </c>
      <c r="L334" s="12">
        <v>5.1999999999999998E-2</v>
      </c>
      <c r="M334" s="13">
        <v>8003453067912</v>
      </c>
      <c r="N334" s="14">
        <v>7.0999999999999994E-2</v>
      </c>
      <c r="O334" s="14">
        <v>9.4E-2</v>
      </c>
      <c r="P334" s="15" t="s">
        <v>35</v>
      </c>
      <c r="Q334" s="16" t="s">
        <v>2150</v>
      </c>
      <c r="R334" s="17" t="s">
        <v>2151</v>
      </c>
      <c r="S334" s="17" t="s">
        <v>2152</v>
      </c>
      <c r="T334" s="17" t="s">
        <v>2153</v>
      </c>
      <c r="U334" s="17" t="s">
        <v>35</v>
      </c>
      <c r="V334" s="17" t="s">
        <v>2154</v>
      </c>
      <c r="W334" s="17" t="s">
        <v>2155</v>
      </c>
      <c r="X334" s="17" t="s">
        <v>2156</v>
      </c>
      <c r="Y334" s="17" t="s">
        <v>2157</v>
      </c>
      <c r="Z334" s="17" t="s">
        <v>35</v>
      </c>
      <c r="AA334" s="17" t="s">
        <v>35</v>
      </c>
      <c r="AB334" s="17" t="s">
        <v>35</v>
      </c>
      <c r="AC334" s="17" t="s">
        <v>9538</v>
      </c>
      <c r="AD334" s="41">
        <v>17.28</v>
      </c>
      <c r="AE334" s="41">
        <v>18.18</v>
      </c>
      <c r="AF334" s="48"/>
      <c r="AG334" s="44"/>
      <c r="AH334" s="7">
        <f t="shared" si="5"/>
        <v>0</v>
      </c>
      <c r="AI334" s="18"/>
      <c r="AJ334" s="18"/>
    </row>
    <row r="335" spans="1:38" ht="26.65" customHeight="1" x14ac:dyDescent="0.25">
      <c r="A335" s="10" t="s">
        <v>2158</v>
      </c>
      <c r="B335" s="9" t="s">
        <v>47</v>
      </c>
      <c r="C335" s="9" t="s">
        <v>43</v>
      </c>
      <c r="D335" s="9" t="s">
        <v>67</v>
      </c>
      <c r="E335" s="9" t="s">
        <v>122</v>
      </c>
      <c r="F335" s="9" t="s">
        <v>36</v>
      </c>
      <c r="G335" s="9">
        <v>6</v>
      </c>
      <c r="H335" s="9">
        <v>84219999</v>
      </c>
      <c r="I335" s="11" t="s">
        <v>37</v>
      </c>
      <c r="J335" s="12">
        <v>1.6500000000000001E-2</v>
      </c>
      <c r="K335" s="12">
        <v>7.5999999999999998E-2</v>
      </c>
      <c r="L335" s="12">
        <v>5.1999999999999998E-2</v>
      </c>
      <c r="M335" s="13">
        <v>8003453068261</v>
      </c>
      <c r="N335" s="14">
        <v>0.09</v>
      </c>
      <c r="O335" s="14">
        <v>0.11</v>
      </c>
      <c r="P335" s="15" t="s">
        <v>35</v>
      </c>
      <c r="Q335" s="16" t="s">
        <v>2159</v>
      </c>
      <c r="R335" s="17" t="s">
        <v>2160</v>
      </c>
      <c r="S335" s="17" t="s">
        <v>2161</v>
      </c>
      <c r="T335" s="17" t="s">
        <v>2162</v>
      </c>
      <c r="U335" s="17" t="s">
        <v>2163</v>
      </c>
      <c r="V335" s="17" t="s">
        <v>35</v>
      </c>
      <c r="W335" s="17" t="s">
        <v>35</v>
      </c>
      <c r="X335" s="17" t="s">
        <v>2164</v>
      </c>
      <c r="Y335" s="17" t="s">
        <v>2165</v>
      </c>
      <c r="Z335" s="17" t="s">
        <v>35</v>
      </c>
      <c r="AA335" s="17" t="s">
        <v>35</v>
      </c>
      <c r="AB335" s="17" t="s">
        <v>35</v>
      </c>
      <c r="AC335" s="17" t="s">
        <v>9539</v>
      </c>
      <c r="AD335" s="41">
        <v>46.25</v>
      </c>
      <c r="AE335" s="41">
        <v>48.66</v>
      </c>
      <c r="AF335" s="48"/>
      <c r="AG335" s="44"/>
      <c r="AH335" s="7">
        <f t="shared" si="5"/>
        <v>0</v>
      </c>
      <c r="AI335" s="18"/>
      <c r="AJ335" s="18"/>
      <c r="AL335" s="18"/>
    </row>
    <row r="336" spans="1:38" ht="26.65" customHeight="1" x14ac:dyDescent="0.25">
      <c r="A336" s="38" t="s">
        <v>2166</v>
      </c>
      <c r="B336" s="9" t="s">
        <v>47</v>
      </c>
      <c r="C336" s="9" t="s">
        <v>58</v>
      </c>
      <c r="D336" s="9" t="s">
        <v>67</v>
      </c>
      <c r="E336" s="9" t="s">
        <v>122</v>
      </c>
      <c r="F336" s="9" t="s">
        <v>36</v>
      </c>
      <c r="G336" s="9">
        <v>6</v>
      </c>
      <c r="H336" s="9">
        <v>84219999</v>
      </c>
      <c r="I336" s="11" t="s">
        <v>37</v>
      </c>
      <c r="J336" s="12">
        <v>1.6500000000000001E-2</v>
      </c>
      <c r="K336" s="12">
        <v>7.5999999999999998E-2</v>
      </c>
      <c r="L336" s="12">
        <v>5.1999999999999998E-2</v>
      </c>
      <c r="M336" s="13">
        <v>8003453068018</v>
      </c>
      <c r="N336" s="14">
        <v>0.46400000000000002</v>
      </c>
      <c r="O336" s="14">
        <v>0.56999999999999995</v>
      </c>
      <c r="P336" s="15" t="s">
        <v>35</v>
      </c>
      <c r="Q336" s="16" t="s">
        <v>2167</v>
      </c>
      <c r="R336" s="17">
        <v>5801592277</v>
      </c>
      <c r="S336" s="17" t="s">
        <v>35</v>
      </c>
      <c r="T336" s="17" t="s">
        <v>2168</v>
      </c>
      <c r="U336" s="17" t="s">
        <v>35</v>
      </c>
      <c r="V336" s="17" t="s">
        <v>2169</v>
      </c>
      <c r="W336" s="17" t="s">
        <v>2170</v>
      </c>
      <c r="X336" s="17" t="s">
        <v>35</v>
      </c>
      <c r="Y336" s="17" t="s">
        <v>2171</v>
      </c>
      <c r="Z336" s="17" t="s">
        <v>2172</v>
      </c>
      <c r="AA336" s="17" t="s">
        <v>35</v>
      </c>
      <c r="AB336" s="17" t="s">
        <v>2173</v>
      </c>
      <c r="AC336" s="17" t="s">
        <v>9538</v>
      </c>
      <c r="AD336" s="41">
        <v>132.44</v>
      </c>
      <c r="AE336" s="41">
        <v>139.33000000000001</v>
      </c>
      <c r="AF336" s="48"/>
      <c r="AG336" s="44"/>
      <c r="AH336" s="7">
        <f t="shared" si="5"/>
        <v>0</v>
      </c>
      <c r="AI336" s="18"/>
      <c r="AJ336" s="18"/>
      <c r="AL336" s="18"/>
    </row>
    <row r="337" spans="1:38" ht="26.65" customHeight="1" x14ac:dyDescent="0.25">
      <c r="A337" s="10" t="s">
        <v>9826</v>
      </c>
      <c r="B337" s="9" t="s">
        <v>47</v>
      </c>
      <c r="C337" s="9" t="s">
        <v>58</v>
      </c>
      <c r="D337" s="9" t="s">
        <v>67</v>
      </c>
      <c r="E337" s="9" t="s">
        <v>122</v>
      </c>
      <c r="F337" s="9" t="s">
        <v>2072</v>
      </c>
      <c r="G337" s="9">
        <v>6</v>
      </c>
      <c r="H337" s="9">
        <v>84219999</v>
      </c>
      <c r="I337" s="11" t="s">
        <v>2073</v>
      </c>
      <c r="J337" s="12">
        <v>1.6500000000000001E-2</v>
      </c>
      <c r="K337" s="12">
        <v>7.5999999999999998E-2</v>
      </c>
      <c r="L337" s="12">
        <v>5.1999999999999998E-2</v>
      </c>
      <c r="M337" s="13">
        <v>8003453068018</v>
      </c>
      <c r="N337" s="14">
        <v>0.46400000000000002</v>
      </c>
      <c r="O337" s="14">
        <v>0.56999999999999995</v>
      </c>
      <c r="P337" s="15">
        <v>45536</v>
      </c>
      <c r="Q337" s="16" t="s">
        <v>2167</v>
      </c>
      <c r="R337" s="17">
        <v>5801592277</v>
      </c>
      <c r="S337" s="17" t="s">
        <v>35</v>
      </c>
      <c r="T337" s="17" t="s">
        <v>2168</v>
      </c>
      <c r="U337" s="17" t="s">
        <v>35</v>
      </c>
      <c r="V337" s="17" t="s">
        <v>2169</v>
      </c>
      <c r="W337" s="17" t="s">
        <v>2170</v>
      </c>
      <c r="X337" s="17" t="s">
        <v>35</v>
      </c>
      <c r="Y337" s="17" t="s">
        <v>2171</v>
      </c>
      <c r="Z337" s="17" t="s">
        <v>2172</v>
      </c>
      <c r="AA337" s="17" t="s">
        <v>35</v>
      </c>
      <c r="AB337" s="17" t="s">
        <v>2173</v>
      </c>
      <c r="AC337" s="17" t="s">
        <v>9539</v>
      </c>
      <c r="AD337" s="41">
        <v>118.22</v>
      </c>
      <c r="AE337" s="41">
        <v>124.37</v>
      </c>
      <c r="AF337" s="48"/>
      <c r="AG337" s="44"/>
      <c r="AH337" s="7">
        <f t="shared" si="5"/>
        <v>0</v>
      </c>
      <c r="AI337" s="18"/>
      <c r="AJ337" s="18"/>
    </row>
    <row r="338" spans="1:38" ht="26.65" customHeight="1" x14ac:dyDescent="0.25">
      <c r="A338" s="10" t="s">
        <v>2174</v>
      </c>
      <c r="B338" s="9" t="s">
        <v>47</v>
      </c>
      <c r="C338" s="9" t="s">
        <v>43</v>
      </c>
      <c r="D338" s="9" t="s">
        <v>67</v>
      </c>
      <c r="E338" s="9" t="s">
        <v>122</v>
      </c>
      <c r="F338" s="9" t="s">
        <v>36</v>
      </c>
      <c r="G338" s="9">
        <v>6</v>
      </c>
      <c r="H338" s="9">
        <v>84219999</v>
      </c>
      <c r="I338" s="11" t="s">
        <v>37</v>
      </c>
      <c r="J338" s="12">
        <v>1.6500000000000001E-2</v>
      </c>
      <c r="K338" s="12">
        <v>7.5999999999999998E-2</v>
      </c>
      <c r="L338" s="12">
        <v>5.1999999999999998E-2</v>
      </c>
      <c r="M338" s="13">
        <v>8003453068223</v>
      </c>
      <c r="N338" s="14">
        <v>0.114</v>
      </c>
      <c r="O338" s="14">
        <v>0.14000000000000001</v>
      </c>
      <c r="P338" s="15" t="s">
        <v>35</v>
      </c>
      <c r="Q338" s="16" t="s">
        <v>2175</v>
      </c>
      <c r="R338" s="17" t="s">
        <v>2176</v>
      </c>
      <c r="S338" s="17" t="s">
        <v>2177</v>
      </c>
      <c r="T338" s="17" t="s">
        <v>2178</v>
      </c>
      <c r="U338" s="17" t="s">
        <v>2179</v>
      </c>
      <c r="V338" s="17" t="s">
        <v>35</v>
      </c>
      <c r="W338" s="17" t="s">
        <v>35</v>
      </c>
      <c r="X338" s="17" t="s">
        <v>2180</v>
      </c>
      <c r="Y338" s="17" t="s">
        <v>35</v>
      </c>
      <c r="Z338" s="17" t="s">
        <v>35</v>
      </c>
      <c r="AA338" s="17" t="s">
        <v>35</v>
      </c>
      <c r="AB338" s="17" t="s">
        <v>35</v>
      </c>
      <c r="AC338" s="17" t="s">
        <v>9539</v>
      </c>
      <c r="AD338" s="42">
        <v>73.67</v>
      </c>
      <c r="AE338" s="42">
        <v>77.5</v>
      </c>
      <c r="AF338" s="48"/>
      <c r="AG338" s="44"/>
      <c r="AH338" s="7">
        <f t="shared" si="5"/>
        <v>0</v>
      </c>
      <c r="AI338" s="18"/>
      <c r="AJ338" s="18"/>
    </row>
    <row r="339" spans="1:38" ht="26.65" customHeight="1" x14ac:dyDescent="0.25">
      <c r="A339" s="10" t="s">
        <v>10118</v>
      </c>
      <c r="B339" s="9" t="s">
        <v>47</v>
      </c>
      <c r="C339" s="9" t="s">
        <v>43</v>
      </c>
      <c r="D339" s="9" t="s">
        <v>48</v>
      </c>
      <c r="E339" s="9" t="s">
        <v>35</v>
      </c>
      <c r="F339" s="9" t="s">
        <v>36</v>
      </c>
      <c r="G339" s="9">
        <v>6</v>
      </c>
      <c r="H339" s="9">
        <v>84219999</v>
      </c>
      <c r="I339" s="11" t="s">
        <v>37</v>
      </c>
      <c r="J339" s="12">
        <v>1.6500000000000001E-2</v>
      </c>
      <c r="K339" s="12">
        <v>7.5999999999999998E-2</v>
      </c>
      <c r="L339" s="12">
        <v>5.1999999999999998E-2</v>
      </c>
      <c r="M339" s="13">
        <v>8003453068056</v>
      </c>
      <c r="N339" s="14">
        <v>0</v>
      </c>
      <c r="O339" s="14">
        <v>0</v>
      </c>
      <c r="P339" s="15">
        <v>45566</v>
      </c>
      <c r="Q339" s="16" t="s">
        <v>10119</v>
      </c>
      <c r="R339" s="17" t="s">
        <v>35</v>
      </c>
      <c r="S339" s="17" t="s">
        <v>10120</v>
      </c>
      <c r="T339" s="17" t="s">
        <v>10121</v>
      </c>
      <c r="U339" s="17" t="s">
        <v>10122</v>
      </c>
      <c r="V339" s="17" t="s">
        <v>35</v>
      </c>
      <c r="W339" s="17" t="s">
        <v>35</v>
      </c>
      <c r="X339" s="17" t="s">
        <v>10123</v>
      </c>
      <c r="Y339" s="17" t="s">
        <v>35</v>
      </c>
      <c r="Z339" s="17" t="s">
        <v>35</v>
      </c>
      <c r="AA339" s="17" t="s">
        <v>35</v>
      </c>
      <c r="AB339" s="17" t="s">
        <v>35</v>
      </c>
      <c r="AC339" s="17" t="s">
        <v>9539</v>
      </c>
      <c r="AD339" s="41">
        <v>24.45</v>
      </c>
      <c r="AE339" s="41">
        <v>25.72</v>
      </c>
      <c r="AF339" s="48"/>
      <c r="AG339" s="44"/>
      <c r="AH339" s="7">
        <f t="shared" si="5"/>
        <v>0</v>
      </c>
      <c r="AI339" s="18"/>
      <c r="AJ339" s="18"/>
    </row>
    <row r="340" spans="1:38" ht="26.65" customHeight="1" x14ac:dyDescent="0.25">
      <c r="A340" s="10" t="s">
        <v>2181</v>
      </c>
      <c r="B340" s="9" t="s">
        <v>47</v>
      </c>
      <c r="C340" s="9" t="s">
        <v>43</v>
      </c>
      <c r="D340" s="9" t="s">
        <v>67</v>
      </c>
      <c r="E340" s="9" t="s">
        <v>35</v>
      </c>
      <c r="F340" s="9" t="s">
        <v>36</v>
      </c>
      <c r="G340" s="9">
        <v>6</v>
      </c>
      <c r="H340" s="9">
        <v>84219999</v>
      </c>
      <c r="I340" s="11" t="s">
        <v>37</v>
      </c>
      <c r="J340" s="12">
        <v>1.6500000000000001E-2</v>
      </c>
      <c r="K340" s="12">
        <v>7.5999999999999998E-2</v>
      </c>
      <c r="L340" s="12">
        <v>5.1999999999999998E-2</v>
      </c>
      <c r="M340" s="13">
        <v>8003453068063</v>
      </c>
      <c r="N340" s="14">
        <v>4.5999999999999999E-2</v>
      </c>
      <c r="O340" s="14">
        <v>6.7000000000000004E-2</v>
      </c>
      <c r="P340" s="15" t="s">
        <v>35</v>
      </c>
      <c r="Q340" s="16" t="s">
        <v>2182</v>
      </c>
      <c r="R340" s="17" t="s">
        <v>35</v>
      </c>
      <c r="S340" s="17" t="s">
        <v>2183</v>
      </c>
      <c r="T340" s="17" t="s">
        <v>2184</v>
      </c>
      <c r="U340" s="17" t="s">
        <v>35</v>
      </c>
      <c r="V340" s="17" t="s">
        <v>2185</v>
      </c>
      <c r="W340" s="17" t="s">
        <v>35</v>
      </c>
      <c r="X340" s="17" t="s">
        <v>2078</v>
      </c>
      <c r="Y340" s="17" t="s">
        <v>2186</v>
      </c>
      <c r="Z340" s="17" t="s">
        <v>35</v>
      </c>
      <c r="AA340" s="17" t="s">
        <v>35</v>
      </c>
      <c r="AB340" s="17" t="s">
        <v>35</v>
      </c>
      <c r="AC340" s="17" t="s">
        <v>9539</v>
      </c>
      <c r="AD340" s="42">
        <v>39.04</v>
      </c>
      <c r="AE340" s="42">
        <v>41.07</v>
      </c>
      <c r="AF340" s="48"/>
      <c r="AG340" s="44"/>
      <c r="AH340" s="7">
        <f t="shared" si="5"/>
        <v>0</v>
      </c>
      <c r="AI340" s="18"/>
      <c r="AJ340" s="18"/>
    </row>
    <row r="341" spans="1:38" ht="26.65" customHeight="1" x14ac:dyDescent="0.25">
      <c r="A341" s="10" t="s">
        <v>2187</v>
      </c>
      <c r="B341" s="9" t="s">
        <v>47</v>
      </c>
      <c r="C341" s="9" t="s">
        <v>43</v>
      </c>
      <c r="D341" s="9" t="s">
        <v>67</v>
      </c>
      <c r="E341" s="9" t="s">
        <v>35</v>
      </c>
      <c r="F341" s="9" t="s">
        <v>36</v>
      </c>
      <c r="G341" s="9">
        <v>6</v>
      </c>
      <c r="H341" s="9">
        <v>84219999</v>
      </c>
      <c r="I341" s="11" t="s">
        <v>37</v>
      </c>
      <c r="J341" s="12">
        <v>1.6500000000000001E-2</v>
      </c>
      <c r="K341" s="12">
        <v>7.5999999999999998E-2</v>
      </c>
      <c r="L341" s="12">
        <v>5.1999999999999998E-2</v>
      </c>
      <c r="M341" s="13">
        <v>8003453068070</v>
      </c>
      <c r="N341" s="14">
        <v>8.2000000000000003E-2</v>
      </c>
      <c r="O341" s="14">
        <v>0.107</v>
      </c>
      <c r="P341" s="15" t="s">
        <v>35</v>
      </c>
      <c r="Q341" s="16" t="s">
        <v>2188</v>
      </c>
      <c r="R341" s="17" t="s">
        <v>35</v>
      </c>
      <c r="S341" s="17" t="s">
        <v>2189</v>
      </c>
      <c r="T341" s="17" t="s">
        <v>2190</v>
      </c>
      <c r="U341" s="17" t="s">
        <v>2191</v>
      </c>
      <c r="V341" s="17" t="s">
        <v>35</v>
      </c>
      <c r="W341" s="17" t="s">
        <v>35</v>
      </c>
      <c r="X341" s="17" t="s">
        <v>2192</v>
      </c>
      <c r="Y341" s="17" t="s">
        <v>2193</v>
      </c>
      <c r="Z341" s="17" t="s">
        <v>35</v>
      </c>
      <c r="AA341" s="17" t="s">
        <v>35</v>
      </c>
      <c r="AB341" s="17" t="s">
        <v>35</v>
      </c>
      <c r="AC341" s="17" t="s">
        <v>9539</v>
      </c>
      <c r="AD341" s="42">
        <v>56.39</v>
      </c>
      <c r="AE341" s="42">
        <v>59.32</v>
      </c>
      <c r="AF341" s="48"/>
      <c r="AG341" s="44"/>
      <c r="AH341" s="7">
        <f t="shared" si="5"/>
        <v>0</v>
      </c>
      <c r="AI341" s="18"/>
      <c r="AJ341" s="18"/>
    </row>
    <row r="342" spans="1:38" ht="26.65" customHeight="1" x14ac:dyDescent="0.25">
      <c r="A342" s="10" t="s">
        <v>2194</v>
      </c>
      <c r="B342" s="9" t="s">
        <v>47</v>
      </c>
      <c r="C342" s="9" t="s">
        <v>43</v>
      </c>
      <c r="D342" s="9" t="s">
        <v>67</v>
      </c>
      <c r="E342" s="9" t="s">
        <v>35</v>
      </c>
      <c r="F342" s="9" t="s">
        <v>36</v>
      </c>
      <c r="G342" s="9">
        <v>6</v>
      </c>
      <c r="H342" s="9">
        <v>84219999</v>
      </c>
      <c r="I342" s="11" t="s">
        <v>37</v>
      </c>
      <c r="J342" s="12">
        <v>1.6500000000000001E-2</v>
      </c>
      <c r="K342" s="12">
        <v>7.5999999999999998E-2</v>
      </c>
      <c r="L342" s="12">
        <v>5.1999999999999998E-2</v>
      </c>
      <c r="M342" s="13">
        <v>8003453068094</v>
      </c>
      <c r="N342" s="14">
        <v>8.8999999999999996E-2</v>
      </c>
      <c r="O342" s="14">
        <v>0.11</v>
      </c>
      <c r="P342" s="15">
        <v>44986</v>
      </c>
      <c r="Q342" s="16" t="s">
        <v>2195</v>
      </c>
      <c r="R342" s="17" t="s">
        <v>2196</v>
      </c>
      <c r="S342" s="17" t="s">
        <v>2197</v>
      </c>
      <c r="T342" s="17" t="s">
        <v>2198</v>
      </c>
      <c r="U342" s="17" t="s">
        <v>35</v>
      </c>
      <c r="V342" s="17" t="s">
        <v>35</v>
      </c>
      <c r="W342" s="17" t="s">
        <v>35</v>
      </c>
      <c r="X342" s="17" t="s">
        <v>2199</v>
      </c>
      <c r="Y342" s="17" t="s">
        <v>2200</v>
      </c>
      <c r="Z342" s="17" t="s">
        <v>35</v>
      </c>
      <c r="AA342" s="17" t="s">
        <v>35</v>
      </c>
      <c r="AB342" s="17" t="s">
        <v>35</v>
      </c>
      <c r="AC342" s="17" t="s">
        <v>9539</v>
      </c>
      <c r="AD342" s="42">
        <v>50.71</v>
      </c>
      <c r="AE342" s="42">
        <v>53.35</v>
      </c>
      <c r="AF342" s="48"/>
      <c r="AG342" s="44"/>
      <c r="AH342" s="7">
        <f t="shared" si="5"/>
        <v>0</v>
      </c>
      <c r="AI342" s="18"/>
      <c r="AJ342" s="18"/>
    </row>
    <row r="343" spans="1:38" ht="26.65" customHeight="1" x14ac:dyDescent="0.25">
      <c r="A343" s="10" t="s">
        <v>2201</v>
      </c>
      <c r="B343" s="9" t="s">
        <v>47</v>
      </c>
      <c r="C343" s="9" t="s">
        <v>43</v>
      </c>
      <c r="D343" s="9" t="s">
        <v>67</v>
      </c>
      <c r="E343" s="9" t="s">
        <v>35</v>
      </c>
      <c r="F343" s="9" t="s">
        <v>36</v>
      </c>
      <c r="G343" s="9">
        <v>6</v>
      </c>
      <c r="H343" s="9">
        <v>84219999</v>
      </c>
      <c r="I343" s="11" t="s">
        <v>37</v>
      </c>
      <c r="J343" s="12">
        <v>1.6500000000000001E-2</v>
      </c>
      <c r="K343" s="12">
        <v>7.5999999999999998E-2</v>
      </c>
      <c r="L343" s="12">
        <v>5.1999999999999998E-2</v>
      </c>
      <c r="M343" s="13">
        <v>8003453068100</v>
      </c>
      <c r="N343" s="14">
        <v>6.5000000000000002E-2</v>
      </c>
      <c r="O343" s="14">
        <v>8.5000000000000006E-2</v>
      </c>
      <c r="P343" s="15">
        <v>44774</v>
      </c>
      <c r="Q343" s="16" t="s">
        <v>2202</v>
      </c>
      <c r="R343" s="17" t="s">
        <v>2203</v>
      </c>
      <c r="S343" s="17" t="s">
        <v>2204</v>
      </c>
      <c r="T343" s="17" t="s">
        <v>35</v>
      </c>
      <c r="U343" s="17" t="s">
        <v>35</v>
      </c>
      <c r="V343" s="17" t="s">
        <v>2205</v>
      </c>
      <c r="W343" s="17" t="s">
        <v>35</v>
      </c>
      <c r="X343" s="17" t="s">
        <v>35</v>
      </c>
      <c r="Y343" s="17" t="s">
        <v>2206</v>
      </c>
      <c r="Z343" s="17" t="s">
        <v>35</v>
      </c>
      <c r="AA343" s="17" t="s">
        <v>35</v>
      </c>
      <c r="AB343" s="17" t="s">
        <v>35</v>
      </c>
      <c r="AC343" s="17" t="s">
        <v>9539</v>
      </c>
      <c r="AD343" s="42">
        <v>29.38</v>
      </c>
      <c r="AE343" s="42">
        <v>30.91</v>
      </c>
      <c r="AF343" s="48"/>
      <c r="AG343" s="44"/>
      <c r="AH343" s="7">
        <f t="shared" si="5"/>
        <v>0</v>
      </c>
      <c r="AI343" s="18"/>
      <c r="AJ343" s="18"/>
    </row>
    <row r="344" spans="1:38" ht="26.65" customHeight="1" x14ac:dyDescent="0.25">
      <c r="A344" s="10" t="s">
        <v>2207</v>
      </c>
      <c r="B344" s="9" t="s">
        <v>47</v>
      </c>
      <c r="C344" s="9" t="s">
        <v>43</v>
      </c>
      <c r="D344" s="9" t="s">
        <v>67</v>
      </c>
      <c r="E344" s="9" t="s">
        <v>122</v>
      </c>
      <c r="F344" s="9" t="s">
        <v>36</v>
      </c>
      <c r="G344" s="9">
        <v>6</v>
      </c>
      <c r="H344" s="9">
        <v>84219999</v>
      </c>
      <c r="I344" s="11" t="s">
        <v>37</v>
      </c>
      <c r="J344" s="12">
        <v>1.6500000000000001E-2</v>
      </c>
      <c r="K344" s="12">
        <v>7.5999999999999998E-2</v>
      </c>
      <c r="L344" s="12">
        <v>5.1999999999999998E-2</v>
      </c>
      <c r="M344" s="13">
        <v>8003453068384</v>
      </c>
      <c r="N344" s="14">
        <v>7.3999999999999996E-2</v>
      </c>
      <c r="O344" s="14">
        <v>0.105</v>
      </c>
      <c r="P344" s="15" t="s">
        <v>35</v>
      </c>
      <c r="Q344" s="16" t="s">
        <v>2208</v>
      </c>
      <c r="R344" s="17">
        <v>11428583898</v>
      </c>
      <c r="S344" s="17" t="s">
        <v>2209</v>
      </c>
      <c r="T344" s="17" t="s">
        <v>2210</v>
      </c>
      <c r="U344" s="17" t="s">
        <v>2211</v>
      </c>
      <c r="V344" s="17" t="s">
        <v>35</v>
      </c>
      <c r="W344" s="17" t="s">
        <v>35</v>
      </c>
      <c r="X344" s="17" t="s">
        <v>35</v>
      </c>
      <c r="Y344" s="17" t="s">
        <v>2212</v>
      </c>
      <c r="Z344" s="17" t="s">
        <v>35</v>
      </c>
      <c r="AA344" s="17" t="s">
        <v>35</v>
      </c>
      <c r="AB344" s="17" t="s">
        <v>35</v>
      </c>
      <c r="AC344" s="17" t="s">
        <v>9539</v>
      </c>
      <c r="AD344" s="42">
        <v>46.95</v>
      </c>
      <c r="AE344" s="42">
        <v>49.39</v>
      </c>
      <c r="AF344" s="48"/>
      <c r="AG344" s="44"/>
      <c r="AH344" s="7">
        <f t="shared" si="5"/>
        <v>0</v>
      </c>
      <c r="AI344" s="18"/>
      <c r="AJ344" s="18"/>
    </row>
    <row r="345" spans="1:38" ht="26.65" customHeight="1" x14ac:dyDescent="0.25">
      <c r="A345" s="10" t="s">
        <v>2213</v>
      </c>
      <c r="B345" s="9" t="s">
        <v>47</v>
      </c>
      <c r="C345" s="9" t="s">
        <v>43</v>
      </c>
      <c r="D345" s="9" t="s">
        <v>67</v>
      </c>
      <c r="E345" s="9" t="s">
        <v>122</v>
      </c>
      <c r="F345" s="9" t="s">
        <v>36</v>
      </c>
      <c r="G345" s="9">
        <v>6</v>
      </c>
      <c r="H345" s="9">
        <v>84219999</v>
      </c>
      <c r="I345" s="11" t="s">
        <v>37</v>
      </c>
      <c r="J345" s="12">
        <v>1.6500000000000001E-2</v>
      </c>
      <c r="K345" s="12">
        <v>7.5999999999999998E-2</v>
      </c>
      <c r="L345" s="12">
        <v>5.1999999999999998E-2</v>
      </c>
      <c r="M345" s="13">
        <v>8003453068506</v>
      </c>
      <c r="N345" s="14">
        <v>7.0000000000000007E-2</v>
      </c>
      <c r="O345" s="14">
        <v>9.7000000000000003E-2</v>
      </c>
      <c r="P345" s="15" t="s">
        <v>35</v>
      </c>
      <c r="Q345" s="16" t="s">
        <v>2214</v>
      </c>
      <c r="R345" s="17" t="s">
        <v>2215</v>
      </c>
      <c r="S345" s="17" t="s">
        <v>35</v>
      </c>
      <c r="T345" s="17" t="s">
        <v>2216</v>
      </c>
      <c r="U345" s="17" t="s">
        <v>35</v>
      </c>
      <c r="V345" s="17" t="s">
        <v>35</v>
      </c>
      <c r="W345" s="17" t="s">
        <v>35</v>
      </c>
      <c r="X345" s="17" t="s">
        <v>35</v>
      </c>
      <c r="Y345" s="17" t="s">
        <v>35</v>
      </c>
      <c r="Z345" s="17" t="s">
        <v>35</v>
      </c>
      <c r="AA345" s="17" t="s">
        <v>35</v>
      </c>
      <c r="AB345" s="17" t="s">
        <v>35</v>
      </c>
      <c r="AC345" s="17" t="s">
        <v>9539</v>
      </c>
      <c r="AD345" s="42">
        <v>86.75</v>
      </c>
      <c r="AE345" s="42">
        <v>91.26</v>
      </c>
      <c r="AF345" s="48"/>
      <c r="AG345" s="44"/>
      <c r="AH345" s="7">
        <f t="shared" si="5"/>
        <v>0</v>
      </c>
      <c r="AI345" s="18"/>
      <c r="AJ345" s="18"/>
    </row>
    <row r="346" spans="1:38" ht="26.65" customHeight="1" x14ac:dyDescent="0.25">
      <c r="A346" s="10" t="s">
        <v>2217</v>
      </c>
      <c r="B346" s="9" t="s">
        <v>47</v>
      </c>
      <c r="C346" s="9" t="s">
        <v>43</v>
      </c>
      <c r="D346" s="9" t="s">
        <v>67</v>
      </c>
      <c r="E346" s="9" t="s">
        <v>35</v>
      </c>
      <c r="F346" s="9" t="s">
        <v>36</v>
      </c>
      <c r="G346" s="9">
        <v>6</v>
      </c>
      <c r="H346" s="9">
        <v>84219999</v>
      </c>
      <c r="I346" s="11" t="s">
        <v>37</v>
      </c>
      <c r="J346" s="12">
        <v>1.6500000000000001E-2</v>
      </c>
      <c r="K346" s="12">
        <v>7.5999999999999998E-2</v>
      </c>
      <c r="L346" s="12">
        <v>5.1999999999999998E-2</v>
      </c>
      <c r="M346" s="13">
        <v>8003453068148</v>
      </c>
      <c r="N346" s="14">
        <v>7.0000000000000007E-2</v>
      </c>
      <c r="O346" s="14">
        <v>0.09</v>
      </c>
      <c r="P346" s="15" t="s">
        <v>35</v>
      </c>
      <c r="Q346" s="16" t="s">
        <v>2218</v>
      </c>
      <c r="R346" s="17" t="s">
        <v>2219</v>
      </c>
      <c r="S346" s="17" t="s">
        <v>2220</v>
      </c>
      <c r="T346" s="17" t="s">
        <v>2221</v>
      </c>
      <c r="U346" s="17" t="s">
        <v>2222</v>
      </c>
      <c r="V346" s="17" t="s">
        <v>2223</v>
      </c>
      <c r="W346" s="17" t="s">
        <v>2224</v>
      </c>
      <c r="X346" s="17" t="s">
        <v>2225</v>
      </c>
      <c r="Y346" s="17" t="s">
        <v>2226</v>
      </c>
      <c r="Z346" s="17" t="s">
        <v>35</v>
      </c>
      <c r="AA346" s="17" t="s">
        <v>35</v>
      </c>
      <c r="AB346" s="17" t="s">
        <v>35</v>
      </c>
      <c r="AC346" s="17" t="s">
        <v>9539</v>
      </c>
      <c r="AD346" s="41">
        <v>17.920000000000002</v>
      </c>
      <c r="AE346" s="41">
        <v>18.850000000000001</v>
      </c>
      <c r="AF346" s="48"/>
      <c r="AG346" s="44"/>
      <c r="AH346" s="7">
        <f t="shared" si="5"/>
        <v>0</v>
      </c>
      <c r="AI346" s="18"/>
      <c r="AJ346" s="18"/>
      <c r="AL346" s="18"/>
    </row>
    <row r="347" spans="1:38" ht="26.65" customHeight="1" x14ac:dyDescent="0.25">
      <c r="A347" s="10" t="s">
        <v>2227</v>
      </c>
      <c r="B347" s="9" t="s">
        <v>47</v>
      </c>
      <c r="C347" s="9" t="s">
        <v>43</v>
      </c>
      <c r="D347" s="9" t="s">
        <v>67</v>
      </c>
      <c r="E347" s="9" t="s">
        <v>35</v>
      </c>
      <c r="F347" s="9" t="s">
        <v>36</v>
      </c>
      <c r="G347" s="9">
        <v>6</v>
      </c>
      <c r="H347" s="9">
        <v>84219999</v>
      </c>
      <c r="I347" s="11" t="s">
        <v>37</v>
      </c>
      <c r="J347" s="12">
        <v>1.6500000000000001E-2</v>
      </c>
      <c r="K347" s="12">
        <v>7.5999999999999998E-2</v>
      </c>
      <c r="L347" s="12">
        <v>5.1999999999999998E-2</v>
      </c>
      <c r="M347" s="13">
        <v>8003453068155</v>
      </c>
      <c r="N347" s="14">
        <v>7.4999999999999997E-2</v>
      </c>
      <c r="O347" s="14">
        <v>9.4E-2</v>
      </c>
      <c r="P347" s="15" t="s">
        <v>35</v>
      </c>
      <c r="Q347" s="16" t="s">
        <v>2228</v>
      </c>
      <c r="R347" s="17" t="s">
        <v>35</v>
      </c>
      <c r="S347" s="17" t="s">
        <v>2229</v>
      </c>
      <c r="T347" s="17" t="s">
        <v>2230</v>
      </c>
      <c r="U347" s="17" t="s">
        <v>2231</v>
      </c>
      <c r="V347" s="17" t="s">
        <v>2232</v>
      </c>
      <c r="W347" s="17" t="s">
        <v>35</v>
      </c>
      <c r="X347" s="17" t="s">
        <v>2233</v>
      </c>
      <c r="Y347" s="17" t="s">
        <v>2234</v>
      </c>
      <c r="Z347" s="17" t="s">
        <v>35</v>
      </c>
      <c r="AA347" s="17" t="s">
        <v>35</v>
      </c>
      <c r="AB347" s="17" t="s">
        <v>35</v>
      </c>
      <c r="AC347" s="17" t="s">
        <v>9539</v>
      </c>
      <c r="AD347" s="41">
        <v>20.84</v>
      </c>
      <c r="AE347" s="41">
        <v>21.92</v>
      </c>
      <c r="AF347" s="48"/>
      <c r="AG347" s="44"/>
      <c r="AH347" s="7">
        <f t="shared" si="5"/>
        <v>0</v>
      </c>
      <c r="AI347" s="18"/>
      <c r="AJ347" s="18"/>
      <c r="AL347" s="18"/>
    </row>
    <row r="348" spans="1:38" ht="26.65" customHeight="1" x14ac:dyDescent="0.25">
      <c r="A348" s="10" t="s">
        <v>2235</v>
      </c>
      <c r="B348" s="9" t="s">
        <v>47</v>
      </c>
      <c r="C348" s="9" t="s">
        <v>43</v>
      </c>
      <c r="D348" s="9" t="s">
        <v>67</v>
      </c>
      <c r="E348" s="9" t="s">
        <v>35</v>
      </c>
      <c r="F348" s="9" t="s">
        <v>36</v>
      </c>
      <c r="G348" s="9">
        <v>6</v>
      </c>
      <c r="H348" s="9">
        <v>84219999</v>
      </c>
      <c r="I348" s="11" t="s">
        <v>37</v>
      </c>
      <c r="J348" s="12">
        <v>1.6500000000000001E-2</v>
      </c>
      <c r="K348" s="12">
        <v>7.5999999999999998E-2</v>
      </c>
      <c r="L348" s="12">
        <v>5.1999999999999998E-2</v>
      </c>
      <c r="M348" s="13">
        <v>8003453068162</v>
      </c>
      <c r="N348" s="14">
        <v>4.2999999999999997E-2</v>
      </c>
      <c r="O348" s="14">
        <v>5.5E-2</v>
      </c>
      <c r="P348" s="15" t="s">
        <v>35</v>
      </c>
      <c r="Q348" s="16" t="s">
        <v>2236</v>
      </c>
      <c r="R348" s="17" t="s">
        <v>35</v>
      </c>
      <c r="S348" s="17" t="s">
        <v>2237</v>
      </c>
      <c r="T348" s="17" t="s">
        <v>2238</v>
      </c>
      <c r="U348" s="17" t="s">
        <v>35</v>
      </c>
      <c r="V348" s="17" t="s">
        <v>2239</v>
      </c>
      <c r="W348" s="17" t="s">
        <v>2240</v>
      </c>
      <c r="X348" s="17" t="s">
        <v>2241</v>
      </c>
      <c r="Y348" s="17" t="s">
        <v>2242</v>
      </c>
      <c r="Z348" s="17" t="s">
        <v>35</v>
      </c>
      <c r="AA348" s="17" t="s">
        <v>35</v>
      </c>
      <c r="AB348" s="17" t="s">
        <v>35</v>
      </c>
      <c r="AC348" s="17" t="s">
        <v>9539</v>
      </c>
      <c r="AD348" s="42">
        <v>16.18</v>
      </c>
      <c r="AE348" s="42">
        <v>17.02</v>
      </c>
      <c r="AF348" s="48"/>
      <c r="AG348" s="44"/>
      <c r="AH348" s="7">
        <f t="shared" si="5"/>
        <v>0</v>
      </c>
      <c r="AI348" s="18"/>
      <c r="AJ348" s="18"/>
    </row>
    <row r="349" spans="1:38" ht="26.65" customHeight="1" x14ac:dyDescent="0.25">
      <c r="A349" s="10" t="s">
        <v>2243</v>
      </c>
      <c r="B349" s="9" t="s">
        <v>47</v>
      </c>
      <c r="C349" s="9" t="s">
        <v>43</v>
      </c>
      <c r="D349" s="9" t="s">
        <v>48</v>
      </c>
      <c r="E349" s="9" t="s">
        <v>35</v>
      </c>
      <c r="F349" s="9" t="s">
        <v>36</v>
      </c>
      <c r="G349" s="9">
        <v>6</v>
      </c>
      <c r="H349" s="9">
        <v>84219999</v>
      </c>
      <c r="I349" s="11" t="s">
        <v>37</v>
      </c>
      <c r="J349" s="12">
        <v>1.6500000000000001E-2</v>
      </c>
      <c r="K349" s="12">
        <v>7.5999999999999998E-2</v>
      </c>
      <c r="L349" s="12">
        <v>5.1999999999999998E-2</v>
      </c>
      <c r="M349" s="13">
        <v>8003453068193</v>
      </c>
      <c r="N349" s="14">
        <v>4.5999999999999999E-2</v>
      </c>
      <c r="O349" s="14">
        <v>0.06</v>
      </c>
      <c r="P349" s="15" t="s">
        <v>35</v>
      </c>
      <c r="Q349" s="16" t="s">
        <v>2244</v>
      </c>
      <c r="R349" s="17" t="s">
        <v>35</v>
      </c>
      <c r="S349" s="17" t="s">
        <v>2245</v>
      </c>
      <c r="T349" s="17" t="s">
        <v>2246</v>
      </c>
      <c r="U349" s="17" t="s">
        <v>35</v>
      </c>
      <c r="V349" s="17" t="s">
        <v>35</v>
      </c>
      <c r="W349" s="17" t="s">
        <v>35</v>
      </c>
      <c r="X349" s="17" t="s">
        <v>2247</v>
      </c>
      <c r="Y349" s="17" t="s">
        <v>2248</v>
      </c>
      <c r="Z349" s="17" t="s">
        <v>35</v>
      </c>
      <c r="AA349" s="17" t="s">
        <v>35</v>
      </c>
      <c r="AB349" s="17" t="s">
        <v>35</v>
      </c>
      <c r="AC349" s="17" t="s">
        <v>9539</v>
      </c>
      <c r="AD349" s="41">
        <v>35.53</v>
      </c>
      <c r="AE349" s="41">
        <v>37.380000000000003</v>
      </c>
      <c r="AF349" s="48"/>
      <c r="AG349" s="44"/>
      <c r="AH349" s="7">
        <f t="shared" si="5"/>
        <v>0</v>
      </c>
      <c r="AI349" s="18"/>
      <c r="AJ349" s="18"/>
      <c r="AL349" s="18"/>
    </row>
    <row r="350" spans="1:38" ht="26.65" customHeight="1" x14ac:dyDescent="0.25">
      <c r="A350" s="10" t="s">
        <v>2249</v>
      </c>
      <c r="B350" s="9" t="s">
        <v>47</v>
      </c>
      <c r="C350" s="9" t="s">
        <v>58</v>
      </c>
      <c r="D350" s="9" t="s">
        <v>48</v>
      </c>
      <c r="E350" s="9" t="s">
        <v>35</v>
      </c>
      <c r="F350" s="9" t="s">
        <v>36</v>
      </c>
      <c r="G350" s="9">
        <v>6</v>
      </c>
      <c r="H350" s="9">
        <v>84219999</v>
      </c>
      <c r="I350" s="11" t="s">
        <v>37</v>
      </c>
      <c r="J350" s="12">
        <v>1.6500000000000001E-2</v>
      </c>
      <c r="K350" s="12">
        <v>7.5999999999999998E-2</v>
      </c>
      <c r="L350" s="12">
        <v>5.1999999999999998E-2</v>
      </c>
      <c r="M350" s="13">
        <v>8003453068230</v>
      </c>
      <c r="N350" s="14">
        <v>0.66</v>
      </c>
      <c r="O350" s="14">
        <v>0.69</v>
      </c>
      <c r="P350" s="15">
        <v>44501</v>
      </c>
      <c r="Q350" s="16" t="s">
        <v>2250</v>
      </c>
      <c r="R350" s="17" t="s">
        <v>2251</v>
      </c>
      <c r="S350" s="17" t="s">
        <v>2252</v>
      </c>
      <c r="T350" s="17" t="s">
        <v>2253</v>
      </c>
      <c r="U350" s="17" t="s">
        <v>2254</v>
      </c>
      <c r="V350" s="17" t="s">
        <v>35</v>
      </c>
      <c r="W350" s="17" t="s">
        <v>35</v>
      </c>
      <c r="X350" s="17" t="s">
        <v>35</v>
      </c>
      <c r="Y350" s="17" t="s">
        <v>2255</v>
      </c>
      <c r="Z350" s="17" t="s">
        <v>35</v>
      </c>
      <c r="AA350" s="17" t="s">
        <v>35</v>
      </c>
      <c r="AB350" s="17" t="s">
        <v>2256</v>
      </c>
      <c r="AC350" s="17" t="s">
        <v>9539</v>
      </c>
      <c r="AD350" s="42">
        <v>116.05</v>
      </c>
      <c r="AE350" s="42">
        <v>122.08</v>
      </c>
      <c r="AF350" s="48"/>
      <c r="AG350" s="44"/>
      <c r="AH350" s="7">
        <f t="shared" si="5"/>
        <v>0</v>
      </c>
      <c r="AI350" s="18"/>
      <c r="AJ350" s="18"/>
    </row>
    <row r="351" spans="1:38" ht="26.65" customHeight="1" x14ac:dyDescent="0.25">
      <c r="A351" s="38" t="s">
        <v>2257</v>
      </c>
      <c r="B351" s="9" t="s">
        <v>47</v>
      </c>
      <c r="C351" s="9" t="s">
        <v>43</v>
      </c>
      <c r="D351" s="9" t="s">
        <v>67</v>
      </c>
      <c r="E351" s="9" t="s">
        <v>35</v>
      </c>
      <c r="F351" s="9" t="s">
        <v>36</v>
      </c>
      <c r="G351" s="9">
        <v>6</v>
      </c>
      <c r="H351" s="9">
        <v>84219999</v>
      </c>
      <c r="I351" s="11" t="s">
        <v>37</v>
      </c>
      <c r="J351" s="12">
        <v>1.6500000000000001E-2</v>
      </c>
      <c r="K351" s="12">
        <v>7.5999999999999998E-2</v>
      </c>
      <c r="L351" s="12">
        <v>5.1999999999999998E-2</v>
      </c>
      <c r="M351" s="13">
        <v>8003453068254</v>
      </c>
      <c r="N351" s="14">
        <v>5.6000000000000001E-2</v>
      </c>
      <c r="O351" s="14">
        <v>0.08</v>
      </c>
      <c r="P351" s="15" t="s">
        <v>35</v>
      </c>
      <c r="Q351" s="16" t="s">
        <v>1084</v>
      </c>
      <c r="R351" s="17" t="s">
        <v>35</v>
      </c>
      <c r="S351" s="17" t="s">
        <v>2258</v>
      </c>
      <c r="T351" s="17" t="s">
        <v>2259</v>
      </c>
      <c r="U351" s="17" t="s">
        <v>35</v>
      </c>
      <c r="V351" s="17" t="s">
        <v>2260</v>
      </c>
      <c r="W351" s="17" t="s">
        <v>2261</v>
      </c>
      <c r="X351" s="17" t="s">
        <v>2262</v>
      </c>
      <c r="Y351" s="17" t="s">
        <v>2263</v>
      </c>
      <c r="Z351" s="17" t="s">
        <v>35</v>
      </c>
      <c r="AA351" s="17" t="s">
        <v>35</v>
      </c>
      <c r="AB351" s="17" t="s">
        <v>35</v>
      </c>
      <c r="AC351" s="17" t="s">
        <v>9538</v>
      </c>
      <c r="AD351" s="42">
        <v>14.36</v>
      </c>
      <c r="AE351" s="42">
        <v>15.11</v>
      </c>
      <c r="AF351" s="48"/>
      <c r="AG351" s="44"/>
      <c r="AH351" s="7">
        <f t="shared" si="5"/>
        <v>0</v>
      </c>
      <c r="AI351" s="18"/>
      <c r="AJ351" s="18"/>
    </row>
    <row r="352" spans="1:38" ht="26.65" customHeight="1" x14ac:dyDescent="0.25">
      <c r="A352" s="10" t="s">
        <v>2264</v>
      </c>
      <c r="B352" s="9" t="s">
        <v>47</v>
      </c>
      <c r="C352" s="9" t="s">
        <v>43</v>
      </c>
      <c r="D352" s="9" t="s">
        <v>48</v>
      </c>
      <c r="E352" s="9" t="s">
        <v>35</v>
      </c>
      <c r="F352" s="9" t="s">
        <v>36</v>
      </c>
      <c r="G352" s="9">
        <v>6</v>
      </c>
      <c r="H352" s="9">
        <v>84219999</v>
      </c>
      <c r="I352" s="11" t="s">
        <v>37</v>
      </c>
      <c r="J352" s="12">
        <v>1.6500000000000001E-2</v>
      </c>
      <c r="K352" s="12">
        <v>7.5999999999999998E-2</v>
      </c>
      <c r="L352" s="12">
        <v>5.1999999999999998E-2</v>
      </c>
      <c r="M352" s="13">
        <v>8003453068278</v>
      </c>
      <c r="N352" s="14">
        <v>8.5000000000000006E-2</v>
      </c>
      <c r="O352" s="14">
        <v>0.1</v>
      </c>
      <c r="P352" s="15" t="s">
        <v>35</v>
      </c>
      <c r="Q352" s="16" t="s">
        <v>2265</v>
      </c>
      <c r="R352" s="17" t="s">
        <v>35</v>
      </c>
      <c r="S352" s="17" t="s">
        <v>2266</v>
      </c>
      <c r="T352" s="17" t="s">
        <v>35</v>
      </c>
      <c r="U352" s="17" t="s">
        <v>2267</v>
      </c>
      <c r="V352" s="17" t="s">
        <v>2268</v>
      </c>
      <c r="W352" s="17" t="s">
        <v>2269</v>
      </c>
      <c r="X352" s="17" t="s">
        <v>2270</v>
      </c>
      <c r="Y352" s="17" t="s">
        <v>2271</v>
      </c>
      <c r="Z352" s="17" t="s">
        <v>35</v>
      </c>
      <c r="AA352" s="17" t="s">
        <v>35</v>
      </c>
      <c r="AB352" s="17" t="s">
        <v>2272</v>
      </c>
      <c r="AC352" s="17" t="s">
        <v>9539</v>
      </c>
      <c r="AD352" s="42">
        <v>14.68</v>
      </c>
      <c r="AE352" s="42">
        <v>15.44</v>
      </c>
      <c r="AF352" s="48"/>
      <c r="AG352" s="44"/>
      <c r="AH352" s="7">
        <f t="shared" si="5"/>
        <v>0</v>
      </c>
      <c r="AI352" s="18"/>
      <c r="AJ352" s="18"/>
    </row>
    <row r="353" spans="1:38" ht="26.65" customHeight="1" x14ac:dyDescent="0.25">
      <c r="A353" s="10" t="s">
        <v>2273</v>
      </c>
      <c r="B353" s="9" t="s">
        <v>47</v>
      </c>
      <c r="C353" s="9" t="s">
        <v>43</v>
      </c>
      <c r="D353" s="9" t="s">
        <v>67</v>
      </c>
      <c r="E353" s="9" t="s">
        <v>35</v>
      </c>
      <c r="F353" s="9" t="s">
        <v>36</v>
      </c>
      <c r="G353" s="9">
        <v>6</v>
      </c>
      <c r="H353" s="9">
        <v>84219999</v>
      </c>
      <c r="I353" s="11" t="s">
        <v>37</v>
      </c>
      <c r="J353" s="12">
        <v>1.6500000000000001E-2</v>
      </c>
      <c r="K353" s="12">
        <v>7.5999999999999998E-2</v>
      </c>
      <c r="L353" s="12">
        <v>5.1999999999999998E-2</v>
      </c>
      <c r="M353" s="13">
        <v>8003453068285</v>
      </c>
      <c r="N353" s="14">
        <v>3.6999999999999998E-2</v>
      </c>
      <c r="O353" s="14">
        <v>5.2999999999999999E-2</v>
      </c>
      <c r="P353" s="15" t="s">
        <v>35</v>
      </c>
      <c r="Q353" s="16" t="s">
        <v>2274</v>
      </c>
      <c r="R353" s="17" t="s">
        <v>35</v>
      </c>
      <c r="S353" s="17" t="s">
        <v>2275</v>
      </c>
      <c r="T353" s="17" t="s">
        <v>2276</v>
      </c>
      <c r="U353" s="17" t="s">
        <v>35</v>
      </c>
      <c r="V353" s="17" t="s">
        <v>2277</v>
      </c>
      <c r="W353" s="17" t="s">
        <v>35</v>
      </c>
      <c r="X353" s="17" t="s">
        <v>2278</v>
      </c>
      <c r="Y353" s="17" t="s">
        <v>2279</v>
      </c>
      <c r="Z353" s="17" t="s">
        <v>35</v>
      </c>
      <c r="AA353" s="17" t="s">
        <v>35</v>
      </c>
      <c r="AB353" s="17" t="s">
        <v>35</v>
      </c>
      <c r="AC353" s="17" t="s">
        <v>9539</v>
      </c>
      <c r="AD353" s="42">
        <v>46.91</v>
      </c>
      <c r="AE353" s="42">
        <v>49.35</v>
      </c>
      <c r="AF353" s="48"/>
      <c r="AG353" s="44"/>
      <c r="AH353" s="7">
        <f t="shared" si="5"/>
        <v>0</v>
      </c>
      <c r="AI353" s="18"/>
      <c r="AJ353" s="18"/>
    </row>
    <row r="354" spans="1:38" ht="26.65" customHeight="1" x14ac:dyDescent="0.25">
      <c r="A354" s="10" t="s">
        <v>2280</v>
      </c>
      <c r="B354" s="9" t="s">
        <v>47</v>
      </c>
      <c r="C354" s="9" t="s">
        <v>43</v>
      </c>
      <c r="D354" s="9" t="s">
        <v>67</v>
      </c>
      <c r="E354" s="9" t="s">
        <v>35</v>
      </c>
      <c r="F354" s="9" t="s">
        <v>36</v>
      </c>
      <c r="G354" s="9">
        <v>6</v>
      </c>
      <c r="H354" s="9">
        <v>84219999</v>
      </c>
      <c r="I354" s="11" t="s">
        <v>37</v>
      </c>
      <c r="J354" s="12">
        <v>1.6500000000000001E-2</v>
      </c>
      <c r="K354" s="12">
        <v>7.5999999999999998E-2</v>
      </c>
      <c r="L354" s="12">
        <v>5.1999999999999998E-2</v>
      </c>
      <c r="M354" s="13">
        <v>8003453068292</v>
      </c>
      <c r="N354" s="14">
        <v>0.04</v>
      </c>
      <c r="O354" s="14">
        <v>6.5000000000000002E-2</v>
      </c>
      <c r="P354" s="15" t="s">
        <v>35</v>
      </c>
      <c r="Q354" s="16" t="s">
        <v>2281</v>
      </c>
      <c r="R354" s="17" t="s">
        <v>2282</v>
      </c>
      <c r="S354" s="17" t="s">
        <v>2283</v>
      </c>
      <c r="T354" s="17" t="s">
        <v>2284</v>
      </c>
      <c r="U354" s="17" t="s">
        <v>2285</v>
      </c>
      <c r="V354" s="17" t="s">
        <v>2286</v>
      </c>
      <c r="W354" s="17" t="s">
        <v>35</v>
      </c>
      <c r="X354" s="17" t="s">
        <v>2287</v>
      </c>
      <c r="Y354" s="17" t="s">
        <v>2288</v>
      </c>
      <c r="Z354" s="17" t="s">
        <v>35</v>
      </c>
      <c r="AA354" s="17" t="s">
        <v>35</v>
      </c>
      <c r="AB354" s="17" t="s">
        <v>35</v>
      </c>
      <c r="AC354" s="17" t="s">
        <v>9539</v>
      </c>
      <c r="AD354" s="42">
        <v>19.89</v>
      </c>
      <c r="AE354" s="42">
        <v>20.92</v>
      </c>
      <c r="AF354" s="48"/>
      <c r="AG354" s="44"/>
      <c r="AH354" s="7">
        <f t="shared" si="5"/>
        <v>0</v>
      </c>
      <c r="AI354" s="18"/>
      <c r="AJ354" s="18"/>
    </row>
    <row r="355" spans="1:38" ht="26.65" customHeight="1" x14ac:dyDescent="0.25">
      <c r="A355" s="10" t="s">
        <v>2289</v>
      </c>
      <c r="B355" s="9" t="s">
        <v>47</v>
      </c>
      <c r="C355" s="9" t="s">
        <v>43</v>
      </c>
      <c r="D355" s="9" t="s">
        <v>67</v>
      </c>
      <c r="E355" s="9" t="s">
        <v>35</v>
      </c>
      <c r="F355" s="9" t="s">
        <v>36</v>
      </c>
      <c r="G355" s="9">
        <v>6</v>
      </c>
      <c r="H355" s="9">
        <v>84219999</v>
      </c>
      <c r="I355" s="11" t="s">
        <v>37</v>
      </c>
      <c r="J355" s="12">
        <v>1.6500000000000001E-2</v>
      </c>
      <c r="K355" s="12">
        <v>7.5999999999999998E-2</v>
      </c>
      <c r="L355" s="12">
        <v>5.1999999999999998E-2</v>
      </c>
      <c r="M355" s="13">
        <v>8003453068308</v>
      </c>
      <c r="N355" s="14">
        <v>4.9000000000000002E-2</v>
      </c>
      <c r="O355" s="14">
        <v>7.1999999999999995E-2</v>
      </c>
      <c r="P355" s="15" t="s">
        <v>35</v>
      </c>
      <c r="Q355" s="16" t="s">
        <v>2290</v>
      </c>
      <c r="R355" s="17" t="s">
        <v>35</v>
      </c>
      <c r="S355" s="17" t="s">
        <v>2291</v>
      </c>
      <c r="T355" s="17" t="s">
        <v>2292</v>
      </c>
      <c r="U355" s="17" t="s">
        <v>2293</v>
      </c>
      <c r="V355" s="17" t="s">
        <v>35</v>
      </c>
      <c r="W355" s="17" t="s">
        <v>35</v>
      </c>
      <c r="X355" s="17" t="s">
        <v>2294</v>
      </c>
      <c r="Y355" s="17" t="s">
        <v>2295</v>
      </c>
      <c r="Z355" s="17" t="s">
        <v>35</v>
      </c>
      <c r="AA355" s="17" t="s">
        <v>35</v>
      </c>
      <c r="AB355" s="17" t="s">
        <v>35</v>
      </c>
      <c r="AC355" s="17" t="s">
        <v>9539</v>
      </c>
      <c r="AD355" s="42">
        <v>20.48</v>
      </c>
      <c r="AE355" s="42">
        <v>21.54</v>
      </c>
      <c r="AF355" s="48"/>
      <c r="AG355" s="44"/>
      <c r="AH355" s="7">
        <f t="shared" si="5"/>
        <v>0</v>
      </c>
      <c r="AI355" s="18"/>
      <c r="AJ355" s="18"/>
    </row>
    <row r="356" spans="1:38" ht="26.65" customHeight="1" x14ac:dyDescent="0.25">
      <c r="A356" s="38" t="s">
        <v>2296</v>
      </c>
      <c r="B356" s="9" t="s">
        <v>47</v>
      </c>
      <c r="C356" s="9" t="s">
        <v>58</v>
      </c>
      <c r="D356" s="9" t="s">
        <v>48</v>
      </c>
      <c r="E356" s="9" t="s">
        <v>122</v>
      </c>
      <c r="F356" s="9" t="s">
        <v>36</v>
      </c>
      <c r="G356" s="9">
        <v>6</v>
      </c>
      <c r="H356" s="9">
        <v>84219999</v>
      </c>
      <c r="I356" s="11" t="s">
        <v>37</v>
      </c>
      <c r="J356" s="12">
        <v>1.6500000000000001E-2</v>
      </c>
      <c r="K356" s="12">
        <v>7.5999999999999998E-2</v>
      </c>
      <c r="L356" s="12">
        <v>5.1999999999999998E-2</v>
      </c>
      <c r="M356" s="13">
        <v>8003453068650</v>
      </c>
      <c r="N356" s="14">
        <v>0.46</v>
      </c>
      <c r="O356" s="14">
        <v>0.64</v>
      </c>
      <c r="P356" s="15">
        <v>45231</v>
      </c>
      <c r="Q356" s="16" t="s">
        <v>2297</v>
      </c>
      <c r="R356" s="17" t="s">
        <v>2298</v>
      </c>
      <c r="S356" s="17" t="s">
        <v>2299</v>
      </c>
      <c r="T356" s="17" t="s">
        <v>2300</v>
      </c>
      <c r="U356" s="17" t="s">
        <v>35</v>
      </c>
      <c r="V356" s="17" t="s">
        <v>35</v>
      </c>
      <c r="W356" s="17" t="s">
        <v>35</v>
      </c>
      <c r="X356" s="17" t="s">
        <v>35</v>
      </c>
      <c r="Y356" s="17" t="s">
        <v>35</v>
      </c>
      <c r="Z356" s="17" t="s">
        <v>35</v>
      </c>
      <c r="AA356" s="17" t="s">
        <v>35</v>
      </c>
      <c r="AB356" s="17" t="s">
        <v>35</v>
      </c>
      <c r="AC356" s="17" t="s">
        <v>9538</v>
      </c>
      <c r="AD356" s="42">
        <v>128.87</v>
      </c>
      <c r="AE356" s="42">
        <v>135.57</v>
      </c>
      <c r="AF356" s="48"/>
      <c r="AG356" s="44"/>
      <c r="AH356" s="7">
        <f t="shared" si="5"/>
        <v>0</v>
      </c>
      <c r="AI356" s="18"/>
      <c r="AJ356" s="18"/>
    </row>
    <row r="357" spans="1:38" ht="26.65" customHeight="1" x14ac:dyDescent="0.25">
      <c r="A357" s="38" t="s">
        <v>2301</v>
      </c>
      <c r="B357" s="9" t="s">
        <v>47</v>
      </c>
      <c r="C357" s="9" t="s">
        <v>43</v>
      </c>
      <c r="D357" s="9" t="s">
        <v>67</v>
      </c>
      <c r="E357" s="9" t="s">
        <v>35</v>
      </c>
      <c r="F357" s="9" t="s">
        <v>36</v>
      </c>
      <c r="G357" s="9">
        <v>6</v>
      </c>
      <c r="H357" s="9">
        <v>84219999</v>
      </c>
      <c r="I357" s="11" t="s">
        <v>37</v>
      </c>
      <c r="J357" s="12">
        <v>1.6500000000000001E-2</v>
      </c>
      <c r="K357" s="12">
        <v>7.5999999999999998E-2</v>
      </c>
      <c r="L357" s="12">
        <v>5.1999999999999998E-2</v>
      </c>
      <c r="M357" s="13">
        <v>8003453068346</v>
      </c>
      <c r="N357" s="14">
        <v>5.5E-2</v>
      </c>
      <c r="O357" s="14">
        <v>7.4999999999999997E-2</v>
      </c>
      <c r="P357" s="15" t="s">
        <v>35</v>
      </c>
      <c r="Q357" s="16" t="s">
        <v>2302</v>
      </c>
      <c r="R357" s="17" t="s">
        <v>35</v>
      </c>
      <c r="S357" s="17" t="s">
        <v>2303</v>
      </c>
      <c r="T357" s="17" t="s">
        <v>2304</v>
      </c>
      <c r="U357" s="17" t="s">
        <v>35</v>
      </c>
      <c r="V357" s="17" t="s">
        <v>2305</v>
      </c>
      <c r="W357" s="17" t="s">
        <v>2306</v>
      </c>
      <c r="X357" s="17" t="s">
        <v>2307</v>
      </c>
      <c r="Y357" s="17" t="s">
        <v>2308</v>
      </c>
      <c r="Z357" s="17" t="s">
        <v>2309</v>
      </c>
      <c r="AA357" s="17" t="s">
        <v>35</v>
      </c>
      <c r="AB357" s="17" t="s">
        <v>35</v>
      </c>
      <c r="AC357" s="17" t="s">
        <v>9538</v>
      </c>
      <c r="AD357" s="42">
        <v>18.89</v>
      </c>
      <c r="AE357" s="42">
        <v>19.87</v>
      </c>
      <c r="AF357" s="48"/>
      <c r="AG357" s="44"/>
      <c r="AH357" s="7">
        <f t="shared" si="5"/>
        <v>0</v>
      </c>
      <c r="AI357" s="18"/>
      <c r="AJ357" s="18"/>
    </row>
    <row r="358" spans="1:38" ht="26.65" customHeight="1" x14ac:dyDescent="0.25">
      <c r="A358" s="10" t="s">
        <v>2310</v>
      </c>
      <c r="B358" s="9" t="s">
        <v>47</v>
      </c>
      <c r="C358" s="9" t="s">
        <v>43</v>
      </c>
      <c r="D358" s="9" t="s">
        <v>67</v>
      </c>
      <c r="E358" s="9" t="s">
        <v>35</v>
      </c>
      <c r="F358" s="9" t="s">
        <v>36</v>
      </c>
      <c r="G358" s="9">
        <v>6</v>
      </c>
      <c r="H358" s="9">
        <v>84219999</v>
      </c>
      <c r="I358" s="11" t="s">
        <v>37</v>
      </c>
      <c r="J358" s="12">
        <v>1.6500000000000001E-2</v>
      </c>
      <c r="K358" s="12">
        <v>7.5999999999999998E-2</v>
      </c>
      <c r="L358" s="12">
        <v>5.1999999999999998E-2</v>
      </c>
      <c r="M358" s="13">
        <v>8003453068353</v>
      </c>
      <c r="N358" s="14">
        <v>4.1000000000000002E-2</v>
      </c>
      <c r="O358" s="14">
        <v>5.0999999999999997E-2</v>
      </c>
      <c r="P358" s="15" t="s">
        <v>35</v>
      </c>
      <c r="Q358" s="16" t="s">
        <v>2311</v>
      </c>
      <c r="R358" s="17" t="s">
        <v>35</v>
      </c>
      <c r="S358" s="17" t="s">
        <v>2312</v>
      </c>
      <c r="T358" s="17" t="s">
        <v>2313</v>
      </c>
      <c r="U358" s="17" t="s">
        <v>2314</v>
      </c>
      <c r="V358" s="17" t="s">
        <v>2315</v>
      </c>
      <c r="W358" s="17" t="s">
        <v>35</v>
      </c>
      <c r="X358" s="17" t="s">
        <v>1973</v>
      </c>
      <c r="Y358" s="17" t="s">
        <v>2316</v>
      </c>
      <c r="Z358" s="17" t="s">
        <v>35</v>
      </c>
      <c r="AA358" s="17" t="s">
        <v>35</v>
      </c>
      <c r="AB358" s="17" t="s">
        <v>35</v>
      </c>
      <c r="AC358" s="17" t="s">
        <v>9539</v>
      </c>
      <c r="AD358" s="42">
        <v>32.479999999999997</v>
      </c>
      <c r="AE358" s="42">
        <v>34.17</v>
      </c>
      <c r="AF358" s="48"/>
      <c r="AG358" s="44"/>
      <c r="AH358" s="7">
        <f t="shared" si="5"/>
        <v>0</v>
      </c>
      <c r="AI358" s="18"/>
      <c r="AJ358" s="18"/>
    </row>
    <row r="359" spans="1:38" ht="26.65" customHeight="1" x14ac:dyDescent="0.25">
      <c r="A359" s="10" t="s">
        <v>2317</v>
      </c>
      <c r="B359" s="9" t="s">
        <v>47</v>
      </c>
      <c r="C359" s="9" t="s">
        <v>43</v>
      </c>
      <c r="D359" s="9" t="s">
        <v>48</v>
      </c>
      <c r="E359" s="9" t="s">
        <v>35</v>
      </c>
      <c r="F359" s="9" t="s">
        <v>36</v>
      </c>
      <c r="G359" s="9">
        <v>6</v>
      </c>
      <c r="H359" s="9">
        <v>84219999</v>
      </c>
      <c r="I359" s="11" t="s">
        <v>37</v>
      </c>
      <c r="J359" s="12">
        <v>1.6500000000000001E-2</v>
      </c>
      <c r="K359" s="12">
        <v>7.5999999999999998E-2</v>
      </c>
      <c r="L359" s="12">
        <v>5.1999999999999998E-2</v>
      </c>
      <c r="M359" s="13">
        <v>8003453068360</v>
      </c>
      <c r="N359" s="14">
        <v>0.08</v>
      </c>
      <c r="O359" s="14">
        <v>0.1</v>
      </c>
      <c r="P359" s="15" t="s">
        <v>35</v>
      </c>
      <c r="Q359" s="16" t="s">
        <v>2318</v>
      </c>
      <c r="R359" s="17" t="s">
        <v>35</v>
      </c>
      <c r="S359" s="17" t="s">
        <v>2319</v>
      </c>
      <c r="T359" s="17" t="s">
        <v>35</v>
      </c>
      <c r="U359" s="17" t="s">
        <v>35</v>
      </c>
      <c r="V359" s="17" t="s">
        <v>35</v>
      </c>
      <c r="W359" s="17" t="s">
        <v>35</v>
      </c>
      <c r="X359" s="17" t="s">
        <v>2320</v>
      </c>
      <c r="Y359" s="17" t="s">
        <v>2321</v>
      </c>
      <c r="Z359" s="17" t="s">
        <v>35</v>
      </c>
      <c r="AA359" s="17" t="s">
        <v>35</v>
      </c>
      <c r="AB359" s="17" t="s">
        <v>35</v>
      </c>
      <c r="AC359" s="17" t="s">
        <v>9539</v>
      </c>
      <c r="AD359" s="42">
        <v>36.6</v>
      </c>
      <c r="AE359" s="42">
        <v>38.5</v>
      </c>
      <c r="AF359" s="48"/>
      <c r="AG359" s="44"/>
      <c r="AH359" s="7">
        <f t="shared" si="5"/>
        <v>0</v>
      </c>
      <c r="AI359" s="18"/>
      <c r="AJ359" s="18"/>
    </row>
    <row r="360" spans="1:38" ht="26.65" customHeight="1" x14ac:dyDescent="0.25">
      <c r="A360" s="10" t="s">
        <v>2322</v>
      </c>
      <c r="B360" s="9" t="s">
        <v>47</v>
      </c>
      <c r="C360" s="9" t="s">
        <v>43</v>
      </c>
      <c r="D360" s="9" t="s">
        <v>67</v>
      </c>
      <c r="E360" s="9" t="s">
        <v>122</v>
      </c>
      <c r="F360" s="9" t="s">
        <v>36</v>
      </c>
      <c r="G360" s="9">
        <v>6</v>
      </c>
      <c r="H360" s="9">
        <v>84219999</v>
      </c>
      <c r="I360" s="11" t="s">
        <v>37</v>
      </c>
      <c r="J360" s="12">
        <v>1.6500000000000001E-2</v>
      </c>
      <c r="K360" s="12">
        <v>7.5999999999999998E-2</v>
      </c>
      <c r="L360" s="12">
        <v>5.1999999999999998E-2</v>
      </c>
      <c r="M360" s="13">
        <v>8003453068728</v>
      </c>
      <c r="N360" s="14">
        <v>0.1</v>
      </c>
      <c r="O360" s="14">
        <v>0.2</v>
      </c>
      <c r="P360" s="15">
        <v>45047</v>
      </c>
      <c r="Q360" s="16" t="s">
        <v>2323</v>
      </c>
      <c r="R360" s="17" t="s">
        <v>2324</v>
      </c>
      <c r="S360" s="17" t="s">
        <v>2325</v>
      </c>
      <c r="T360" s="17" t="s">
        <v>2326</v>
      </c>
      <c r="U360" s="17" t="s">
        <v>35</v>
      </c>
      <c r="V360" s="17" t="s">
        <v>2327</v>
      </c>
      <c r="W360" s="17" t="s">
        <v>35</v>
      </c>
      <c r="X360" s="17" t="s">
        <v>35</v>
      </c>
      <c r="Y360" s="17" t="s">
        <v>2328</v>
      </c>
      <c r="Z360" s="17" t="s">
        <v>35</v>
      </c>
      <c r="AA360" s="17" t="s">
        <v>35</v>
      </c>
      <c r="AB360" s="17" t="s">
        <v>35</v>
      </c>
      <c r="AC360" s="17" t="s">
        <v>9539</v>
      </c>
      <c r="AD360" s="42">
        <v>65.47</v>
      </c>
      <c r="AE360" s="42">
        <v>68.87</v>
      </c>
      <c r="AF360" s="48"/>
      <c r="AG360" s="44"/>
      <c r="AH360" s="7">
        <f t="shared" si="5"/>
        <v>0</v>
      </c>
      <c r="AI360" s="18"/>
      <c r="AJ360" s="18"/>
    </row>
    <row r="361" spans="1:38" ht="26.65" customHeight="1" x14ac:dyDescent="0.25">
      <c r="A361" s="10" t="s">
        <v>2329</v>
      </c>
      <c r="B361" s="9" t="s">
        <v>47</v>
      </c>
      <c r="C361" s="9" t="s">
        <v>43</v>
      </c>
      <c r="D361" s="9" t="s">
        <v>67</v>
      </c>
      <c r="E361" s="9" t="s">
        <v>35</v>
      </c>
      <c r="F361" s="9" t="s">
        <v>36</v>
      </c>
      <c r="G361" s="9">
        <v>6</v>
      </c>
      <c r="H361" s="9">
        <v>84219999</v>
      </c>
      <c r="I361" s="11" t="s">
        <v>37</v>
      </c>
      <c r="J361" s="12">
        <v>1.6500000000000001E-2</v>
      </c>
      <c r="K361" s="12">
        <v>7.5999999999999998E-2</v>
      </c>
      <c r="L361" s="12">
        <v>5.1999999999999998E-2</v>
      </c>
      <c r="M361" s="13">
        <v>8003453068391</v>
      </c>
      <c r="N361" s="14">
        <v>7.5999999999999998E-2</v>
      </c>
      <c r="O361" s="14">
        <v>0.104</v>
      </c>
      <c r="P361" s="15" t="s">
        <v>35</v>
      </c>
      <c r="Q361" s="16" t="s">
        <v>2330</v>
      </c>
      <c r="R361" s="17" t="s">
        <v>35</v>
      </c>
      <c r="S361" s="17" t="s">
        <v>2331</v>
      </c>
      <c r="T361" s="17" t="s">
        <v>35</v>
      </c>
      <c r="U361" s="17" t="s">
        <v>2332</v>
      </c>
      <c r="V361" s="17" t="s">
        <v>2333</v>
      </c>
      <c r="W361" s="17" t="s">
        <v>35</v>
      </c>
      <c r="X361" s="17" t="s">
        <v>2334</v>
      </c>
      <c r="Y361" s="17" t="s">
        <v>2335</v>
      </c>
      <c r="Z361" s="17" t="s">
        <v>35</v>
      </c>
      <c r="AA361" s="17" t="s">
        <v>35</v>
      </c>
      <c r="AB361" s="17" t="s">
        <v>35</v>
      </c>
      <c r="AC361" s="17" t="s">
        <v>9539</v>
      </c>
      <c r="AD361" s="41">
        <v>29.3</v>
      </c>
      <c r="AE361" s="41">
        <v>30.82</v>
      </c>
      <c r="AF361" s="48"/>
      <c r="AG361" s="44"/>
      <c r="AH361" s="7">
        <f t="shared" si="5"/>
        <v>0</v>
      </c>
      <c r="AI361" s="18"/>
      <c r="AJ361" s="18"/>
      <c r="AL361" s="18"/>
    </row>
    <row r="362" spans="1:38" ht="26.65" customHeight="1" x14ac:dyDescent="0.25">
      <c r="A362" s="10" t="s">
        <v>2336</v>
      </c>
      <c r="B362" s="9" t="s">
        <v>47</v>
      </c>
      <c r="C362" s="9" t="s">
        <v>43</v>
      </c>
      <c r="D362" s="9" t="s">
        <v>67</v>
      </c>
      <c r="E362" s="9" t="s">
        <v>35</v>
      </c>
      <c r="F362" s="9" t="s">
        <v>36</v>
      </c>
      <c r="G362" s="9">
        <v>6</v>
      </c>
      <c r="H362" s="9">
        <v>84219999</v>
      </c>
      <c r="I362" s="11" t="s">
        <v>37</v>
      </c>
      <c r="J362" s="12">
        <v>1.6500000000000001E-2</v>
      </c>
      <c r="K362" s="12">
        <v>7.5999999999999998E-2</v>
      </c>
      <c r="L362" s="12">
        <v>5.1999999999999998E-2</v>
      </c>
      <c r="M362" s="13">
        <v>8003453068407</v>
      </c>
      <c r="N362" s="14">
        <v>4.9000000000000002E-2</v>
      </c>
      <c r="O362" s="14">
        <v>6.9000000000000006E-2</v>
      </c>
      <c r="P362" s="15" t="s">
        <v>35</v>
      </c>
      <c r="Q362" s="16" t="s">
        <v>2337</v>
      </c>
      <c r="R362" s="17" t="s">
        <v>35</v>
      </c>
      <c r="S362" s="17" t="s">
        <v>2338</v>
      </c>
      <c r="T362" s="17" t="s">
        <v>2339</v>
      </c>
      <c r="U362" s="17" t="s">
        <v>35</v>
      </c>
      <c r="V362" s="17" t="s">
        <v>2340</v>
      </c>
      <c r="W362" s="17" t="s">
        <v>2341</v>
      </c>
      <c r="X362" s="17" t="s">
        <v>35</v>
      </c>
      <c r="Y362" s="17" t="s">
        <v>2342</v>
      </c>
      <c r="Z362" s="17" t="s">
        <v>35</v>
      </c>
      <c r="AA362" s="17" t="s">
        <v>35</v>
      </c>
      <c r="AB362" s="17" t="s">
        <v>35</v>
      </c>
      <c r="AC362" s="17" t="s">
        <v>9539</v>
      </c>
      <c r="AD362" s="42">
        <v>25.54</v>
      </c>
      <c r="AE362" s="42">
        <v>26.87</v>
      </c>
      <c r="AF362" s="48"/>
      <c r="AG362" s="44"/>
      <c r="AH362" s="7">
        <f t="shared" si="5"/>
        <v>0</v>
      </c>
      <c r="AI362" s="18"/>
      <c r="AJ362" s="18"/>
    </row>
    <row r="363" spans="1:38" ht="26.65" customHeight="1" x14ac:dyDescent="0.25">
      <c r="A363" s="10" t="s">
        <v>2343</v>
      </c>
      <c r="B363" s="9" t="s">
        <v>47</v>
      </c>
      <c r="C363" s="9" t="s">
        <v>43</v>
      </c>
      <c r="D363" s="9" t="s">
        <v>48</v>
      </c>
      <c r="E363" s="9" t="s">
        <v>35</v>
      </c>
      <c r="F363" s="9" t="s">
        <v>36</v>
      </c>
      <c r="G363" s="9">
        <v>6</v>
      </c>
      <c r="H363" s="9">
        <v>84219999</v>
      </c>
      <c r="I363" s="11" t="s">
        <v>37</v>
      </c>
      <c r="J363" s="12">
        <v>1.6500000000000001E-2</v>
      </c>
      <c r="K363" s="12">
        <v>7.5999999999999998E-2</v>
      </c>
      <c r="L363" s="12">
        <v>5.1999999999999998E-2</v>
      </c>
      <c r="M363" s="13">
        <v>8003453068421</v>
      </c>
      <c r="N363" s="14">
        <v>5.3999999999999999E-2</v>
      </c>
      <c r="O363" s="14">
        <v>9.7000000000000003E-2</v>
      </c>
      <c r="P363" s="15">
        <v>44531</v>
      </c>
      <c r="Q363" s="16" t="s">
        <v>2344</v>
      </c>
      <c r="R363" s="17">
        <v>11427634291</v>
      </c>
      <c r="S363" s="17" t="s">
        <v>2345</v>
      </c>
      <c r="T363" s="17" t="s">
        <v>35</v>
      </c>
      <c r="U363" s="17" t="s">
        <v>35</v>
      </c>
      <c r="V363" s="17" t="s">
        <v>2346</v>
      </c>
      <c r="W363" s="17" t="s">
        <v>35</v>
      </c>
      <c r="X363" s="17" t="s">
        <v>35</v>
      </c>
      <c r="Y363" s="17" t="s">
        <v>2347</v>
      </c>
      <c r="Z363" s="17" t="s">
        <v>35</v>
      </c>
      <c r="AA363" s="17" t="s">
        <v>35</v>
      </c>
      <c r="AB363" s="17" t="s">
        <v>35</v>
      </c>
      <c r="AC363" s="17" t="s">
        <v>9539</v>
      </c>
      <c r="AD363" s="41">
        <v>61.26</v>
      </c>
      <c r="AE363" s="41">
        <v>64.45</v>
      </c>
      <c r="AF363" s="48"/>
      <c r="AG363" s="44"/>
      <c r="AH363" s="7">
        <f t="shared" si="5"/>
        <v>0</v>
      </c>
      <c r="AI363" s="18"/>
      <c r="AJ363" s="18"/>
      <c r="AL363" s="18"/>
    </row>
    <row r="364" spans="1:38" ht="26.65" customHeight="1" x14ac:dyDescent="0.25">
      <c r="A364" s="38" t="s">
        <v>2348</v>
      </c>
      <c r="B364" s="9" t="s">
        <v>47</v>
      </c>
      <c r="C364" s="9" t="s">
        <v>43</v>
      </c>
      <c r="D364" s="9" t="s">
        <v>67</v>
      </c>
      <c r="E364" s="9" t="s">
        <v>35</v>
      </c>
      <c r="F364" s="9" t="s">
        <v>36</v>
      </c>
      <c r="G364" s="9">
        <v>6</v>
      </c>
      <c r="H364" s="9">
        <v>84219999</v>
      </c>
      <c r="I364" s="11" t="s">
        <v>37</v>
      </c>
      <c r="J364" s="12">
        <v>1.6500000000000001E-2</v>
      </c>
      <c r="K364" s="12">
        <v>7.5999999999999998E-2</v>
      </c>
      <c r="L364" s="12">
        <v>5.1999999999999998E-2</v>
      </c>
      <c r="M364" s="13">
        <v>8003453068438</v>
      </c>
      <c r="N364" s="14">
        <v>4.8000000000000001E-2</v>
      </c>
      <c r="O364" s="14">
        <v>7.5999999999999998E-2</v>
      </c>
      <c r="P364" s="15" t="s">
        <v>35</v>
      </c>
      <c r="Q364" s="16" t="s">
        <v>2349</v>
      </c>
      <c r="R364" s="17" t="s">
        <v>35</v>
      </c>
      <c r="S364" s="17" t="s">
        <v>2350</v>
      </c>
      <c r="T364" s="17" t="s">
        <v>2351</v>
      </c>
      <c r="U364" s="17" t="s">
        <v>2352</v>
      </c>
      <c r="V364" s="17" t="s">
        <v>35</v>
      </c>
      <c r="W364" s="17" t="s">
        <v>35</v>
      </c>
      <c r="X364" s="17" t="s">
        <v>2353</v>
      </c>
      <c r="Y364" s="17" t="s">
        <v>2354</v>
      </c>
      <c r="Z364" s="17" t="s">
        <v>35</v>
      </c>
      <c r="AA364" s="17" t="s">
        <v>35</v>
      </c>
      <c r="AB364" s="17" t="s">
        <v>35</v>
      </c>
      <c r="AC364" s="17" t="s">
        <v>9538</v>
      </c>
      <c r="AD364" s="41">
        <v>17.37</v>
      </c>
      <c r="AE364" s="41">
        <v>18.27</v>
      </c>
      <c r="AF364" s="48"/>
      <c r="AG364" s="44"/>
      <c r="AH364" s="7">
        <f t="shared" si="5"/>
        <v>0</v>
      </c>
      <c r="AI364" s="18"/>
      <c r="AJ364" s="18"/>
    </row>
    <row r="365" spans="1:38" ht="26.65" customHeight="1" x14ac:dyDescent="0.25">
      <c r="A365" s="10" t="s">
        <v>2355</v>
      </c>
      <c r="B365" s="9" t="s">
        <v>47</v>
      </c>
      <c r="C365" s="9" t="s">
        <v>58</v>
      </c>
      <c r="D365" s="9" t="s">
        <v>67</v>
      </c>
      <c r="E365" s="9" t="s">
        <v>35</v>
      </c>
      <c r="F365" s="9" t="s">
        <v>36</v>
      </c>
      <c r="G365" s="9">
        <v>6</v>
      </c>
      <c r="H365" s="9">
        <v>84219999</v>
      </c>
      <c r="I365" s="11" t="s">
        <v>37</v>
      </c>
      <c r="J365" s="12">
        <v>1.6500000000000001E-2</v>
      </c>
      <c r="K365" s="12">
        <v>7.5999999999999998E-2</v>
      </c>
      <c r="L365" s="12">
        <v>5.1999999999999998E-2</v>
      </c>
      <c r="M365" s="13">
        <v>8003453068452</v>
      </c>
      <c r="N365" s="14">
        <v>0.214</v>
      </c>
      <c r="O365" s="14">
        <v>0.27500000000000002</v>
      </c>
      <c r="P365" s="15" t="s">
        <v>35</v>
      </c>
      <c r="Q365" s="16" t="s">
        <v>2356</v>
      </c>
      <c r="R365" s="17" t="s">
        <v>35</v>
      </c>
      <c r="S365" s="17" t="s">
        <v>2357</v>
      </c>
      <c r="T365" s="17" t="s">
        <v>2358</v>
      </c>
      <c r="U365" s="17" t="s">
        <v>35</v>
      </c>
      <c r="V365" s="17" t="s">
        <v>2359</v>
      </c>
      <c r="W365" s="17" t="s">
        <v>2360</v>
      </c>
      <c r="X365" s="17" t="s">
        <v>35</v>
      </c>
      <c r="Y365" s="17" t="s">
        <v>2361</v>
      </c>
      <c r="Z365" s="17" t="s">
        <v>2362</v>
      </c>
      <c r="AA365" s="17" t="s">
        <v>35</v>
      </c>
      <c r="AB365" s="17" t="s">
        <v>2363</v>
      </c>
      <c r="AC365" s="17" t="s">
        <v>9539</v>
      </c>
      <c r="AD365" s="42">
        <v>39.159999999999997</v>
      </c>
      <c r="AE365" s="42">
        <v>41.2</v>
      </c>
      <c r="AF365" s="48"/>
      <c r="AG365" s="44"/>
      <c r="AH365" s="7">
        <f t="shared" si="5"/>
        <v>0</v>
      </c>
      <c r="AI365" s="18"/>
      <c r="AJ365" s="18"/>
    </row>
    <row r="366" spans="1:38" ht="26.65" customHeight="1" x14ac:dyDescent="0.25">
      <c r="A366" s="10" t="s">
        <v>2364</v>
      </c>
      <c r="B366" s="9" t="s">
        <v>47</v>
      </c>
      <c r="C366" s="9" t="s">
        <v>43</v>
      </c>
      <c r="D366" s="9" t="s">
        <v>67</v>
      </c>
      <c r="E366" s="9" t="s">
        <v>35</v>
      </c>
      <c r="F366" s="9" t="s">
        <v>36</v>
      </c>
      <c r="G366" s="9">
        <v>6</v>
      </c>
      <c r="H366" s="9">
        <v>84219999</v>
      </c>
      <c r="I366" s="11" t="s">
        <v>37</v>
      </c>
      <c r="J366" s="12">
        <v>1.6500000000000001E-2</v>
      </c>
      <c r="K366" s="12">
        <v>7.5999999999999998E-2</v>
      </c>
      <c r="L366" s="12">
        <v>5.1999999999999998E-2</v>
      </c>
      <c r="M366" s="13">
        <v>8003453068490</v>
      </c>
      <c r="N366" s="14">
        <v>6.3E-2</v>
      </c>
      <c r="O366" s="14">
        <v>8.6999999999999994E-2</v>
      </c>
      <c r="P366" s="15" t="s">
        <v>35</v>
      </c>
      <c r="Q366" s="16" t="s">
        <v>2365</v>
      </c>
      <c r="R366" s="17" t="s">
        <v>35</v>
      </c>
      <c r="S366" s="17" t="s">
        <v>2366</v>
      </c>
      <c r="T366" s="17" t="s">
        <v>2367</v>
      </c>
      <c r="U366" s="17" t="s">
        <v>35</v>
      </c>
      <c r="V366" s="17" t="s">
        <v>2368</v>
      </c>
      <c r="W366" s="17" t="s">
        <v>35</v>
      </c>
      <c r="X366" s="17" t="s">
        <v>35</v>
      </c>
      <c r="Y366" s="17" t="s">
        <v>2369</v>
      </c>
      <c r="Z366" s="17" t="s">
        <v>35</v>
      </c>
      <c r="AA366" s="17" t="s">
        <v>35</v>
      </c>
      <c r="AB366" s="17" t="s">
        <v>35</v>
      </c>
      <c r="AC366" s="17" t="s">
        <v>9539</v>
      </c>
      <c r="AD366" s="42">
        <v>38.43</v>
      </c>
      <c r="AE366" s="42">
        <v>40.43</v>
      </c>
      <c r="AF366" s="48"/>
      <c r="AG366" s="44"/>
      <c r="AH366" s="7">
        <f t="shared" si="5"/>
        <v>0</v>
      </c>
      <c r="AI366" s="18"/>
      <c r="AJ366" s="18"/>
    </row>
    <row r="367" spans="1:38" ht="26.65" customHeight="1" x14ac:dyDescent="0.25">
      <c r="A367" s="10" t="s">
        <v>2370</v>
      </c>
      <c r="B367" s="9" t="s">
        <v>47</v>
      </c>
      <c r="C367" s="9" t="s">
        <v>43</v>
      </c>
      <c r="D367" s="9" t="s">
        <v>67</v>
      </c>
      <c r="E367" s="9" t="s">
        <v>35</v>
      </c>
      <c r="F367" s="9" t="s">
        <v>36</v>
      </c>
      <c r="G367" s="9">
        <v>6</v>
      </c>
      <c r="H367" s="9">
        <v>84219999</v>
      </c>
      <c r="I367" s="11" t="s">
        <v>37</v>
      </c>
      <c r="J367" s="12">
        <v>1.6500000000000001E-2</v>
      </c>
      <c r="K367" s="12">
        <v>7.5999999999999998E-2</v>
      </c>
      <c r="L367" s="12">
        <v>5.1999999999999998E-2</v>
      </c>
      <c r="M367" s="13">
        <v>8003453068537</v>
      </c>
      <c r="N367" s="14">
        <v>4.5999999999999999E-2</v>
      </c>
      <c r="O367" s="14">
        <v>8.3000000000000004E-2</v>
      </c>
      <c r="P367" s="15" t="s">
        <v>35</v>
      </c>
      <c r="Q367" s="16" t="s">
        <v>2371</v>
      </c>
      <c r="R367" s="17" t="s">
        <v>35</v>
      </c>
      <c r="S367" s="17" t="s">
        <v>2372</v>
      </c>
      <c r="T367" s="17" t="s">
        <v>2373</v>
      </c>
      <c r="U367" s="17" t="s">
        <v>2374</v>
      </c>
      <c r="V367" s="17" t="s">
        <v>35</v>
      </c>
      <c r="W367" s="17" t="s">
        <v>35</v>
      </c>
      <c r="X367" s="17" t="s">
        <v>2375</v>
      </c>
      <c r="Y367" s="17" t="s">
        <v>2376</v>
      </c>
      <c r="Z367" s="17" t="s">
        <v>35</v>
      </c>
      <c r="AA367" s="17" t="s">
        <v>35</v>
      </c>
      <c r="AB367" s="17" t="s">
        <v>35</v>
      </c>
      <c r="AC367" s="17" t="s">
        <v>9539</v>
      </c>
      <c r="AD367" s="42">
        <v>17.440000000000001</v>
      </c>
      <c r="AE367" s="42">
        <v>18.350000000000001</v>
      </c>
      <c r="AF367" s="48"/>
      <c r="AG367" s="44"/>
      <c r="AH367" s="7">
        <f t="shared" si="5"/>
        <v>0</v>
      </c>
      <c r="AI367" s="18"/>
      <c r="AJ367" s="18"/>
    </row>
    <row r="368" spans="1:38" ht="26.65" customHeight="1" x14ac:dyDescent="0.25">
      <c r="A368" s="10" t="s">
        <v>2377</v>
      </c>
      <c r="B368" s="9" t="s">
        <v>47</v>
      </c>
      <c r="C368" s="9" t="s">
        <v>43</v>
      </c>
      <c r="D368" s="9" t="s">
        <v>67</v>
      </c>
      <c r="E368" s="9" t="s">
        <v>35</v>
      </c>
      <c r="F368" s="9" t="s">
        <v>36</v>
      </c>
      <c r="G368" s="9">
        <v>6</v>
      </c>
      <c r="H368" s="9">
        <v>84219999</v>
      </c>
      <c r="I368" s="11" t="s">
        <v>37</v>
      </c>
      <c r="J368" s="12">
        <v>1.6500000000000001E-2</v>
      </c>
      <c r="K368" s="12">
        <v>7.5999999999999998E-2</v>
      </c>
      <c r="L368" s="12">
        <v>5.1999999999999998E-2</v>
      </c>
      <c r="M368" s="13">
        <v>8003453068544</v>
      </c>
      <c r="N368" s="14">
        <v>4.2000000000000003E-2</v>
      </c>
      <c r="O368" s="14">
        <v>7.0000000000000007E-2</v>
      </c>
      <c r="P368" s="15">
        <v>45047</v>
      </c>
      <c r="Q368" s="16" t="s">
        <v>2378</v>
      </c>
      <c r="R368" s="17" t="s">
        <v>2379</v>
      </c>
      <c r="S368" s="17" t="s">
        <v>2380</v>
      </c>
      <c r="T368" s="17" t="s">
        <v>2381</v>
      </c>
      <c r="U368" s="17" t="s">
        <v>2382</v>
      </c>
      <c r="V368" s="17" t="s">
        <v>35</v>
      </c>
      <c r="W368" s="17" t="s">
        <v>35</v>
      </c>
      <c r="X368" s="17" t="s">
        <v>2383</v>
      </c>
      <c r="Y368" s="17" t="s">
        <v>8632</v>
      </c>
      <c r="Z368" s="17" t="s">
        <v>35</v>
      </c>
      <c r="AA368" s="17" t="s">
        <v>35</v>
      </c>
      <c r="AB368" s="17" t="s">
        <v>35</v>
      </c>
      <c r="AC368" s="17" t="s">
        <v>9539</v>
      </c>
      <c r="AD368" s="41">
        <v>76.069999999999993</v>
      </c>
      <c r="AE368" s="41">
        <v>80.03</v>
      </c>
      <c r="AF368" s="48"/>
      <c r="AG368" s="44"/>
      <c r="AH368" s="7">
        <f t="shared" si="5"/>
        <v>0</v>
      </c>
      <c r="AI368" s="18"/>
      <c r="AJ368" s="18"/>
      <c r="AL368" s="18"/>
    </row>
    <row r="369" spans="1:38" ht="26.65" customHeight="1" x14ac:dyDescent="0.25">
      <c r="A369" s="10" t="s">
        <v>10549</v>
      </c>
      <c r="B369" s="9" t="s">
        <v>47</v>
      </c>
      <c r="C369" s="9" t="s">
        <v>43</v>
      </c>
      <c r="D369" s="9" t="s">
        <v>67</v>
      </c>
      <c r="E369" s="9" t="s">
        <v>35</v>
      </c>
      <c r="F369" s="9" t="s">
        <v>36</v>
      </c>
      <c r="G369" s="9">
        <v>6</v>
      </c>
      <c r="H369" s="9">
        <v>84219999</v>
      </c>
      <c r="I369" s="11" t="s">
        <v>37</v>
      </c>
      <c r="J369" s="12">
        <v>1.6500000000000001E-2</v>
      </c>
      <c r="K369" s="12">
        <v>7.5999999999999998E-2</v>
      </c>
      <c r="L369" s="12">
        <v>5.1999999999999998E-2</v>
      </c>
      <c r="M369" s="13" t="s">
        <v>35</v>
      </c>
      <c r="N369" s="14" t="s">
        <v>35</v>
      </c>
      <c r="O369" s="14" t="s">
        <v>35</v>
      </c>
      <c r="P369" s="15">
        <v>45597</v>
      </c>
      <c r="Q369" s="16" t="s">
        <v>2378</v>
      </c>
      <c r="R369" s="17" t="s">
        <v>35</v>
      </c>
      <c r="S369" s="17" t="s">
        <v>10550</v>
      </c>
      <c r="T369" s="17" t="s">
        <v>10551</v>
      </c>
      <c r="U369" s="17" t="s">
        <v>10552</v>
      </c>
      <c r="V369" s="17" t="s">
        <v>35</v>
      </c>
      <c r="W369" s="17" t="s">
        <v>35</v>
      </c>
      <c r="X369" s="17" t="s">
        <v>10553</v>
      </c>
      <c r="Y369" s="17" t="s">
        <v>8632</v>
      </c>
      <c r="Z369" s="17" t="s">
        <v>35</v>
      </c>
      <c r="AA369" s="17" t="s">
        <v>35</v>
      </c>
      <c r="AB369" s="17" t="s">
        <v>35</v>
      </c>
      <c r="AC369" s="17" t="s">
        <v>9539</v>
      </c>
      <c r="AD369" s="41">
        <v>29.96</v>
      </c>
      <c r="AE369" s="41">
        <v>31.52</v>
      </c>
      <c r="AF369" s="48"/>
      <c r="AG369" s="44"/>
      <c r="AH369" s="7">
        <f t="shared" si="5"/>
        <v>0</v>
      </c>
      <c r="AI369" s="18"/>
      <c r="AJ369" s="18"/>
    </row>
    <row r="370" spans="1:38" ht="26.65" customHeight="1" x14ac:dyDescent="0.25">
      <c r="A370" s="38" t="s">
        <v>2384</v>
      </c>
      <c r="B370" s="9" t="s">
        <v>47</v>
      </c>
      <c r="C370" s="9" t="s">
        <v>43</v>
      </c>
      <c r="D370" s="9" t="s">
        <v>67</v>
      </c>
      <c r="E370" s="9" t="s">
        <v>35</v>
      </c>
      <c r="F370" s="9" t="s">
        <v>36</v>
      </c>
      <c r="G370" s="9">
        <v>6</v>
      </c>
      <c r="H370" s="9">
        <v>84219999</v>
      </c>
      <c r="I370" s="11" t="s">
        <v>37</v>
      </c>
      <c r="J370" s="12">
        <v>1.6500000000000001E-2</v>
      </c>
      <c r="K370" s="12">
        <v>7.5999999999999998E-2</v>
      </c>
      <c r="L370" s="12">
        <v>5.1999999999999998E-2</v>
      </c>
      <c r="M370" s="13">
        <v>8003453068575</v>
      </c>
      <c r="N370" s="14">
        <v>0.05</v>
      </c>
      <c r="O370" s="14">
        <v>7.0999999999999994E-2</v>
      </c>
      <c r="P370" s="15" t="s">
        <v>35</v>
      </c>
      <c r="Q370" s="16" t="s">
        <v>2385</v>
      </c>
      <c r="R370" s="17" t="s">
        <v>35</v>
      </c>
      <c r="S370" s="17" t="s">
        <v>2386</v>
      </c>
      <c r="T370" s="17" t="s">
        <v>2387</v>
      </c>
      <c r="U370" s="17" t="s">
        <v>35</v>
      </c>
      <c r="V370" s="17" t="s">
        <v>2388</v>
      </c>
      <c r="W370" s="17" t="s">
        <v>2389</v>
      </c>
      <c r="X370" s="17" t="s">
        <v>2390</v>
      </c>
      <c r="Y370" s="17" t="s">
        <v>2391</v>
      </c>
      <c r="Z370" s="17" t="s">
        <v>35</v>
      </c>
      <c r="AA370" s="17" t="s">
        <v>35</v>
      </c>
      <c r="AB370" s="17" t="s">
        <v>35</v>
      </c>
      <c r="AC370" s="17" t="s">
        <v>9538</v>
      </c>
      <c r="AD370" s="42">
        <v>11.79</v>
      </c>
      <c r="AE370" s="42">
        <v>12.4</v>
      </c>
      <c r="AF370" s="48"/>
      <c r="AG370" s="44"/>
      <c r="AH370" s="7">
        <f t="shared" si="5"/>
        <v>0</v>
      </c>
      <c r="AI370" s="18"/>
      <c r="AJ370" s="18"/>
    </row>
    <row r="371" spans="1:38" ht="26.65" customHeight="1" x14ac:dyDescent="0.25">
      <c r="A371" s="10" t="s">
        <v>2392</v>
      </c>
      <c r="B371" s="9" t="s">
        <v>47</v>
      </c>
      <c r="C371" s="9" t="s">
        <v>43</v>
      </c>
      <c r="D371" s="9" t="s">
        <v>48</v>
      </c>
      <c r="E371" s="9" t="s">
        <v>35</v>
      </c>
      <c r="F371" s="9" t="s">
        <v>36</v>
      </c>
      <c r="G371" s="9">
        <v>6</v>
      </c>
      <c r="H371" s="9">
        <v>84219999</v>
      </c>
      <c r="I371" s="11" t="s">
        <v>37</v>
      </c>
      <c r="J371" s="12">
        <v>1.6500000000000001E-2</v>
      </c>
      <c r="K371" s="12">
        <v>7.5999999999999998E-2</v>
      </c>
      <c r="L371" s="12">
        <v>5.1999999999999998E-2</v>
      </c>
      <c r="M371" s="13">
        <v>8003453068582</v>
      </c>
      <c r="N371" s="14">
        <v>4.3999999999999997E-2</v>
      </c>
      <c r="O371" s="14">
        <v>7.0000000000000007E-2</v>
      </c>
      <c r="P371" s="15" t="s">
        <v>35</v>
      </c>
      <c r="Q371" s="16" t="s">
        <v>2393</v>
      </c>
      <c r="R371" s="17" t="s">
        <v>35</v>
      </c>
      <c r="S371" s="17" t="s">
        <v>2394</v>
      </c>
      <c r="T371" s="17" t="s">
        <v>2053</v>
      </c>
      <c r="U371" s="17" t="s">
        <v>2395</v>
      </c>
      <c r="V371" s="17" t="s">
        <v>35</v>
      </c>
      <c r="W371" s="17" t="s">
        <v>35</v>
      </c>
      <c r="X371" s="17" t="s">
        <v>35</v>
      </c>
      <c r="Y371" s="17" t="s">
        <v>2396</v>
      </c>
      <c r="Z371" s="17" t="s">
        <v>35</v>
      </c>
      <c r="AA371" s="17" t="s">
        <v>35</v>
      </c>
      <c r="AB371" s="17" t="s">
        <v>35</v>
      </c>
      <c r="AC371" s="17" t="s">
        <v>9539</v>
      </c>
      <c r="AD371" s="42">
        <v>35.71</v>
      </c>
      <c r="AE371" s="42">
        <v>37.57</v>
      </c>
      <c r="AF371" s="48"/>
      <c r="AG371" s="44"/>
      <c r="AH371" s="7">
        <f t="shared" si="5"/>
        <v>0</v>
      </c>
      <c r="AI371" s="18"/>
      <c r="AJ371" s="18"/>
    </row>
    <row r="372" spans="1:38" ht="26.65" customHeight="1" x14ac:dyDescent="0.25">
      <c r="A372" s="10" t="s">
        <v>2397</v>
      </c>
      <c r="B372" s="9" t="s">
        <v>47</v>
      </c>
      <c r="C372" s="9" t="s">
        <v>43</v>
      </c>
      <c r="D372" s="9" t="s">
        <v>67</v>
      </c>
      <c r="E372" s="9" t="s">
        <v>35</v>
      </c>
      <c r="F372" s="9" t="s">
        <v>36</v>
      </c>
      <c r="G372" s="9">
        <v>6</v>
      </c>
      <c r="H372" s="9">
        <v>84219999</v>
      </c>
      <c r="I372" s="11" t="s">
        <v>37</v>
      </c>
      <c r="J372" s="12">
        <v>1.6500000000000001E-2</v>
      </c>
      <c r="K372" s="12">
        <v>7.5999999999999998E-2</v>
      </c>
      <c r="L372" s="12">
        <v>5.1999999999999998E-2</v>
      </c>
      <c r="M372" s="13">
        <v>8003453068605</v>
      </c>
      <c r="N372" s="14">
        <v>7.8E-2</v>
      </c>
      <c r="O372" s="14">
        <v>0.1</v>
      </c>
      <c r="P372" s="15" t="s">
        <v>35</v>
      </c>
      <c r="Q372" s="16" t="s">
        <v>2398</v>
      </c>
      <c r="R372" s="17" t="s">
        <v>35</v>
      </c>
      <c r="S372" s="17" t="s">
        <v>2399</v>
      </c>
      <c r="T372" s="17" t="s">
        <v>35</v>
      </c>
      <c r="U372" s="17" t="s">
        <v>2400</v>
      </c>
      <c r="V372" s="17" t="s">
        <v>35</v>
      </c>
      <c r="W372" s="17" t="s">
        <v>35</v>
      </c>
      <c r="X372" s="17" t="s">
        <v>2401</v>
      </c>
      <c r="Y372" s="17" t="s">
        <v>2402</v>
      </c>
      <c r="Z372" s="17" t="s">
        <v>35</v>
      </c>
      <c r="AA372" s="17" t="s">
        <v>35</v>
      </c>
      <c r="AB372" s="17" t="s">
        <v>35</v>
      </c>
      <c r="AC372" s="17" t="s">
        <v>9539</v>
      </c>
      <c r="AD372" s="42">
        <v>52.98</v>
      </c>
      <c r="AE372" s="42">
        <v>55.73</v>
      </c>
      <c r="AF372" s="48"/>
      <c r="AG372" s="44"/>
      <c r="AH372" s="7">
        <f t="shared" si="5"/>
        <v>0</v>
      </c>
      <c r="AI372" s="18"/>
      <c r="AJ372" s="18"/>
    </row>
    <row r="373" spans="1:38" ht="26.65" customHeight="1" x14ac:dyDescent="0.25">
      <c r="A373" s="10" t="s">
        <v>2403</v>
      </c>
      <c r="B373" s="9" t="s">
        <v>2090</v>
      </c>
      <c r="C373" s="9" t="s">
        <v>43</v>
      </c>
      <c r="D373" s="9" t="s">
        <v>48</v>
      </c>
      <c r="E373" s="9" t="s">
        <v>35</v>
      </c>
      <c r="F373" s="9" t="s">
        <v>36</v>
      </c>
      <c r="G373" s="9">
        <v>6</v>
      </c>
      <c r="H373" s="9">
        <v>84219999</v>
      </c>
      <c r="I373" s="11" t="s">
        <v>37</v>
      </c>
      <c r="J373" s="12">
        <v>1.6500000000000001E-2</v>
      </c>
      <c r="K373" s="12">
        <v>7.5999999999999998E-2</v>
      </c>
      <c r="L373" s="12">
        <v>5.1999999999999998E-2</v>
      </c>
      <c r="M373" s="13">
        <v>8003453068636</v>
      </c>
      <c r="N373" s="14">
        <v>8.7999999999999995E-2</v>
      </c>
      <c r="O373" s="14">
        <v>0.128</v>
      </c>
      <c r="P373" s="15">
        <v>45017</v>
      </c>
      <c r="Q373" s="16" t="s">
        <v>2404</v>
      </c>
      <c r="R373" s="17" t="s">
        <v>2405</v>
      </c>
      <c r="S373" s="17" t="s">
        <v>2406</v>
      </c>
      <c r="T373" s="17" t="s">
        <v>2407</v>
      </c>
      <c r="U373" s="17" t="s">
        <v>2408</v>
      </c>
      <c r="V373" s="17" t="s">
        <v>2409</v>
      </c>
      <c r="W373" s="17" t="s">
        <v>35</v>
      </c>
      <c r="X373" s="17" t="s">
        <v>35</v>
      </c>
      <c r="Y373" s="17" t="s">
        <v>2410</v>
      </c>
      <c r="Z373" s="17" t="s">
        <v>35</v>
      </c>
      <c r="AA373" s="17" t="s">
        <v>35</v>
      </c>
      <c r="AB373" s="17" t="s">
        <v>35</v>
      </c>
      <c r="AC373" s="17" t="s">
        <v>9539</v>
      </c>
      <c r="AD373" s="42">
        <v>76.52</v>
      </c>
      <c r="AE373" s="42">
        <v>80.5</v>
      </c>
      <c r="AF373" s="48"/>
      <c r="AG373" s="44"/>
      <c r="AH373" s="7">
        <f t="shared" si="5"/>
        <v>0</v>
      </c>
      <c r="AI373" s="18"/>
      <c r="AJ373" s="18"/>
    </row>
    <row r="374" spans="1:38" ht="26.65" customHeight="1" x14ac:dyDescent="0.25">
      <c r="A374" s="10" t="s">
        <v>2411</v>
      </c>
      <c r="B374" s="9" t="s">
        <v>47</v>
      </c>
      <c r="C374" s="9" t="s">
        <v>43</v>
      </c>
      <c r="D374" s="9" t="s">
        <v>48</v>
      </c>
      <c r="E374" s="9" t="s">
        <v>35</v>
      </c>
      <c r="F374" s="9" t="s">
        <v>36</v>
      </c>
      <c r="G374" s="9">
        <v>6</v>
      </c>
      <c r="H374" s="9">
        <v>84219999</v>
      </c>
      <c r="I374" s="11" t="s">
        <v>37</v>
      </c>
      <c r="J374" s="12">
        <v>1.6500000000000001E-2</v>
      </c>
      <c r="K374" s="12">
        <v>7.5999999999999998E-2</v>
      </c>
      <c r="L374" s="12">
        <v>5.1999999999999998E-2</v>
      </c>
      <c r="M374" s="13">
        <v>8003453068643</v>
      </c>
      <c r="N374" s="14">
        <v>4.8000000000000001E-2</v>
      </c>
      <c r="O374" s="14">
        <v>6.8000000000000005E-2</v>
      </c>
      <c r="P374" s="15" t="s">
        <v>35</v>
      </c>
      <c r="Q374" s="16" t="s">
        <v>2412</v>
      </c>
      <c r="R374" s="17" t="s">
        <v>2413</v>
      </c>
      <c r="S374" s="17" t="s">
        <v>2414</v>
      </c>
      <c r="T374" s="17" t="s">
        <v>2415</v>
      </c>
      <c r="U374" s="17" t="s">
        <v>35</v>
      </c>
      <c r="V374" s="17" t="s">
        <v>35</v>
      </c>
      <c r="W374" s="17" t="s">
        <v>35</v>
      </c>
      <c r="X374" s="17" t="s">
        <v>35</v>
      </c>
      <c r="Y374" s="17" t="s">
        <v>2416</v>
      </c>
      <c r="Z374" s="17" t="s">
        <v>35</v>
      </c>
      <c r="AA374" s="17" t="s">
        <v>35</v>
      </c>
      <c r="AB374" s="17" t="s">
        <v>35</v>
      </c>
      <c r="AC374" s="17" t="s">
        <v>9539</v>
      </c>
      <c r="AD374" s="42">
        <v>48.78</v>
      </c>
      <c r="AE374" s="42">
        <v>51.32</v>
      </c>
      <c r="AF374" s="48"/>
      <c r="AG374" s="44"/>
      <c r="AH374" s="7">
        <f t="shared" si="5"/>
        <v>0</v>
      </c>
      <c r="AI374" s="18"/>
      <c r="AJ374" s="18"/>
    </row>
    <row r="375" spans="1:38" ht="26.65" customHeight="1" x14ac:dyDescent="0.25">
      <c r="A375" s="38" t="s">
        <v>9827</v>
      </c>
      <c r="B375" s="9" t="s">
        <v>47</v>
      </c>
      <c r="C375" s="9" t="s">
        <v>58</v>
      </c>
      <c r="D375" s="9" t="s">
        <v>67</v>
      </c>
      <c r="E375" s="9" t="s">
        <v>122</v>
      </c>
      <c r="F375" s="9" t="s">
        <v>36</v>
      </c>
      <c r="G375" s="9">
        <v>6</v>
      </c>
      <c r="H375" s="9">
        <v>84219999</v>
      </c>
      <c r="I375" s="11" t="s">
        <v>37</v>
      </c>
      <c r="J375" s="12">
        <v>1.6500000000000001E-2</v>
      </c>
      <c r="K375" s="12">
        <v>7.5999999999999998E-2</v>
      </c>
      <c r="L375" s="12">
        <v>5.1999999999999998E-2</v>
      </c>
      <c r="M375" s="13">
        <v>8003453071070</v>
      </c>
      <c r="N375" s="14" t="s">
        <v>35</v>
      </c>
      <c r="O375" s="14" t="s">
        <v>35</v>
      </c>
      <c r="P375" s="15">
        <v>45536</v>
      </c>
      <c r="Q375" s="16" t="s">
        <v>9828</v>
      </c>
      <c r="R375" s="17" t="s">
        <v>9829</v>
      </c>
      <c r="S375" s="17" t="s">
        <v>35</v>
      </c>
      <c r="T375" s="17" t="s">
        <v>35</v>
      </c>
      <c r="U375" s="17" t="s">
        <v>35</v>
      </c>
      <c r="V375" s="17" t="s">
        <v>35</v>
      </c>
      <c r="W375" s="17" t="s">
        <v>35</v>
      </c>
      <c r="X375" s="17" t="s">
        <v>35</v>
      </c>
      <c r="Y375" s="17" t="s">
        <v>35</v>
      </c>
      <c r="Z375" s="17" t="s">
        <v>35</v>
      </c>
      <c r="AA375" s="17" t="s">
        <v>35</v>
      </c>
      <c r="AB375" s="17" t="s">
        <v>35</v>
      </c>
      <c r="AC375" s="17" t="s">
        <v>9538</v>
      </c>
      <c r="AD375" s="41">
        <v>129.57</v>
      </c>
      <c r="AE375" s="41">
        <v>136.31</v>
      </c>
      <c r="AF375" s="48"/>
      <c r="AG375" s="44"/>
      <c r="AH375" s="7">
        <f t="shared" si="5"/>
        <v>0</v>
      </c>
      <c r="AI375" s="18"/>
      <c r="AJ375" s="18"/>
    </row>
    <row r="376" spans="1:38" ht="26.65" customHeight="1" x14ac:dyDescent="0.25">
      <c r="A376" s="10" t="s">
        <v>2417</v>
      </c>
      <c r="B376" s="9" t="s">
        <v>47</v>
      </c>
      <c r="C376" s="9" t="s">
        <v>43</v>
      </c>
      <c r="D376" s="9" t="s">
        <v>67</v>
      </c>
      <c r="E376" s="9" t="s">
        <v>35</v>
      </c>
      <c r="F376" s="9" t="s">
        <v>36</v>
      </c>
      <c r="G376" s="9">
        <v>6</v>
      </c>
      <c r="H376" s="9">
        <v>84219999</v>
      </c>
      <c r="I376" s="11" t="s">
        <v>37</v>
      </c>
      <c r="J376" s="12">
        <v>1.6500000000000001E-2</v>
      </c>
      <c r="K376" s="12">
        <v>7.5999999999999998E-2</v>
      </c>
      <c r="L376" s="12">
        <v>5.1999999999999998E-2</v>
      </c>
      <c r="M376" s="13">
        <v>8003453068674</v>
      </c>
      <c r="N376" s="14">
        <v>0.10199999999999999</v>
      </c>
      <c r="O376" s="14">
        <v>0.129</v>
      </c>
      <c r="P376" s="15">
        <v>45047</v>
      </c>
      <c r="Q376" s="16" t="s">
        <v>2418</v>
      </c>
      <c r="R376" s="17" t="s">
        <v>2419</v>
      </c>
      <c r="S376" s="17" t="s">
        <v>2420</v>
      </c>
      <c r="T376" s="17" t="s">
        <v>2421</v>
      </c>
      <c r="U376" s="17" t="s">
        <v>2422</v>
      </c>
      <c r="V376" s="17" t="s">
        <v>35</v>
      </c>
      <c r="W376" s="17" t="s">
        <v>35</v>
      </c>
      <c r="X376" s="17" t="s">
        <v>2423</v>
      </c>
      <c r="Y376" s="17" t="s">
        <v>8633</v>
      </c>
      <c r="Z376" s="17" t="s">
        <v>35</v>
      </c>
      <c r="AA376" s="17" t="s">
        <v>35</v>
      </c>
      <c r="AB376" s="17" t="s">
        <v>35</v>
      </c>
      <c r="AC376" s="17" t="s">
        <v>9539</v>
      </c>
      <c r="AD376" s="41">
        <v>59.99</v>
      </c>
      <c r="AE376" s="41">
        <v>63.11</v>
      </c>
      <c r="AF376" s="48"/>
      <c r="AG376" s="44"/>
      <c r="AH376" s="7">
        <f t="shared" si="5"/>
        <v>0</v>
      </c>
      <c r="AI376" s="18"/>
      <c r="AJ376" s="18"/>
      <c r="AL376" s="18"/>
    </row>
    <row r="377" spans="1:38" ht="26.65" customHeight="1" x14ac:dyDescent="0.25">
      <c r="A377" s="10" t="s">
        <v>2424</v>
      </c>
      <c r="B377" s="9" t="s">
        <v>1998</v>
      </c>
      <c r="C377" s="9" t="s">
        <v>43</v>
      </c>
      <c r="D377" s="9" t="s">
        <v>67</v>
      </c>
      <c r="E377" s="9" t="s">
        <v>35</v>
      </c>
      <c r="F377" s="9" t="s">
        <v>36</v>
      </c>
      <c r="G377" s="9">
        <v>6</v>
      </c>
      <c r="H377" s="9">
        <v>84219999</v>
      </c>
      <c r="I377" s="11" t="s">
        <v>37</v>
      </c>
      <c r="J377" s="12">
        <v>1.6500000000000001E-2</v>
      </c>
      <c r="K377" s="12">
        <v>7.5999999999999998E-2</v>
      </c>
      <c r="L377" s="12">
        <v>5.1999999999999998E-2</v>
      </c>
      <c r="M377" s="13">
        <v>8003453068711</v>
      </c>
      <c r="N377" s="14">
        <v>5.6000000000000001E-2</v>
      </c>
      <c r="O377" s="14">
        <v>8.6999999999999994E-2</v>
      </c>
      <c r="P377" s="15">
        <v>45170</v>
      </c>
      <c r="Q377" s="16" t="s">
        <v>2425</v>
      </c>
      <c r="R377" s="17" t="s">
        <v>2426</v>
      </c>
      <c r="S377" s="17" t="s">
        <v>2427</v>
      </c>
      <c r="T377" s="17" t="s">
        <v>2428</v>
      </c>
      <c r="U377" s="17" t="s">
        <v>35</v>
      </c>
      <c r="V377" s="17" t="s">
        <v>35</v>
      </c>
      <c r="W377" s="17" t="s">
        <v>35</v>
      </c>
      <c r="X377" s="17" t="s">
        <v>2429</v>
      </c>
      <c r="Y377" s="17" t="s">
        <v>2430</v>
      </c>
      <c r="Z377" s="17" t="s">
        <v>35</v>
      </c>
      <c r="AA377" s="17" t="s">
        <v>35</v>
      </c>
      <c r="AB377" s="17" t="s">
        <v>35</v>
      </c>
      <c r="AC377" s="17" t="s">
        <v>9539</v>
      </c>
      <c r="AD377" s="42">
        <v>68.53</v>
      </c>
      <c r="AE377" s="42">
        <v>72.09</v>
      </c>
      <c r="AF377" s="48"/>
      <c r="AG377" s="44"/>
      <c r="AH377" s="7">
        <f t="shared" si="5"/>
        <v>0</v>
      </c>
      <c r="AI377" s="18"/>
      <c r="AJ377" s="18"/>
    </row>
    <row r="378" spans="1:38" ht="26.65" customHeight="1" x14ac:dyDescent="0.25">
      <c r="A378" s="10" t="s">
        <v>2431</v>
      </c>
      <c r="B378" s="9" t="s">
        <v>47</v>
      </c>
      <c r="C378" s="9" t="s">
        <v>43</v>
      </c>
      <c r="D378" s="9" t="s">
        <v>67</v>
      </c>
      <c r="E378" s="9" t="s">
        <v>35</v>
      </c>
      <c r="F378" s="9" t="s">
        <v>36</v>
      </c>
      <c r="G378" s="9">
        <v>6</v>
      </c>
      <c r="H378" s="9">
        <v>84219999</v>
      </c>
      <c r="I378" s="11" t="s">
        <v>37</v>
      </c>
      <c r="J378" s="12">
        <v>1.6500000000000001E-2</v>
      </c>
      <c r="K378" s="12">
        <v>7.5999999999999998E-2</v>
      </c>
      <c r="L378" s="12">
        <v>5.1999999999999998E-2</v>
      </c>
      <c r="M378" s="13">
        <v>8003453068780</v>
      </c>
      <c r="N378" s="14">
        <v>4.5999999999999999E-2</v>
      </c>
      <c r="O378" s="14">
        <v>6.3E-2</v>
      </c>
      <c r="P378" s="15">
        <v>44835</v>
      </c>
      <c r="Q378" s="16" t="s">
        <v>8634</v>
      </c>
      <c r="R378" s="17" t="s">
        <v>2432</v>
      </c>
      <c r="S378" s="17" t="s">
        <v>2433</v>
      </c>
      <c r="T378" s="17" t="s">
        <v>2434</v>
      </c>
      <c r="U378" s="17" t="s">
        <v>2435</v>
      </c>
      <c r="V378" s="17" t="s">
        <v>35</v>
      </c>
      <c r="W378" s="17" t="s">
        <v>35</v>
      </c>
      <c r="X378" s="17" t="s">
        <v>2436</v>
      </c>
      <c r="Y378" s="17" t="s">
        <v>8635</v>
      </c>
      <c r="Z378" s="17" t="s">
        <v>35</v>
      </c>
      <c r="AA378" s="17" t="s">
        <v>35</v>
      </c>
      <c r="AB378" s="17" t="s">
        <v>35</v>
      </c>
      <c r="AC378" s="17" t="s">
        <v>9539</v>
      </c>
      <c r="AD378" s="42">
        <v>42.11</v>
      </c>
      <c r="AE378" s="42">
        <v>44.3</v>
      </c>
      <c r="AF378" s="48"/>
      <c r="AG378" s="44"/>
      <c r="AH378" s="7">
        <f t="shared" si="5"/>
        <v>0</v>
      </c>
      <c r="AI378" s="18"/>
      <c r="AJ378" s="18"/>
    </row>
    <row r="379" spans="1:38" ht="26.65" customHeight="1" x14ac:dyDescent="0.25">
      <c r="A379" s="10" t="s">
        <v>2437</v>
      </c>
      <c r="B379" s="9" t="s">
        <v>47</v>
      </c>
      <c r="C379" s="9" t="s">
        <v>43</v>
      </c>
      <c r="D379" s="9" t="s">
        <v>67</v>
      </c>
      <c r="E379" s="9" t="s">
        <v>35</v>
      </c>
      <c r="F379" s="9" t="s">
        <v>36</v>
      </c>
      <c r="G379" s="9">
        <v>6</v>
      </c>
      <c r="H379" s="9">
        <v>84219999</v>
      </c>
      <c r="I379" s="11" t="s">
        <v>37</v>
      </c>
      <c r="J379" s="12">
        <v>1.6500000000000001E-2</v>
      </c>
      <c r="K379" s="12">
        <v>7.5999999999999998E-2</v>
      </c>
      <c r="L379" s="12">
        <v>5.1999999999999998E-2</v>
      </c>
      <c r="M379" s="13">
        <v>8003453068797</v>
      </c>
      <c r="N379" s="14">
        <v>0.04</v>
      </c>
      <c r="O379" s="14">
        <v>6.5000000000000002E-2</v>
      </c>
      <c r="P379" s="15">
        <v>45047</v>
      </c>
      <c r="Q379" s="16" t="s">
        <v>2438</v>
      </c>
      <c r="R379" s="17" t="s">
        <v>2439</v>
      </c>
      <c r="S379" s="17" t="s">
        <v>2440</v>
      </c>
      <c r="T379" s="17" t="s">
        <v>2441</v>
      </c>
      <c r="U379" s="17" t="s">
        <v>2442</v>
      </c>
      <c r="V379" s="17" t="s">
        <v>2443</v>
      </c>
      <c r="W379" s="17" t="s">
        <v>35</v>
      </c>
      <c r="X379" s="17" t="s">
        <v>35</v>
      </c>
      <c r="Y379" s="17" t="s">
        <v>2444</v>
      </c>
      <c r="Z379" s="17" t="s">
        <v>35</v>
      </c>
      <c r="AA379" s="17" t="s">
        <v>35</v>
      </c>
      <c r="AB379" s="17" t="s">
        <v>35</v>
      </c>
      <c r="AC379" s="17" t="s">
        <v>9539</v>
      </c>
      <c r="AD379" s="42">
        <v>54.65</v>
      </c>
      <c r="AE379" s="42">
        <v>57.49</v>
      </c>
      <c r="AF379" s="48"/>
      <c r="AG379" s="44"/>
      <c r="AH379" s="7">
        <f t="shared" si="5"/>
        <v>0</v>
      </c>
      <c r="AI379" s="18"/>
      <c r="AJ379" s="18"/>
    </row>
    <row r="380" spans="1:38" ht="26.65" customHeight="1" x14ac:dyDescent="0.25">
      <c r="A380" s="10" t="s">
        <v>8636</v>
      </c>
      <c r="B380" s="9" t="s">
        <v>2090</v>
      </c>
      <c r="C380" s="9" t="s">
        <v>43</v>
      </c>
      <c r="D380" s="9" t="s">
        <v>67</v>
      </c>
      <c r="E380" s="9" t="s">
        <v>35</v>
      </c>
      <c r="F380" s="9" t="s">
        <v>36</v>
      </c>
      <c r="G380" s="9">
        <v>6</v>
      </c>
      <c r="H380" s="9">
        <v>84219999</v>
      </c>
      <c r="I380" s="11" t="s">
        <v>37</v>
      </c>
      <c r="J380" s="12">
        <v>1.6500000000000001E-2</v>
      </c>
      <c r="K380" s="12">
        <v>7.5999999999999998E-2</v>
      </c>
      <c r="L380" s="12">
        <v>5.1999999999999998E-2</v>
      </c>
      <c r="M380" s="13">
        <v>8003453068834</v>
      </c>
      <c r="N380" s="14">
        <v>7.0999999999999994E-2</v>
      </c>
      <c r="O380" s="14">
        <v>0.1</v>
      </c>
      <c r="P380" s="15">
        <v>45292</v>
      </c>
      <c r="Q380" s="16" t="s">
        <v>2445</v>
      </c>
      <c r="R380" s="17" t="s">
        <v>2446</v>
      </c>
      <c r="S380" s="17" t="s">
        <v>35</v>
      </c>
      <c r="T380" s="17" t="s">
        <v>35</v>
      </c>
      <c r="U380" s="17" t="s">
        <v>2447</v>
      </c>
      <c r="V380" s="17" t="s">
        <v>2448</v>
      </c>
      <c r="W380" s="17" t="s">
        <v>2449</v>
      </c>
      <c r="X380" s="17" t="s">
        <v>2450</v>
      </c>
      <c r="Y380" s="17" t="s">
        <v>2451</v>
      </c>
      <c r="Z380" s="17" t="s">
        <v>35</v>
      </c>
      <c r="AA380" s="17" t="s">
        <v>35</v>
      </c>
      <c r="AB380" s="17" t="s">
        <v>35</v>
      </c>
      <c r="AC380" s="17" t="s">
        <v>9539</v>
      </c>
      <c r="AD380" s="42">
        <v>19.899999999999999</v>
      </c>
      <c r="AE380" s="42">
        <v>20.93</v>
      </c>
      <c r="AF380" s="48"/>
      <c r="AG380" s="44"/>
      <c r="AH380" s="7">
        <f t="shared" si="5"/>
        <v>0</v>
      </c>
      <c r="AI380" s="18"/>
      <c r="AJ380" s="18"/>
    </row>
    <row r="381" spans="1:38" ht="26.65" customHeight="1" x14ac:dyDescent="0.25">
      <c r="A381" s="10" t="s">
        <v>10124</v>
      </c>
      <c r="B381" s="9" t="s">
        <v>47</v>
      </c>
      <c r="C381" s="9" t="s">
        <v>34</v>
      </c>
      <c r="D381" s="9" t="s">
        <v>48</v>
      </c>
      <c r="E381" s="9" t="s">
        <v>35</v>
      </c>
      <c r="F381" s="9" t="s">
        <v>36</v>
      </c>
      <c r="G381" s="9">
        <v>6</v>
      </c>
      <c r="H381" s="9">
        <v>84219999</v>
      </c>
      <c r="I381" s="11" t="s">
        <v>37</v>
      </c>
      <c r="J381" s="12">
        <v>1.6500000000000001E-2</v>
      </c>
      <c r="K381" s="12">
        <v>7.5999999999999998E-2</v>
      </c>
      <c r="L381" s="12">
        <v>5.1999999999999998E-2</v>
      </c>
      <c r="M381" s="13">
        <v>8003453802827</v>
      </c>
      <c r="N381" s="14">
        <v>0</v>
      </c>
      <c r="O381" s="14">
        <v>0</v>
      </c>
      <c r="P381" s="15">
        <v>45566</v>
      </c>
      <c r="Q381" s="16" t="s">
        <v>10125</v>
      </c>
      <c r="R381" s="17">
        <v>3223155</v>
      </c>
      <c r="S381" s="17" t="s">
        <v>35</v>
      </c>
      <c r="T381" s="17" t="s">
        <v>35</v>
      </c>
      <c r="U381" s="17" t="s">
        <v>35</v>
      </c>
      <c r="V381" s="17" t="s">
        <v>10126</v>
      </c>
      <c r="W381" s="17" t="s">
        <v>35</v>
      </c>
      <c r="X381" s="17" t="s">
        <v>35</v>
      </c>
      <c r="Y381" s="17" t="s">
        <v>10127</v>
      </c>
      <c r="Z381" s="17" t="s">
        <v>35</v>
      </c>
      <c r="AA381" s="17" t="s">
        <v>35</v>
      </c>
      <c r="AB381" s="17" t="s">
        <v>35</v>
      </c>
      <c r="AC381" s="17" t="s">
        <v>9539</v>
      </c>
      <c r="AD381" s="41">
        <v>56.83</v>
      </c>
      <c r="AE381" s="41">
        <v>59.79</v>
      </c>
      <c r="AF381" s="48"/>
      <c r="AG381" s="44"/>
      <c r="AH381" s="7">
        <f t="shared" si="5"/>
        <v>0</v>
      </c>
      <c r="AI381" s="18"/>
      <c r="AJ381" s="18"/>
    </row>
    <row r="382" spans="1:38" ht="26.65" customHeight="1" x14ac:dyDescent="0.25">
      <c r="A382" s="10" t="s">
        <v>10128</v>
      </c>
      <c r="B382" s="9" t="s">
        <v>1998</v>
      </c>
      <c r="C382" s="9" t="s">
        <v>58</v>
      </c>
      <c r="D382" s="9" t="s">
        <v>67</v>
      </c>
      <c r="E382" s="9" t="s">
        <v>35</v>
      </c>
      <c r="F382" s="9" t="s">
        <v>36</v>
      </c>
      <c r="G382" s="9">
        <v>6</v>
      </c>
      <c r="H382" s="9">
        <v>84219999</v>
      </c>
      <c r="I382" s="11" t="s">
        <v>37</v>
      </c>
      <c r="J382" s="12">
        <v>1.6500000000000001E-2</v>
      </c>
      <c r="K382" s="12">
        <v>7.5999999999999998E-2</v>
      </c>
      <c r="L382" s="12">
        <v>5.1999999999999998E-2</v>
      </c>
      <c r="M382" s="13">
        <v>8003453811102</v>
      </c>
      <c r="N382" s="14">
        <v>0.05</v>
      </c>
      <c r="O382" s="14">
        <v>0.128</v>
      </c>
      <c r="P382" s="15">
        <v>45566</v>
      </c>
      <c r="Q382" s="16" t="s">
        <v>10129</v>
      </c>
      <c r="R382" s="17" t="s">
        <v>35</v>
      </c>
      <c r="S382" s="17" t="s">
        <v>10130</v>
      </c>
      <c r="T382" s="17" t="s">
        <v>10131</v>
      </c>
      <c r="U382" s="17" t="s">
        <v>10132</v>
      </c>
      <c r="V382" s="17" t="s">
        <v>35</v>
      </c>
      <c r="W382" s="17" t="s">
        <v>35</v>
      </c>
      <c r="X382" s="17" t="s">
        <v>35</v>
      </c>
      <c r="Y382" s="17" t="s">
        <v>35</v>
      </c>
      <c r="Z382" s="17" t="s">
        <v>10133</v>
      </c>
      <c r="AA382" s="17" t="s">
        <v>35</v>
      </c>
      <c r="AB382" s="17" t="s">
        <v>35</v>
      </c>
      <c r="AC382" s="17" t="s">
        <v>9539</v>
      </c>
      <c r="AD382" s="41">
        <v>96.85</v>
      </c>
      <c r="AE382" s="41">
        <v>101.89</v>
      </c>
      <c r="AF382" s="48"/>
      <c r="AG382" s="44"/>
      <c r="AH382" s="7">
        <f t="shared" si="5"/>
        <v>0</v>
      </c>
      <c r="AI382" s="18"/>
      <c r="AJ382" s="18"/>
    </row>
    <row r="383" spans="1:38" ht="26.65" customHeight="1" x14ac:dyDescent="0.25">
      <c r="A383" s="10" t="s">
        <v>2452</v>
      </c>
      <c r="B383" s="9" t="s">
        <v>47</v>
      </c>
      <c r="C383" s="9" t="s">
        <v>58</v>
      </c>
      <c r="D383" s="9" t="s">
        <v>48</v>
      </c>
      <c r="E383" s="9" t="s">
        <v>35</v>
      </c>
      <c r="F383" s="9" t="s">
        <v>36</v>
      </c>
      <c r="G383" s="9">
        <v>6</v>
      </c>
      <c r="H383" s="9">
        <v>84219999</v>
      </c>
      <c r="I383" s="11" t="s">
        <v>37</v>
      </c>
      <c r="J383" s="12">
        <v>1.6500000000000001E-2</v>
      </c>
      <c r="K383" s="12">
        <v>7.5999999999999998E-2</v>
      </c>
      <c r="L383" s="12">
        <v>5.1999999999999998E-2</v>
      </c>
      <c r="M383" s="13">
        <v>8003453068957</v>
      </c>
      <c r="N383" s="14">
        <v>0.15</v>
      </c>
      <c r="O383" s="14">
        <v>0.17</v>
      </c>
      <c r="P383" s="15">
        <v>44958</v>
      </c>
      <c r="Q383" s="16" t="s">
        <v>2453</v>
      </c>
      <c r="R383" s="17" t="s">
        <v>2454</v>
      </c>
      <c r="S383" s="17" t="s">
        <v>2455</v>
      </c>
      <c r="T383" s="17" t="s">
        <v>2456</v>
      </c>
      <c r="U383" s="17" t="s">
        <v>2457</v>
      </c>
      <c r="V383" s="17" t="s">
        <v>2458</v>
      </c>
      <c r="W383" s="17" t="s">
        <v>35</v>
      </c>
      <c r="X383" s="17" t="s">
        <v>2459</v>
      </c>
      <c r="Y383" s="17" t="s">
        <v>2460</v>
      </c>
      <c r="Z383" s="17" t="s">
        <v>2461</v>
      </c>
      <c r="AA383" s="17" t="s">
        <v>35</v>
      </c>
      <c r="AB383" s="17" t="s">
        <v>2462</v>
      </c>
      <c r="AC383" s="17" t="s">
        <v>9539</v>
      </c>
      <c r="AD383" s="42">
        <v>25.16</v>
      </c>
      <c r="AE383" s="42">
        <v>26.47</v>
      </c>
      <c r="AF383" s="48"/>
      <c r="AG383" s="44"/>
      <c r="AH383" s="7">
        <f t="shared" si="5"/>
        <v>0</v>
      </c>
      <c r="AI383" s="18"/>
      <c r="AJ383" s="18"/>
    </row>
    <row r="384" spans="1:38" ht="26.65" customHeight="1" x14ac:dyDescent="0.25">
      <c r="A384" s="10" t="s">
        <v>10134</v>
      </c>
      <c r="B384" s="9" t="s">
        <v>47</v>
      </c>
      <c r="C384" s="9" t="s">
        <v>58</v>
      </c>
      <c r="D384" s="9" t="s">
        <v>48</v>
      </c>
      <c r="E384" s="9" t="s">
        <v>35</v>
      </c>
      <c r="F384" s="9" t="s">
        <v>36</v>
      </c>
      <c r="G384" s="9">
        <v>6</v>
      </c>
      <c r="H384" s="9">
        <v>84219999</v>
      </c>
      <c r="I384" s="11" t="s">
        <v>37</v>
      </c>
      <c r="J384" s="12">
        <v>1.6500000000000001E-2</v>
      </c>
      <c r="K384" s="12">
        <v>7.5999999999999998E-2</v>
      </c>
      <c r="L384" s="12">
        <v>5.1999999999999998E-2</v>
      </c>
      <c r="M384" s="13">
        <v>8003453068971</v>
      </c>
      <c r="N384" s="14">
        <v>0</v>
      </c>
      <c r="O384" s="14">
        <v>0</v>
      </c>
      <c r="P384" s="15">
        <v>45566</v>
      </c>
      <c r="Q384" s="16" t="s">
        <v>10135</v>
      </c>
      <c r="R384" s="17" t="s">
        <v>35</v>
      </c>
      <c r="S384" s="17" t="s">
        <v>10136</v>
      </c>
      <c r="T384" s="17" t="s">
        <v>10137</v>
      </c>
      <c r="U384" s="17" t="s">
        <v>10138</v>
      </c>
      <c r="V384" s="17" t="s">
        <v>35</v>
      </c>
      <c r="W384" s="17" t="s">
        <v>35</v>
      </c>
      <c r="X384" s="17" t="s">
        <v>35</v>
      </c>
      <c r="Y384" s="17" t="s">
        <v>35</v>
      </c>
      <c r="Z384" s="17" t="s">
        <v>10139</v>
      </c>
      <c r="AA384" s="17" t="s">
        <v>35</v>
      </c>
      <c r="AB384" s="17" t="s">
        <v>35</v>
      </c>
      <c r="AC384" s="17" t="s">
        <v>9539</v>
      </c>
      <c r="AD384" s="41">
        <v>129.16</v>
      </c>
      <c r="AE384" s="41">
        <v>135.88</v>
      </c>
      <c r="AF384" s="48"/>
      <c r="AG384" s="44"/>
      <c r="AH384" s="7">
        <f t="shared" si="5"/>
        <v>0</v>
      </c>
      <c r="AI384" s="18"/>
      <c r="AJ384" s="18"/>
    </row>
    <row r="385" spans="1:38" ht="26.65" customHeight="1" x14ac:dyDescent="0.25">
      <c r="A385" s="10" t="s">
        <v>2463</v>
      </c>
      <c r="B385" s="9" t="s">
        <v>47</v>
      </c>
      <c r="C385" s="9" t="s">
        <v>43</v>
      </c>
      <c r="D385" s="9" t="s">
        <v>67</v>
      </c>
      <c r="E385" s="9" t="s">
        <v>35</v>
      </c>
      <c r="F385" s="9" t="s">
        <v>36</v>
      </c>
      <c r="G385" s="9">
        <v>6</v>
      </c>
      <c r="H385" s="9">
        <v>84219999</v>
      </c>
      <c r="I385" s="11" t="s">
        <v>37</v>
      </c>
      <c r="J385" s="12">
        <v>1.6500000000000001E-2</v>
      </c>
      <c r="K385" s="12">
        <v>7.5999999999999998E-2</v>
      </c>
      <c r="L385" s="12">
        <v>5.1999999999999998E-2</v>
      </c>
      <c r="M385" s="13">
        <v>8003453069039</v>
      </c>
      <c r="N385" s="14">
        <v>4.5999999999999999E-2</v>
      </c>
      <c r="O385" s="14">
        <v>6.7000000000000004E-2</v>
      </c>
      <c r="P385" s="15">
        <v>44774</v>
      </c>
      <c r="Q385" s="16" t="s">
        <v>2464</v>
      </c>
      <c r="R385" s="17" t="s">
        <v>2465</v>
      </c>
      <c r="S385" s="17" t="s">
        <v>35</v>
      </c>
      <c r="T385" s="17" t="s">
        <v>2466</v>
      </c>
      <c r="U385" s="17" t="s">
        <v>2467</v>
      </c>
      <c r="V385" s="17" t="s">
        <v>2468</v>
      </c>
      <c r="W385" s="17" t="s">
        <v>2469</v>
      </c>
      <c r="X385" s="17" t="s">
        <v>2470</v>
      </c>
      <c r="Y385" s="17" t="s">
        <v>2471</v>
      </c>
      <c r="Z385" s="17" t="s">
        <v>2472</v>
      </c>
      <c r="AA385" s="17" t="s">
        <v>35</v>
      </c>
      <c r="AB385" s="17" t="s">
        <v>35</v>
      </c>
      <c r="AC385" s="17" t="s">
        <v>9539</v>
      </c>
      <c r="AD385" s="41">
        <v>18.420000000000002</v>
      </c>
      <c r="AE385" s="41">
        <v>19.38</v>
      </c>
      <c r="AF385" s="48"/>
      <c r="AG385" s="44"/>
      <c r="AH385" s="7">
        <f t="shared" si="5"/>
        <v>0</v>
      </c>
      <c r="AI385" s="18"/>
      <c r="AJ385" s="18"/>
      <c r="AL385" s="18"/>
    </row>
    <row r="386" spans="1:38" ht="26.65" customHeight="1" x14ac:dyDescent="0.25">
      <c r="A386" s="10" t="s">
        <v>2473</v>
      </c>
      <c r="B386" s="9" t="s">
        <v>47</v>
      </c>
      <c r="C386" s="9" t="s">
        <v>43</v>
      </c>
      <c r="D386" s="9" t="s">
        <v>67</v>
      </c>
      <c r="E386" s="9" t="s">
        <v>35</v>
      </c>
      <c r="F386" s="9" t="s">
        <v>36</v>
      </c>
      <c r="G386" s="9">
        <v>6</v>
      </c>
      <c r="H386" s="9">
        <v>84219999</v>
      </c>
      <c r="I386" s="11" t="s">
        <v>37</v>
      </c>
      <c r="J386" s="12">
        <v>1.6500000000000001E-2</v>
      </c>
      <c r="K386" s="12">
        <v>7.5999999999999998E-2</v>
      </c>
      <c r="L386" s="12">
        <v>5.1999999999999998E-2</v>
      </c>
      <c r="M386" s="13">
        <v>8003453069053</v>
      </c>
      <c r="N386" s="14">
        <v>4.7E-2</v>
      </c>
      <c r="O386" s="14">
        <v>6.8000000000000005E-2</v>
      </c>
      <c r="P386" s="15">
        <v>45047</v>
      </c>
      <c r="Q386" s="16" t="s">
        <v>2474</v>
      </c>
      <c r="R386" s="17" t="s">
        <v>2475</v>
      </c>
      <c r="S386" s="17" t="s">
        <v>35</v>
      </c>
      <c r="T386" s="17" t="s">
        <v>2476</v>
      </c>
      <c r="U386" s="17" t="s">
        <v>35</v>
      </c>
      <c r="V386" s="17" t="s">
        <v>2477</v>
      </c>
      <c r="W386" s="17" t="s">
        <v>35</v>
      </c>
      <c r="X386" s="17" t="s">
        <v>2478</v>
      </c>
      <c r="Y386" s="17" t="s">
        <v>2479</v>
      </c>
      <c r="Z386" s="17" t="s">
        <v>2480</v>
      </c>
      <c r="AA386" s="17" t="s">
        <v>35</v>
      </c>
      <c r="AB386" s="17" t="s">
        <v>35</v>
      </c>
      <c r="AC386" s="17" t="s">
        <v>9539</v>
      </c>
      <c r="AD386" s="41">
        <v>23.96</v>
      </c>
      <c r="AE386" s="41">
        <v>25.21</v>
      </c>
      <c r="AF386" s="48"/>
      <c r="AG386" s="44"/>
      <c r="AH386" s="7">
        <f t="shared" si="5"/>
        <v>0</v>
      </c>
      <c r="AI386" s="18"/>
      <c r="AJ386" s="18"/>
      <c r="AL386" s="18"/>
    </row>
    <row r="387" spans="1:38" ht="26.65" customHeight="1" x14ac:dyDescent="0.25">
      <c r="A387" s="10" t="s">
        <v>2481</v>
      </c>
      <c r="B387" s="9" t="s">
        <v>47</v>
      </c>
      <c r="C387" s="9" t="s">
        <v>43</v>
      </c>
      <c r="D387" s="9" t="s">
        <v>48</v>
      </c>
      <c r="E387" s="9" t="s">
        <v>122</v>
      </c>
      <c r="F387" s="9" t="s">
        <v>36</v>
      </c>
      <c r="G387" s="9">
        <v>6</v>
      </c>
      <c r="H387" s="9">
        <v>84219999</v>
      </c>
      <c r="I387" s="11" t="s">
        <v>37</v>
      </c>
      <c r="J387" s="12">
        <v>1.6500000000000001E-2</v>
      </c>
      <c r="K387" s="12">
        <v>7.5999999999999998E-2</v>
      </c>
      <c r="L387" s="12">
        <v>5.1999999999999998E-2</v>
      </c>
      <c r="M387" s="13">
        <v>8003453069510</v>
      </c>
      <c r="N387" s="14">
        <v>7.3999999999999996E-2</v>
      </c>
      <c r="O387" s="14">
        <v>0.105</v>
      </c>
      <c r="P387" s="15">
        <v>45200</v>
      </c>
      <c r="Q387" s="16" t="s">
        <v>2482</v>
      </c>
      <c r="R387" s="17" t="s">
        <v>2483</v>
      </c>
      <c r="S387" s="17" t="s">
        <v>2484</v>
      </c>
      <c r="T387" s="17" t="s">
        <v>2210</v>
      </c>
      <c r="U387" s="17" t="s">
        <v>2211</v>
      </c>
      <c r="V387" s="17" t="s">
        <v>2485</v>
      </c>
      <c r="W387" s="17" t="s">
        <v>35</v>
      </c>
      <c r="X387" s="17" t="s">
        <v>2486</v>
      </c>
      <c r="Y387" s="17" t="s">
        <v>2212</v>
      </c>
      <c r="Z387" s="17" t="s">
        <v>35</v>
      </c>
      <c r="AA387" s="17" t="s">
        <v>35</v>
      </c>
      <c r="AB387" s="17" t="s">
        <v>35</v>
      </c>
      <c r="AC387" s="17" t="s">
        <v>9539</v>
      </c>
      <c r="AD387" s="41">
        <v>45.22</v>
      </c>
      <c r="AE387" s="41">
        <v>47.57</v>
      </c>
      <c r="AF387" s="48"/>
      <c r="AG387" s="44"/>
      <c r="AH387" s="7">
        <f t="shared" si="5"/>
        <v>0</v>
      </c>
      <c r="AI387" s="18"/>
      <c r="AJ387" s="18"/>
      <c r="AL387" s="18"/>
    </row>
    <row r="388" spans="1:38" ht="26.65" customHeight="1" x14ac:dyDescent="0.25">
      <c r="A388" s="10" t="s">
        <v>2487</v>
      </c>
      <c r="B388" s="9" t="s">
        <v>47</v>
      </c>
      <c r="C388" s="9" t="s">
        <v>43</v>
      </c>
      <c r="D388" s="9" t="s">
        <v>48</v>
      </c>
      <c r="E388" s="9" t="s">
        <v>35</v>
      </c>
      <c r="F388" s="9" t="s">
        <v>36</v>
      </c>
      <c r="G388" s="9">
        <v>6</v>
      </c>
      <c r="H388" s="9">
        <v>84219999</v>
      </c>
      <c r="I388" s="11" t="s">
        <v>37</v>
      </c>
      <c r="J388" s="12">
        <v>1.6500000000000001E-2</v>
      </c>
      <c r="K388" s="12">
        <v>7.5999999999999998E-2</v>
      </c>
      <c r="L388" s="12">
        <v>5.1999999999999998E-2</v>
      </c>
      <c r="M388" s="13">
        <v>8003453069435</v>
      </c>
      <c r="N388" s="14">
        <v>7.4999999999999997E-2</v>
      </c>
      <c r="O388" s="14">
        <v>9.6000000000000002E-2</v>
      </c>
      <c r="P388" s="15">
        <v>44958</v>
      </c>
      <c r="Q388" s="16" t="s">
        <v>2488</v>
      </c>
      <c r="R388" s="17" t="s">
        <v>2489</v>
      </c>
      <c r="S388" s="17" t="s">
        <v>2490</v>
      </c>
      <c r="T388" s="17" t="s">
        <v>2491</v>
      </c>
      <c r="U388" s="17" t="s">
        <v>2492</v>
      </c>
      <c r="V388" s="17" t="s">
        <v>35</v>
      </c>
      <c r="W388" s="17" t="s">
        <v>35</v>
      </c>
      <c r="X388" s="17" t="s">
        <v>2493</v>
      </c>
      <c r="Y388" s="17" t="s">
        <v>2494</v>
      </c>
      <c r="Z388" s="17" t="s">
        <v>35</v>
      </c>
      <c r="AA388" s="17" t="s">
        <v>35</v>
      </c>
      <c r="AB388" s="17" t="s">
        <v>35</v>
      </c>
      <c r="AC388" s="17" t="s">
        <v>9539</v>
      </c>
      <c r="AD388" s="41">
        <v>50.6</v>
      </c>
      <c r="AE388" s="41">
        <v>53.23</v>
      </c>
      <c r="AF388" s="48"/>
      <c r="AG388" s="44"/>
      <c r="AH388" s="7">
        <f t="shared" ref="AH388:AH451" si="6">AG388*AE388</f>
        <v>0</v>
      </c>
      <c r="AI388" s="18"/>
      <c r="AJ388" s="18"/>
      <c r="AL388" s="18"/>
    </row>
    <row r="389" spans="1:38" ht="26.65" customHeight="1" x14ac:dyDescent="0.25">
      <c r="A389" s="10" t="s">
        <v>2495</v>
      </c>
      <c r="B389" s="9" t="s">
        <v>47</v>
      </c>
      <c r="C389" s="9" t="s">
        <v>58</v>
      </c>
      <c r="D389" s="9" t="s">
        <v>67</v>
      </c>
      <c r="E389" s="9" t="s">
        <v>35</v>
      </c>
      <c r="F389" s="9" t="s">
        <v>36</v>
      </c>
      <c r="G389" s="9">
        <v>6</v>
      </c>
      <c r="H389" s="9">
        <v>84219999</v>
      </c>
      <c r="I389" s="11" t="s">
        <v>37</v>
      </c>
      <c r="J389" s="12">
        <v>1.6500000000000001E-2</v>
      </c>
      <c r="K389" s="12">
        <v>7.5999999999999998E-2</v>
      </c>
      <c r="L389" s="12">
        <v>5.1999999999999998E-2</v>
      </c>
      <c r="M389" s="13">
        <v>8003453069497</v>
      </c>
      <c r="N389" s="14">
        <v>0.39</v>
      </c>
      <c r="O389" s="14">
        <v>0.51300000000000001</v>
      </c>
      <c r="P389" s="15">
        <v>44868</v>
      </c>
      <c r="Q389" s="16" t="s">
        <v>2496</v>
      </c>
      <c r="R389" s="17" t="s">
        <v>2497</v>
      </c>
      <c r="S389" s="17" t="s">
        <v>2498</v>
      </c>
      <c r="T389" s="17" t="s">
        <v>2499</v>
      </c>
      <c r="U389" s="17" t="s">
        <v>35</v>
      </c>
      <c r="V389" s="17" t="s">
        <v>35</v>
      </c>
      <c r="W389" s="17" t="s">
        <v>35</v>
      </c>
      <c r="X389" s="17" t="s">
        <v>35</v>
      </c>
      <c r="Y389" s="17" t="s">
        <v>35</v>
      </c>
      <c r="Z389" s="17" t="s">
        <v>2500</v>
      </c>
      <c r="AA389" s="17" t="s">
        <v>35</v>
      </c>
      <c r="AB389" s="17" t="s">
        <v>2501</v>
      </c>
      <c r="AC389" s="17" t="s">
        <v>9539</v>
      </c>
      <c r="AD389" s="42">
        <v>259.33</v>
      </c>
      <c r="AE389" s="42">
        <v>272.82</v>
      </c>
      <c r="AF389" s="48"/>
      <c r="AG389" s="44"/>
      <c r="AH389" s="7">
        <f t="shared" si="6"/>
        <v>0</v>
      </c>
      <c r="AI389" s="18"/>
      <c r="AJ389" s="18"/>
    </row>
    <row r="390" spans="1:38" ht="26.65" customHeight="1" x14ac:dyDescent="0.25">
      <c r="A390" s="10" t="s">
        <v>2502</v>
      </c>
      <c r="B390" s="9" t="s">
        <v>2090</v>
      </c>
      <c r="C390" s="9" t="s">
        <v>58</v>
      </c>
      <c r="D390" s="9" t="s">
        <v>67</v>
      </c>
      <c r="E390" s="9" t="s">
        <v>35</v>
      </c>
      <c r="F390" s="9" t="s">
        <v>36</v>
      </c>
      <c r="G390" s="9">
        <v>6</v>
      </c>
      <c r="H390" s="9">
        <v>84219999</v>
      </c>
      <c r="I390" s="11" t="s">
        <v>37</v>
      </c>
      <c r="J390" s="12">
        <v>1.6500000000000001E-2</v>
      </c>
      <c r="K390" s="12">
        <v>7.5999999999999998E-2</v>
      </c>
      <c r="L390" s="12">
        <v>5.1999999999999998E-2</v>
      </c>
      <c r="M390" s="13">
        <v>8003453809062</v>
      </c>
      <c r="N390" s="14">
        <v>0.14499999999999999</v>
      </c>
      <c r="O390" s="14">
        <v>0.189</v>
      </c>
      <c r="P390" s="15">
        <v>45231</v>
      </c>
      <c r="Q390" s="16" t="s">
        <v>2503</v>
      </c>
      <c r="R390" s="17" t="s">
        <v>2504</v>
      </c>
      <c r="S390" s="17" t="s">
        <v>2505</v>
      </c>
      <c r="T390" s="17" t="s">
        <v>2506</v>
      </c>
      <c r="U390" s="17" t="s">
        <v>35</v>
      </c>
      <c r="V390" s="17" t="s">
        <v>2458</v>
      </c>
      <c r="W390" s="17" t="s">
        <v>2507</v>
      </c>
      <c r="X390" s="17" t="s">
        <v>35</v>
      </c>
      <c r="Y390" s="17" t="s">
        <v>2508</v>
      </c>
      <c r="Z390" s="17" t="s">
        <v>2509</v>
      </c>
      <c r="AA390" s="17" t="s">
        <v>35</v>
      </c>
      <c r="AB390" s="17" t="s">
        <v>2510</v>
      </c>
      <c r="AC390" s="17" t="s">
        <v>9539</v>
      </c>
      <c r="AD390" s="42">
        <v>37.869999999999997</v>
      </c>
      <c r="AE390" s="42">
        <v>39.840000000000003</v>
      </c>
      <c r="AF390" s="48"/>
      <c r="AG390" s="44"/>
      <c r="AH390" s="7">
        <f t="shared" si="6"/>
        <v>0</v>
      </c>
      <c r="AI390" s="18"/>
      <c r="AJ390" s="18"/>
    </row>
    <row r="391" spans="1:38" ht="26.65" customHeight="1" x14ac:dyDescent="0.25">
      <c r="A391" s="10" t="s">
        <v>2511</v>
      </c>
      <c r="B391" s="9" t="s">
        <v>47</v>
      </c>
      <c r="C391" s="9" t="s">
        <v>43</v>
      </c>
      <c r="D391" s="9" t="s">
        <v>67</v>
      </c>
      <c r="E391" s="9" t="s">
        <v>35</v>
      </c>
      <c r="F391" s="9" t="s">
        <v>36</v>
      </c>
      <c r="G391" s="9">
        <v>6</v>
      </c>
      <c r="H391" s="9">
        <v>84219999</v>
      </c>
      <c r="I391" s="11" t="s">
        <v>37</v>
      </c>
      <c r="J391" s="12">
        <v>1.6500000000000001E-2</v>
      </c>
      <c r="K391" s="12">
        <v>7.5999999999999998E-2</v>
      </c>
      <c r="L391" s="12">
        <v>5.1999999999999998E-2</v>
      </c>
      <c r="M391" s="13">
        <v>8003453070950</v>
      </c>
      <c r="N391" s="14">
        <v>0.05</v>
      </c>
      <c r="O391" s="14">
        <v>0.08</v>
      </c>
      <c r="P391" s="15">
        <v>44986</v>
      </c>
      <c r="Q391" s="16" t="s">
        <v>2512</v>
      </c>
      <c r="R391" s="17" t="s">
        <v>2513</v>
      </c>
      <c r="S391" s="17" t="s">
        <v>2514</v>
      </c>
      <c r="T391" s="17" t="s">
        <v>2515</v>
      </c>
      <c r="U391" s="17" t="s">
        <v>2516</v>
      </c>
      <c r="V391" s="17" t="s">
        <v>35</v>
      </c>
      <c r="W391" s="17" t="s">
        <v>35</v>
      </c>
      <c r="X391" s="17" t="s">
        <v>2517</v>
      </c>
      <c r="Y391" s="17" t="s">
        <v>2518</v>
      </c>
      <c r="Z391" s="17" t="s">
        <v>35</v>
      </c>
      <c r="AA391" s="17" t="s">
        <v>35</v>
      </c>
      <c r="AB391" s="17" t="s">
        <v>35</v>
      </c>
      <c r="AC391" s="17" t="s">
        <v>9539</v>
      </c>
      <c r="AD391" s="42">
        <v>49.27</v>
      </c>
      <c r="AE391" s="42">
        <v>51.83</v>
      </c>
      <c r="AF391" s="48"/>
      <c r="AG391" s="44"/>
      <c r="AH391" s="7">
        <f t="shared" si="6"/>
        <v>0</v>
      </c>
      <c r="AI391" s="18"/>
      <c r="AJ391" s="18"/>
    </row>
    <row r="392" spans="1:38" ht="26.65" customHeight="1" x14ac:dyDescent="0.25">
      <c r="A392" s="10" t="s">
        <v>10140</v>
      </c>
      <c r="B392" s="9" t="s">
        <v>47</v>
      </c>
      <c r="C392" s="9" t="s">
        <v>34</v>
      </c>
      <c r="D392" s="9" t="s">
        <v>48</v>
      </c>
      <c r="E392" s="9" t="s">
        <v>35</v>
      </c>
      <c r="F392" s="9" t="s">
        <v>36</v>
      </c>
      <c r="G392" s="9">
        <v>6</v>
      </c>
      <c r="H392" s="9">
        <v>84219999</v>
      </c>
      <c r="I392" s="11" t="s">
        <v>37</v>
      </c>
      <c r="J392" s="12">
        <v>1.6500000000000001E-2</v>
      </c>
      <c r="K392" s="12">
        <v>7.5999999999999998E-2</v>
      </c>
      <c r="L392" s="12">
        <v>5.1999999999999998E-2</v>
      </c>
      <c r="M392" s="13">
        <v>8003453807686</v>
      </c>
      <c r="N392" s="14">
        <v>0</v>
      </c>
      <c r="O392" s="14">
        <v>0</v>
      </c>
      <c r="P392" s="15">
        <v>45566</v>
      </c>
      <c r="Q392" s="16" t="s">
        <v>10093</v>
      </c>
      <c r="R392" s="17" t="s">
        <v>10141</v>
      </c>
      <c r="S392" s="17" t="s">
        <v>35</v>
      </c>
      <c r="T392" s="17" t="s">
        <v>35</v>
      </c>
      <c r="U392" s="17" t="s">
        <v>35</v>
      </c>
      <c r="V392" s="17" t="s">
        <v>35</v>
      </c>
      <c r="W392" s="17" t="s">
        <v>35</v>
      </c>
      <c r="X392" s="17" t="s">
        <v>35</v>
      </c>
      <c r="Y392" s="17" t="s">
        <v>35</v>
      </c>
      <c r="Z392" s="17" t="s">
        <v>35</v>
      </c>
      <c r="AA392" s="17" t="s">
        <v>35</v>
      </c>
      <c r="AB392" s="17" t="s">
        <v>10142</v>
      </c>
      <c r="AC392" s="17" t="s">
        <v>9539</v>
      </c>
      <c r="AD392" s="41">
        <v>73.400000000000006</v>
      </c>
      <c r="AE392" s="41">
        <v>77.22</v>
      </c>
      <c r="AF392" s="48"/>
      <c r="AG392" s="44"/>
      <c r="AH392" s="7">
        <f t="shared" si="6"/>
        <v>0</v>
      </c>
      <c r="AI392" s="18"/>
      <c r="AJ392" s="18"/>
    </row>
    <row r="393" spans="1:38" ht="26.65" customHeight="1" x14ac:dyDescent="0.25">
      <c r="A393" s="10" t="s">
        <v>9292</v>
      </c>
      <c r="B393" s="9" t="s">
        <v>47</v>
      </c>
      <c r="C393" s="9" t="s">
        <v>58</v>
      </c>
      <c r="D393" s="9" t="s">
        <v>48</v>
      </c>
      <c r="E393" s="9" t="s">
        <v>35</v>
      </c>
      <c r="F393" s="9" t="s">
        <v>36</v>
      </c>
      <c r="G393" s="9">
        <v>6</v>
      </c>
      <c r="H393" s="9">
        <v>84219999</v>
      </c>
      <c r="I393" s="11" t="s">
        <v>37</v>
      </c>
      <c r="J393" s="12">
        <v>1.6500000000000001E-2</v>
      </c>
      <c r="K393" s="12">
        <v>7.5999999999999998E-2</v>
      </c>
      <c r="L393" s="12">
        <v>5.1999999999999998E-2</v>
      </c>
      <c r="M393" s="13">
        <v>8003453810327</v>
      </c>
      <c r="N393" s="14">
        <v>4.7E-2</v>
      </c>
      <c r="O393" s="14">
        <v>0.11799999999999999</v>
      </c>
      <c r="P393" s="15">
        <v>45444</v>
      </c>
      <c r="Q393" s="16" t="s">
        <v>9293</v>
      </c>
      <c r="R393" s="17" t="s">
        <v>9294</v>
      </c>
      <c r="S393" s="17" t="s">
        <v>9295</v>
      </c>
      <c r="T393" s="17" t="s">
        <v>35</v>
      </c>
      <c r="U393" s="17" t="s">
        <v>35</v>
      </c>
      <c r="V393" s="17" t="s">
        <v>9296</v>
      </c>
      <c r="W393" s="17" t="s">
        <v>35</v>
      </c>
      <c r="X393" s="17" t="s">
        <v>35</v>
      </c>
      <c r="Y393" s="17" t="s">
        <v>9297</v>
      </c>
      <c r="Z393" s="17" t="s">
        <v>35</v>
      </c>
      <c r="AA393" s="17" t="s">
        <v>9298</v>
      </c>
      <c r="AB393" s="17" t="s">
        <v>35</v>
      </c>
      <c r="AC393" s="17" t="s">
        <v>9539</v>
      </c>
      <c r="AD393" s="42">
        <v>31.43</v>
      </c>
      <c r="AE393" s="42">
        <v>33.06</v>
      </c>
      <c r="AF393" s="48"/>
      <c r="AG393" s="44"/>
      <c r="AH393" s="7">
        <f t="shared" si="6"/>
        <v>0</v>
      </c>
      <c r="AI393" s="18"/>
      <c r="AJ393" s="18"/>
    </row>
    <row r="394" spans="1:38" ht="26.65" customHeight="1" x14ac:dyDescent="0.25">
      <c r="A394" s="10" t="s">
        <v>10554</v>
      </c>
      <c r="B394" s="9" t="s">
        <v>47</v>
      </c>
      <c r="C394" s="9" t="s">
        <v>34</v>
      </c>
      <c r="D394" s="9" t="s">
        <v>67</v>
      </c>
      <c r="E394" s="9" t="s">
        <v>35</v>
      </c>
      <c r="F394" s="9" t="s">
        <v>36</v>
      </c>
      <c r="G394" s="9">
        <v>6</v>
      </c>
      <c r="H394" s="9">
        <v>84219999</v>
      </c>
      <c r="I394" s="11" t="s">
        <v>37</v>
      </c>
      <c r="J394" s="12">
        <v>1.6500000000000001E-2</v>
      </c>
      <c r="K394" s="12">
        <v>7.5999999999999998E-2</v>
      </c>
      <c r="L394" s="12">
        <v>5.1999999999999998E-2</v>
      </c>
      <c r="M394" s="13" t="s">
        <v>35</v>
      </c>
      <c r="N394" s="14" t="s">
        <v>35</v>
      </c>
      <c r="O394" s="14" t="s">
        <v>35</v>
      </c>
      <c r="P394" s="15">
        <v>45597</v>
      </c>
      <c r="Q394" s="16" t="s">
        <v>10555</v>
      </c>
      <c r="R394" s="17" t="s">
        <v>10556</v>
      </c>
      <c r="S394" s="17" t="s">
        <v>10557</v>
      </c>
      <c r="T394" s="17" t="s">
        <v>10558</v>
      </c>
      <c r="U394" s="17" t="s">
        <v>10559</v>
      </c>
      <c r="V394" s="17" t="s">
        <v>10560</v>
      </c>
      <c r="W394" s="17" t="s">
        <v>10561</v>
      </c>
      <c r="X394" s="17" t="s">
        <v>10562</v>
      </c>
      <c r="Y394" s="17" t="s">
        <v>10563</v>
      </c>
      <c r="Z394" s="17" t="s">
        <v>10564</v>
      </c>
      <c r="AA394" s="17" t="s">
        <v>10565</v>
      </c>
      <c r="AB394" s="17" t="s">
        <v>10566</v>
      </c>
      <c r="AC394" s="17" t="s">
        <v>9539</v>
      </c>
      <c r="AD394" s="41">
        <v>32.979999999999997</v>
      </c>
      <c r="AE394" s="41">
        <v>34.69</v>
      </c>
      <c r="AF394" s="48"/>
      <c r="AG394" s="44"/>
      <c r="AH394" s="7">
        <f t="shared" si="6"/>
        <v>0</v>
      </c>
      <c r="AI394" s="18"/>
      <c r="AJ394" s="18"/>
    </row>
    <row r="395" spans="1:38" ht="26.65" customHeight="1" x14ac:dyDescent="0.25">
      <c r="A395" s="10" t="s">
        <v>8637</v>
      </c>
      <c r="B395" s="9" t="s">
        <v>47</v>
      </c>
      <c r="C395" s="9" t="s">
        <v>34</v>
      </c>
      <c r="D395" s="9" t="s">
        <v>48</v>
      </c>
      <c r="E395" s="9" t="s">
        <v>35</v>
      </c>
      <c r="F395" s="9" t="s">
        <v>36</v>
      </c>
      <c r="G395" s="9">
        <v>1</v>
      </c>
      <c r="H395" s="9">
        <v>84219999</v>
      </c>
      <c r="I395" s="11" t="s">
        <v>37</v>
      </c>
      <c r="J395" s="12">
        <v>1.6500000000000001E-2</v>
      </c>
      <c r="K395" s="12">
        <v>7.5999999999999998E-2</v>
      </c>
      <c r="L395" s="12">
        <v>5.1999999999999998E-2</v>
      </c>
      <c r="M395" s="13">
        <v>8003453065017</v>
      </c>
      <c r="N395" s="14">
        <v>0.55600000000000005</v>
      </c>
      <c r="O395" s="14">
        <v>0.65100000000000002</v>
      </c>
      <c r="P395" s="15">
        <v>45292</v>
      </c>
      <c r="Q395" s="16" t="s">
        <v>8638</v>
      </c>
      <c r="R395" s="17" t="s">
        <v>8639</v>
      </c>
      <c r="S395" s="17" t="s">
        <v>8640</v>
      </c>
      <c r="T395" s="17" t="s">
        <v>8641</v>
      </c>
      <c r="U395" s="17" t="s">
        <v>8642</v>
      </c>
      <c r="V395" s="17" t="s">
        <v>35</v>
      </c>
      <c r="W395" s="17" t="s">
        <v>35</v>
      </c>
      <c r="X395" s="17" t="s">
        <v>8643</v>
      </c>
      <c r="Y395" s="17" t="s">
        <v>35</v>
      </c>
      <c r="Z395" s="17" t="s">
        <v>8644</v>
      </c>
      <c r="AA395" s="17" t="s">
        <v>35</v>
      </c>
      <c r="AB395" s="17" t="s">
        <v>8645</v>
      </c>
      <c r="AC395" s="17" t="s">
        <v>9539</v>
      </c>
      <c r="AD395" s="42">
        <v>57.16</v>
      </c>
      <c r="AE395" s="42">
        <v>60.13</v>
      </c>
      <c r="AF395" s="48"/>
      <c r="AG395" s="44"/>
      <c r="AH395" s="7">
        <f t="shared" si="6"/>
        <v>0</v>
      </c>
      <c r="AI395" s="18"/>
      <c r="AJ395" s="18"/>
    </row>
    <row r="396" spans="1:38" ht="26.65" customHeight="1" x14ac:dyDescent="0.25">
      <c r="A396" s="10" t="s">
        <v>10143</v>
      </c>
      <c r="B396" s="9" t="s">
        <v>47</v>
      </c>
      <c r="C396" s="9" t="s">
        <v>58</v>
      </c>
      <c r="D396" s="9" t="s">
        <v>8140</v>
      </c>
      <c r="E396" s="9" t="s">
        <v>35</v>
      </c>
      <c r="F396" s="9" t="s">
        <v>36</v>
      </c>
      <c r="G396" s="9">
        <v>6</v>
      </c>
      <c r="H396" s="9">
        <v>84219999</v>
      </c>
      <c r="I396" s="11" t="s">
        <v>37</v>
      </c>
      <c r="J396" s="12">
        <v>1.6500000000000001E-2</v>
      </c>
      <c r="K396" s="12">
        <v>7.5999999999999998E-2</v>
      </c>
      <c r="L396" s="12">
        <v>5.1999999999999998E-2</v>
      </c>
      <c r="M396" s="13">
        <v>8003453801301</v>
      </c>
      <c r="N396" s="14">
        <v>0</v>
      </c>
      <c r="O396" s="14">
        <v>0</v>
      </c>
      <c r="P396" s="15">
        <v>45566</v>
      </c>
      <c r="Q396" s="16" t="s">
        <v>10144</v>
      </c>
      <c r="R396" s="17">
        <v>153468</v>
      </c>
      <c r="S396" s="17" t="s">
        <v>10145</v>
      </c>
      <c r="T396" s="17" t="s">
        <v>35</v>
      </c>
      <c r="U396" s="17" t="s">
        <v>35</v>
      </c>
      <c r="V396" s="17" t="s">
        <v>35</v>
      </c>
      <c r="W396" s="17" t="s">
        <v>35</v>
      </c>
      <c r="X396" s="17" t="s">
        <v>35</v>
      </c>
      <c r="Y396" s="17" t="s">
        <v>10146</v>
      </c>
      <c r="Z396" s="17" t="s">
        <v>10147</v>
      </c>
      <c r="AA396" s="17" t="s">
        <v>35</v>
      </c>
      <c r="AB396" s="17" t="s">
        <v>10148</v>
      </c>
      <c r="AC396" s="17" t="s">
        <v>9539</v>
      </c>
      <c r="AD396" s="41">
        <v>11.8</v>
      </c>
      <c r="AE396" s="41">
        <v>12.41</v>
      </c>
      <c r="AF396" s="48"/>
      <c r="AG396" s="44"/>
      <c r="AH396" s="7">
        <f t="shared" si="6"/>
        <v>0</v>
      </c>
      <c r="AI396" s="18"/>
      <c r="AJ396" s="18"/>
    </row>
    <row r="397" spans="1:38" ht="26.65" customHeight="1" x14ac:dyDescent="0.25">
      <c r="A397" s="10" t="s">
        <v>2519</v>
      </c>
      <c r="B397" s="9" t="s">
        <v>47</v>
      </c>
      <c r="C397" s="9" t="s">
        <v>34</v>
      </c>
      <c r="D397" s="9" t="s">
        <v>67</v>
      </c>
      <c r="E397" s="9" t="s">
        <v>35</v>
      </c>
      <c r="F397" s="9" t="s">
        <v>36</v>
      </c>
      <c r="G397" s="9">
        <v>6</v>
      </c>
      <c r="H397" s="9">
        <v>84219999</v>
      </c>
      <c r="I397" s="11" t="s">
        <v>37</v>
      </c>
      <c r="J397" s="12">
        <v>1.6500000000000001E-2</v>
      </c>
      <c r="K397" s="12">
        <v>7.5999999999999998E-2</v>
      </c>
      <c r="L397" s="12">
        <v>5.1999999999999998E-2</v>
      </c>
      <c r="M397" s="13">
        <v>8003453065116</v>
      </c>
      <c r="N397" s="14">
        <v>0.127</v>
      </c>
      <c r="O397" s="14">
        <v>0.16</v>
      </c>
      <c r="P397" s="15" t="s">
        <v>35</v>
      </c>
      <c r="Q397" s="16" t="s">
        <v>2520</v>
      </c>
      <c r="R397" s="17" t="s">
        <v>35</v>
      </c>
      <c r="S397" s="17" t="s">
        <v>2521</v>
      </c>
      <c r="T397" s="17" t="s">
        <v>35</v>
      </c>
      <c r="U397" s="17" t="s">
        <v>2522</v>
      </c>
      <c r="V397" s="17" t="s">
        <v>2523</v>
      </c>
      <c r="W397" s="17" t="s">
        <v>35</v>
      </c>
      <c r="X397" s="17" t="s">
        <v>2524</v>
      </c>
      <c r="Y397" s="17" t="s">
        <v>35</v>
      </c>
      <c r="Z397" s="17" t="s">
        <v>2525</v>
      </c>
      <c r="AA397" s="17" t="s">
        <v>35</v>
      </c>
      <c r="AB397" s="17" t="s">
        <v>2526</v>
      </c>
      <c r="AC397" s="17" t="s">
        <v>9539</v>
      </c>
      <c r="AD397" s="41">
        <v>21.6</v>
      </c>
      <c r="AE397" s="41">
        <v>22.72</v>
      </c>
      <c r="AF397" s="48"/>
      <c r="AG397" s="44"/>
      <c r="AH397" s="7">
        <f t="shared" si="6"/>
        <v>0</v>
      </c>
      <c r="AI397" s="18"/>
      <c r="AJ397" s="18"/>
      <c r="AL397" s="18"/>
    </row>
    <row r="398" spans="1:38" ht="26.65" customHeight="1" x14ac:dyDescent="0.25">
      <c r="A398" s="10" t="s">
        <v>2527</v>
      </c>
      <c r="B398" s="9" t="s">
        <v>47</v>
      </c>
      <c r="C398" s="9" t="s">
        <v>34</v>
      </c>
      <c r="D398" s="9" t="s">
        <v>48</v>
      </c>
      <c r="E398" s="9" t="s">
        <v>35</v>
      </c>
      <c r="F398" s="9" t="s">
        <v>36</v>
      </c>
      <c r="G398" s="9">
        <v>6</v>
      </c>
      <c r="H398" s="9">
        <v>84219999</v>
      </c>
      <c r="I398" s="11" t="s">
        <v>37</v>
      </c>
      <c r="J398" s="12">
        <v>1.6500000000000001E-2</v>
      </c>
      <c r="K398" s="12">
        <v>7.5999999999999998E-2</v>
      </c>
      <c r="L398" s="12">
        <v>5.1999999999999998E-2</v>
      </c>
      <c r="M398" s="13">
        <v>8003453065369</v>
      </c>
      <c r="N398" s="14">
        <v>0.186</v>
      </c>
      <c r="O398" s="14">
        <v>0.218</v>
      </c>
      <c r="P398" s="15" t="s">
        <v>35</v>
      </c>
      <c r="Q398" s="16" t="s">
        <v>2528</v>
      </c>
      <c r="R398" s="17" t="s">
        <v>35</v>
      </c>
      <c r="S398" s="17" t="s">
        <v>2529</v>
      </c>
      <c r="T398" s="17" t="s">
        <v>2530</v>
      </c>
      <c r="U398" s="17" t="s">
        <v>35</v>
      </c>
      <c r="V398" s="17" t="s">
        <v>35</v>
      </c>
      <c r="W398" s="17" t="s">
        <v>35</v>
      </c>
      <c r="X398" s="17" t="s">
        <v>2531</v>
      </c>
      <c r="Y398" s="17" t="s">
        <v>35</v>
      </c>
      <c r="Z398" s="17" t="s">
        <v>2532</v>
      </c>
      <c r="AA398" s="17" t="s">
        <v>35</v>
      </c>
      <c r="AB398" s="17" t="s">
        <v>2533</v>
      </c>
      <c r="AC398" s="17" t="s">
        <v>9539</v>
      </c>
      <c r="AD398" s="41">
        <v>24.35</v>
      </c>
      <c r="AE398" s="41">
        <v>25.62</v>
      </c>
      <c r="AF398" s="48"/>
      <c r="AG398" s="44"/>
      <c r="AH398" s="7">
        <f t="shared" si="6"/>
        <v>0</v>
      </c>
      <c r="AI398" s="18"/>
      <c r="AJ398" s="18"/>
      <c r="AL398" s="18"/>
    </row>
    <row r="399" spans="1:38" ht="26.65" customHeight="1" x14ac:dyDescent="0.25">
      <c r="A399" s="10" t="s">
        <v>2534</v>
      </c>
      <c r="B399" s="9" t="s">
        <v>47</v>
      </c>
      <c r="C399" s="9" t="s">
        <v>34</v>
      </c>
      <c r="D399" s="9" t="s">
        <v>48</v>
      </c>
      <c r="E399" s="9" t="s">
        <v>35</v>
      </c>
      <c r="F399" s="9" t="s">
        <v>36</v>
      </c>
      <c r="G399" s="9">
        <v>6</v>
      </c>
      <c r="H399" s="9">
        <v>84219999</v>
      </c>
      <c r="I399" s="11" t="s">
        <v>37</v>
      </c>
      <c r="J399" s="12">
        <v>1.6500000000000001E-2</v>
      </c>
      <c r="K399" s="12">
        <v>7.5999999999999998E-2</v>
      </c>
      <c r="L399" s="12">
        <v>5.1999999999999998E-2</v>
      </c>
      <c r="M399" s="13">
        <v>8003453065390</v>
      </c>
      <c r="N399" s="14">
        <v>0.437</v>
      </c>
      <c r="O399" s="14">
        <v>0.52600000000000002</v>
      </c>
      <c r="P399" s="15">
        <v>44958</v>
      </c>
      <c r="Q399" s="16" t="s">
        <v>2535</v>
      </c>
      <c r="R399" s="17" t="s">
        <v>2536</v>
      </c>
      <c r="S399" s="17" t="s">
        <v>2537</v>
      </c>
      <c r="T399" s="17" t="s">
        <v>8646</v>
      </c>
      <c r="U399" s="17" t="s">
        <v>2539</v>
      </c>
      <c r="V399" s="17" t="s">
        <v>35</v>
      </c>
      <c r="W399" s="17" t="s">
        <v>35</v>
      </c>
      <c r="X399" s="17" t="s">
        <v>2540</v>
      </c>
      <c r="Y399" s="17" t="s">
        <v>35</v>
      </c>
      <c r="Z399" s="17" t="s">
        <v>2538</v>
      </c>
      <c r="AA399" s="17" t="s">
        <v>35</v>
      </c>
      <c r="AB399" s="17" t="s">
        <v>2541</v>
      </c>
      <c r="AC399" s="17" t="s">
        <v>9539</v>
      </c>
      <c r="AD399" s="41">
        <v>31.07</v>
      </c>
      <c r="AE399" s="41">
        <v>32.69</v>
      </c>
      <c r="AF399" s="48"/>
      <c r="AG399" s="44"/>
      <c r="AH399" s="7">
        <f t="shared" si="6"/>
        <v>0</v>
      </c>
      <c r="AI399" s="18"/>
      <c r="AJ399" s="18"/>
      <c r="AL399" s="18"/>
    </row>
    <row r="400" spans="1:38" ht="26.65" customHeight="1" x14ac:dyDescent="0.25">
      <c r="A400" s="10" t="s">
        <v>2542</v>
      </c>
      <c r="B400" s="9" t="s">
        <v>47</v>
      </c>
      <c r="C400" s="9" t="s">
        <v>34</v>
      </c>
      <c r="D400" s="9" t="s">
        <v>67</v>
      </c>
      <c r="E400" s="9" t="s">
        <v>35</v>
      </c>
      <c r="F400" s="9" t="s">
        <v>36</v>
      </c>
      <c r="G400" s="9">
        <v>6</v>
      </c>
      <c r="H400" s="9">
        <v>84219999</v>
      </c>
      <c r="I400" s="11" t="s">
        <v>37</v>
      </c>
      <c r="J400" s="12">
        <v>1.6500000000000001E-2</v>
      </c>
      <c r="K400" s="12">
        <v>7.5999999999999998E-2</v>
      </c>
      <c r="L400" s="12">
        <v>5.1999999999999998E-2</v>
      </c>
      <c r="M400" s="13">
        <v>8003453065734</v>
      </c>
      <c r="N400" s="14">
        <v>0.86899999999999999</v>
      </c>
      <c r="O400" s="14">
        <v>0.97099999999999997</v>
      </c>
      <c r="P400" s="15">
        <v>45139</v>
      </c>
      <c r="Q400" s="16" t="s">
        <v>2543</v>
      </c>
      <c r="R400" s="17" t="s">
        <v>2544</v>
      </c>
      <c r="S400" s="17" t="s">
        <v>2545</v>
      </c>
      <c r="T400" s="17" t="s">
        <v>2546</v>
      </c>
      <c r="U400" s="17" t="s">
        <v>2546</v>
      </c>
      <c r="V400" s="17" t="s">
        <v>2547</v>
      </c>
      <c r="W400" s="17" t="s">
        <v>2548</v>
      </c>
      <c r="X400" s="17" t="s">
        <v>2549</v>
      </c>
      <c r="Y400" s="17" t="s">
        <v>35</v>
      </c>
      <c r="Z400" s="17" t="s">
        <v>2550</v>
      </c>
      <c r="AA400" s="17" t="s">
        <v>2551</v>
      </c>
      <c r="AB400" s="17" t="s">
        <v>2552</v>
      </c>
      <c r="AC400" s="17" t="s">
        <v>9539</v>
      </c>
      <c r="AD400" s="42">
        <v>47.49</v>
      </c>
      <c r="AE400" s="42">
        <v>49.96</v>
      </c>
      <c r="AF400" s="48"/>
      <c r="AG400" s="44"/>
      <c r="AH400" s="7">
        <f t="shared" si="6"/>
        <v>0</v>
      </c>
      <c r="AI400" s="18"/>
      <c r="AJ400" s="18"/>
    </row>
    <row r="401" spans="1:38" ht="26.65" customHeight="1" x14ac:dyDescent="0.25">
      <c r="A401" s="10" t="s">
        <v>2553</v>
      </c>
      <c r="B401" s="9" t="s">
        <v>1998</v>
      </c>
      <c r="C401" s="9" t="s">
        <v>43</v>
      </c>
      <c r="D401" s="9" t="s">
        <v>67</v>
      </c>
      <c r="E401" s="9" t="s">
        <v>35</v>
      </c>
      <c r="F401" s="9" t="s">
        <v>36</v>
      </c>
      <c r="G401" s="9">
        <v>6</v>
      </c>
      <c r="H401" s="9">
        <v>84219999</v>
      </c>
      <c r="I401" s="11" t="s">
        <v>37</v>
      </c>
      <c r="J401" s="12">
        <v>1.6500000000000001E-2</v>
      </c>
      <c r="K401" s="12">
        <v>7.5999999999999998E-2</v>
      </c>
      <c r="L401" s="12">
        <v>5.1999999999999998E-2</v>
      </c>
      <c r="M401" s="13">
        <v>8003453066014</v>
      </c>
      <c r="N401" s="14">
        <v>0.38900000000000001</v>
      </c>
      <c r="O401" s="14">
        <v>0.432</v>
      </c>
      <c r="P401" s="15">
        <v>45170</v>
      </c>
      <c r="Q401" s="16" t="s">
        <v>2554</v>
      </c>
      <c r="R401" s="17" t="s">
        <v>2555</v>
      </c>
      <c r="S401" s="17" t="s">
        <v>2556</v>
      </c>
      <c r="T401" s="17" t="s">
        <v>2557</v>
      </c>
      <c r="U401" s="17" t="s">
        <v>2558</v>
      </c>
      <c r="V401" s="17" t="s">
        <v>2559</v>
      </c>
      <c r="W401" s="17" t="s">
        <v>35</v>
      </c>
      <c r="X401" s="17" t="s">
        <v>2560</v>
      </c>
      <c r="Y401" s="17" t="s">
        <v>2561</v>
      </c>
      <c r="Z401" s="17" t="s">
        <v>2562</v>
      </c>
      <c r="AA401" s="17" t="s">
        <v>35</v>
      </c>
      <c r="AB401" s="17" t="s">
        <v>2563</v>
      </c>
      <c r="AC401" s="17" t="s">
        <v>9539</v>
      </c>
      <c r="AD401" s="42">
        <v>38.659999999999997</v>
      </c>
      <c r="AE401" s="42">
        <v>40.67</v>
      </c>
      <c r="AF401" s="48"/>
      <c r="AG401" s="44"/>
      <c r="AH401" s="7">
        <f t="shared" si="6"/>
        <v>0</v>
      </c>
      <c r="AI401" s="18"/>
      <c r="AJ401" s="18"/>
    </row>
    <row r="402" spans="1:38" ht="26.65" customHeight="1" x14ac:dyDescent="0.25">
      <c r="A402" s="10" t="s">
        <v>2564</v>
      </c>
      <c r="B402" s="9" t="s">
        <v>47</v>
      </c>
      <c r="C402" s="9" t="s">
        <v>58</v>
      </c>
      <c r="D402" s="9" t="s">
        <v>67</v>
      </c>
      <c r="E402" s="9" t="s">
        <v>35</v>
      </c>
      <c r="F402" s="9" t="s">
        <v>36</v>
      </c>
      <c r="G402" s="9">
        <v>6</v>
      </c>
      <c r="H402" s="9">
        <v>84219999</v>
      </c>
      <c r="I402" s="11" t="s">
        <v>37</v>
      </c>
      <c r="J402" s="12">
        <v>1.6500000000000001E-2</v>
      </c>
      <c r="K402" s="12">
        <v>7.5999999999999998E-2</v>
      </c>
      <c r="L402" s="12">
        <v>5.1999999999999998E-2</v>
      </c>
      <c r="M402" s="13">
        <v>8003453066076</v>
      </c>
      <c r="N402" s="14">
        <v>0.50800000000000001</v>
      </c>
      <c r="O402" s="14">
        <v>0.56999999999999995</v>
      </c>
      <c r="P402" s="15">
        <v>44868</v>
      </c>
      <c r="Q402" s="16" t="s">
        <v>2565</v>
      </c>
      <c r="R402" s="17" t="s">
        <v>2566</v>
      </c>
      <c r="S402" s="17" t="s">
        <v>2567</v>
      </c>
      <c r="T402" s="17" t="s">
        <v>2568</v>
      </c>
      <c r="U402" s="17" t="s">
        <v>2569</v>
      </c>
      <c r="V402" s="17" t="s">
        <v>2570</v>
      </c>
      <c r="W402" s="17" t="s">
        <v>2571</v>
      </c>
      <c r="X402" s="17" t="s">
        <v>2572</v>
      </c>
      <c r="Y402" s="17" t="s">
        <v>2573</v>
      </c>
      <c r="Z402" s="17" t="s">
        <v>2574</v>
      </c>
      <c r="AA402" s="17" t="s">
        <v>35</v>
      </c>
      <c r="AB402" s="17" t="s">
        <v>2575</v>
      </c>
      <c r="AC402" s="17" t="s">
        <v>9539</v>
      </c>
      <c r="AD402" s="41">
        <v>40.61</v>
      </c>
      <c r="AE402" s="41">
        <v>42.72</v>
      </c>
      <c r="AF402" s="48"/>
      <c r="AG402" s="44"/>
      <c r="AH402" s="7">
        <f t="shared" si="6"/>
        <v>0</v>
      </c>
      <c r="AI402" s="18"/>
      <c r="AJ402" s="18"/>
    </row>
    <row r="403" spans="1:38" ht="26.65" customHeight="1" x14ac:dyDescent="0.25">
      <c r="A403" s="10" t="s">
        <v>2576</v>
      </c>
      <c r="B403" s="9" t="s">
        <v>47</v>
      </c>
      <c r="C403" s="9" t="s">
        <v>43</v>
      </c>
      <c r="D403" s="9" t="s">
        <v>67</v>
      </c>
      <c r="E403" s="9" t="s">
        <v>35</v>
      </c>
      <c r="F403" s="9" t="s">
        <v>36</v>
      </c>
      <c r="G403" s="9">
        <v>6</v>
      </c>
      <c r="H403" s="9">
        <v>84219999</v>
      </c>
      <c r="I403" s="11" t="s">
        <v>37</v>
      </c>
      <c r="J403" s="12">
        <v>1.6500000000000001E-2</v>
      </c>
      <c r="K403" s="12">
        <v>7.5999999999999998E-2</v>
      </c>
      <c r="L403" s="12">
        <v>5.1999999999999998E-2</v>
      </c>
      <c r="M403" s="13">
        <v>8003453066380</v>
      </c>
      <c r="N403" s="14">
        <v>0.16500000000000001</v>
      </c>
      <c r="O403" s="14">
        <v>0.20499999999999999</v>
      </c>
      <c r="P403" s="15" t="s">
        <v>35</v>
      </c>
      <c r="Q403" s="16" t="s">
        <v>2577</v>
      </c>
      <c r="R403" s="17" t="s">
        <v>35</v>
      </c>
      <c r="S403" s="17" t="s">
        <v>2578</v>
      </c>
      <c r="T403" s="17" t="s">
        <v>2579</v>
      </c>
      <c r="U403" s="17" t="s">
        <v>2580</v>
      </c>
      <c r="V403" s="17" t="s">
        <v>35</v>
      </c>
      <c r="W403" s="17" t="s">
        <v>35</v>
      </c>
      <c r="X403" s="17" t="s">
        <v>2581</v>
      </c>
      <c r="Y403" s="17" t="s">
        <v>2582</v>
      </c>
      <c r="Z403" s="17" t="s">
        <v>35</v>
      </c>
      <c r="AA403" s="17" t="s">
        <v>35</v>
      </c>
      <c r="AB403" s="17" t="s">
        <v>35</v>
      </c>
      <c r="AC403" s="17" t="s">
        <v>9539</v>
      </c>
      <c r="AD403" s="41">
        <v>24.25</v>
      </c>
      <c r="AE403" s="41">
        <v>25.51</v>
      </c>
      <c r="AF403" s="48"/>
      <c r="AG403" s="44"/>
      <c r="AH403" s="7">
        <f t="shared" si="6"/>
        <v>0</v>
      </c>
      <c r="AI403" s="18"/>
      <c r="AJ403" s="18"/>
      <c r="AL403" s="18"/>
    </row>
    <row r="404" spans="1:38" ht="26.65" customHeight="1" x14ac:dyDescent="0.25">
      <c r="A404" s="10" t="s">
        <v>2583</v>
      </c>
      <c r="B404" s="9" t="s">
        <v>47</v>
      </c>
      <c r="C404" s="9" t="s">
        <v>43</v>
      </c>
      <c r="D404" s="9" t="s">
        <v>48</v>
      </c>
      <c r="E404" s="9" t="s">
        <v>35</v>
      </c>
      <c r="F404" s="9" t="s">
        <v>36</v>
      </c>
      <c r="G404" s="9">
        <v>6</v>
      </c>
      <c r="H404" s="9">
        <v>84219999</v>
      </c>
      <c r="I404" s="11" t="s">
        <v>37</v>
      </c>
      <c r="J404" s="12">
        <v>1.6500000000000001E-2</v>
      </c>
      <c r="K404" s="12">
        <v>7.5999999999999998E-2</v>
      </c>
      <c r="L404" s="12">
        <v>5.1999999999999998E-2</v>
      </c>
      <c r="M404" s="13">
        <v>8003453066403</v>
      </c>
      <c r="N404" s="14">
        <v>0.15</v>
      </c>
      <c r="O404" s="14">
        <v>0.185</v>
      </c>
      <c r="P404" s="15" t="s">
        <v>35</v>
      </c>
      <c r="Q404" s="16" t="s">
        <v>2584</v>
      </c>
      <c r="R404" s="17" t="s">
        <v>35</v>
      </c>
      <c r="S404" s="17" t="s">
        <v>35</v>
      </c>
      <c r="T404" s="17" t="s">
        <v>8647</v>
      </c>
      <c r="U404" s="17" t="s">
        <v>2585</v>
      </c>
      <c r="V404" s="17" t="s">
        <v>35</v>
      </c>
      <c r="W404" s="17" t="s">
        <v>35</v>
      </c>
      <c r="X404" s="17" t="s">
        <v>2586</v>
      </c>
      <c r="Y404" s="17" t="s">
        <v>2587</v>
      </c>
      <c r="Z404" s="17" t="s">
        <v>35</v>
      </c>
      <c r="AA404" s="17" t="s">
        <v>35</v>
      </c>
      <c r="AB404" s="17" t="s">
        <v>35</v>
      </c>
      <c r="AC404" s="17" t="s">
        <v>9539</v>
      </c>
      <c r="AD404" s="42">
        <v>19.05</v>
      </c>
      <c r="AE404" s="42">
        <v>20.04</v>
      </c>
      <c r="AF404" s="48"/>
      <c r="AG404" s="44"/>
      <c r="AH404" s="7">
        <f t="shared" si="6"/>
        <v>0</v>
      </c>
      <c r="AI404" s="18"/>
      <c r="AJ404" s="18"/>
    </row>
    <row r="405" spans="1:38" ht="26.65" customHeight="1" x14ac:dyDescent="0.25">
      <c r="A405" s="38" t="s">
        <v>2588</v>
      </c>
      <c r="B405" s="9" t="s">
        <v>47</v>
      </c>
      <c r="C405" s="9" t="s">
        <v>58</v>
      </c>
      <c r="D405" s="9" t="s">
        <v>67</v>
      </c>
      <c r="E405" s="9" t="s">
        <v>35</v>
      </c>
      <c r="F405" s="9" t="s">
        <v>36</v>
      </c>
      <c r="G405" s="9">
        <v>6</v>
      </c>
      <c r="H405" s="9">
        <v>84219999</v>
      </c>
      <c r="I405" s="11" t="s">
        <v>37</v>
      </c>
      <c r="J405" s="12">
        <v>1.6500000000000001E-2</v>
      </c>
      <c r="K405" s="12">
        <v>7.5999999999999998E-2</v>
      </c>
      <c r="L405" s="12">
        <v>5.1999999999999998E-2</v>
      </c>
      <c r="M405" s="13">
        <v>8003453068247</v>
      </c>
      <c r="N405" s="14">
        <v>0.18</v>
      </c>
      <c r="O405" s="14">
        <v>0.21099999999999999</v>
      </c>
      <c r="P405" s="15" t="s">
        <v>35</v>
      </c>
      <c r="Q405" s="16" t="s">
        <v>2589</v>
      </c>
      <c r="R405" s="17" t="s">
        <v>35</v>
      </c>
      <c r="S405" s="17" t="s">
        <v>2590</v>
      </c>
      <c r="T405" s="17" t="s">
        <v>2591</v>
      </c>
      <c r="U405" s="17" t="s">
        <v>2592</v>
      </c>
      <c r="V405" s="17" t="s">
        <v>35</v>
      </c>
      <c r="W405" s="17" t="s">
        <v>35</v>
      </c>
      <c r="X405" s="17" t="s">
        <v>2593</v>
      </c>
      <c r="Y405" s="17" t="s">
        <v>2594</v>
      </c>
      <c r="Z405" s="17" t="s">
        <v>2595</v>
      </c>
      <c r="AA405" s="17" t="s">
        <v>35</v>
      </c>
      <c r="AB405" s="17" t="s">
        <v>2596</v>
      </c>
      <c r="AC405" s="17" t="s">
        <v>9538</v>
      </c>
      <c r="AD405" s="41">
        <v>26.42</v>
      </c>
      <c r="AE405" s="41">
        <v>27.79</v>
      </c>
      <c r="AF405" s="48"/>
      <c r="AG405" s="44"/>
      <c r="AH405" s="7">
        <f t="shared" si="6"/>
        <v>0</v>
      </c>
      <c r="AI405" s="18"/>
      <c r="AJ405" s="18"/>
      <c r="AL405" s="18"/>
    </row>
    <row r="406" spans="1:38" ht="26.65" customHeight="1" x14ac:dyDescent="0.25">
      <c r="A406" s="10" t="s">
        <v>10149</v>
      </c>
      <c r="B406" s="9" t="s">
        <v>47</v>
      </c>
      <c r="C406" s="9" t="s">
        <v>34</v>
      </c>
      <c r="D406" s="9" t="s">
        <v>48</v>
      </c>
      <c r="E406" s="9" t="s">
        <v>35</v>
      </c>
      <c r="F406" s="9" t="s">
        <v>36</v>
      </c>
      <c r="G406" s="9">
        <v>6</v>
      </c>
      <c r="H406" s="9">
        <v>84219999</v>
      </c>
      <c r="I406" s="11" t="s">
        <v>37</v>
      </c>
      <c r="J406" s="12">
        <v>1.6500000000000001E-2</v>
      </c>
      <c r="K406" s="12">
        <v>7.5999999999999998E-2</v>
      </c>
      <c r="L406" s="12">
        <v>5.1999999999999998E-2</v>
      </c>
      <c r="M406" s="13">
        <v>8003453810051</v>
      </c>
      <c r="N406" s="14">
        <v>0</v>
      </c>
      <c r="O406" s="14">
        <v>0</v>
      </c>
      <c r="P406" s="15">
        <v>45566</v>
      </c>
      <c r="Q406" s="16" t="s">
        <v>10150</v>
      </c>
      <c r="R406" s="17" t="s">
        <v>10151</v>
      </c>
      <c r="S406" s="17" t="s">
        <v>35</v>
      </c>
      <c r="T406" s="17" t="s">
        <v>35</v>
      </c>
      <c r="U406" s="17" t="s">
        <v>35</v>
      </c>
      <c r="V406" s="17" t="s">
        <v>35</v>
      </c>
      <c r="W406" s="17" t="s">
        <v>35</v>
      </c>
      <c r="X406" s="17" t="s">
        <v>35</v>
      </c>
      <c r="Y406" s="17" t="s">
        <v>35</v>
      </c>
      <c r="Z406" s="17" t="s">
        <v>10152</v>
      </c>
      <c r="AA406" s="17" t="s">
        <v>35</v>
      </c>
      <c r="AB406" s="17" t="s">
        <v>10153</v>
      </c>
      <c r="AC406" s="17" t="s">
        <v>9539</v>
      </c>
      <c r="AD406" s="41">
        <v>61.91</v>
      </c>
      <c r="AE406" s="41">
        <v>65.13</v>
      </c>
      <c r="AF406" s="48"/>
      <c r="AG406" s="44"/>
      <c r="AH406" s="7">
        <f t="shared" si="6"/>
        <v>0</v>
      </c>
      <c r="AI406" s="18"/>
      <c r="AJ406" s="18"/>
    </row>
    <row r="407" spans="1:38" ht="26.65" customHeight="1" x14ac:dyDescent="0.25">
      <c r="A407" s="10" t="s">
        <v>10154</v>
      </c>
      <c r="B407" s="9" t="s">
        <v>47</v>
      </c>
      <c r="C407" s="9" t="s">
        <v>34</v>
      </c>
      <c r="D407" s="9" t="s">
        <v>8140</v>
      </c>
      <c r="E407" s="9" t="s">
        <v>35</v>
      </c>
      <c r="F407" s="9" t="s">
        <v>36</v>
      </c>
      <c r="G407" s="9">
        <v>6</v>
      </c>
      <c r="H407" s="9">
        <v>84219999</v>
      </c>
      <c r="I407" s="11" t="s">
        <v>37</v>
      </c>
      <c r="J407" s="12">
        <v>1.6500000000000001E-2</v>
      </c>
      <c r="K407" s="12">
        <v>7.5999999999999998E-2</v>
      </c>
      <c r="L407" s="12">
        <v>5.1999999999999998E-2</v>
      </c>
      <c r="M407" s="13">
        <v>8003453801554</v>
      </c>
      <c r="N407" s="14">
        <v>0</v>
      </c>
      <c r="O407" s="14">
        <v>0</v>
      </c>
      <c r="P407" s="15">
        <v>45566</v>
      </c>
      <c r="Q407" s="16" t="s">
        <v>10155</v>
      </c>
      <c r="R407" s="17">
        <v>2076071180</v>
      </c>
      <c r="S407" s="17" t="s">
        <v>10156</v>
      </c>
      <c r="T407" s="17" t="s">
        <v>35</v>
      </c>
      <c r="U407" s="17" t="s">
        <v>35</v>
      </c>
      <c r="V407" s="17" t="s">
        <v>35</v>
      </c>
      <c r="W407" s="17" t="s">
        <v>35</v>
      </c>
      <c r="X407" s="17" t="s">
        <v>35</v>
      </c>
      <c r="Y407" s="17" t="s">
        <v>10157</v>
      </c>
      <c r="Z407" s="17" t="s">
        <v>10158</v>
      </c>
      <c r="AA407" s="17" t="s">
        <v>35</v>
      </c>
      <c r="AB407" s="17" t="s">
        <v>10159</v>
      </c>
      <c r="AC407" s="17" t="s">
        <v>9539</v>
      </c>
      <c r="AD407" s="41">
        <v>157.69</v>
      </c>
      <c r="AE407" s="41">
        <v>165.89</v>
      </c>
      <c r="AF407" s="48"/>
      <c r="AG407" s="44"/>
      <c r="AH407" s="7">
        <f t="shared" si="6"/>
        <v>0</v>
      </c>
      <c r="AI407" s="18"/>
      <c r="AJ407" s="18"/>
    </row>
    <row r="408" spans="1:38" ht="26.65" customHeight="1" x14ac:dyDescent="0.25">
      <c r="A408" s="10" t="s">
        <v>10160</v>
      </c>
      <c r="B408" s="9" t="s">
        <v>47</v>
      </c>
      <c r="C408" s="9" t="s">
        <v>34</v>
      </c>
      <c r="D408" s="9" t="s">
        <v>48</v>
      </c>
      <c r="E408" s="9" t="s">
        <v>35</v>
      </c>
      <c r="F408" s="9" t="s">
        <v>36</v>
      </c>
      <c r="G408" s="9">
        <v>6</v>
      </c>
      <c r="H408" s="9">
        <v>84219999</v>
      </c>
      <c r="I408" s="11" t="s">
        <v>37</v>
      </c>
      <c r="J408" s="12">
        <v>1.6500000000000001E-2</v>
      </c>
      <c r="K408" s="12">
        <v>7.5999999999999998E-2</v>
      </c>
      <c r="L408" s="12">
        <v>5.1999999999999998E-2</v>
      </c>
      <c r="M408" s="13">
        <v>8003453801882</v>
      </c>
      <c r="N408" s="14">
        <v>0</v>
      </c>
      <c r="O408" s="14">
        <v>0</v>
      </c>
      <c r="P408" s="15">
        <v>45566</v>
      </c>
      <c r="Q408" s="16" t="s">
        <v>10161</v>
      </c>
      <c r="R408" s="17" t="s">
        <v>10162</v>
      </c>
      <c r="S408" s="17" t="s">
        <v>35</v>
      </c>
      <c r="T408" s="17" t="s">
        <v>35</v>
      </c>
      <c r="U408" s="17" t="s">
        <v>35</v>
      </c>
      <c r="V408" s="17" t="s">
        <v>35</v>
      </c>
      <c r="W408" s="17" t="s">
        <v>35</v>
      </c>
      <c r="X408" s="17" t="s">
        <v>35</v>
      </c>
      <c r="Y408" s="17" t="s">
        <v>35</v>
      </c>
      <c r="Z408" s="17" t="s">
        <v>10163</v>
      </c>
      <c r="AA408" s="17" t="s">
        <v>35</v>
      </c>
      <c r="AB408" s="17" t="s">
        <v>35</v>
      </c>
      <c r="AC408" s="17" t="s">
        <v>9539</v>
      </c>
      <c r="AD408" s="41">
        <v>480.5</v>
      </c>
      <c r="AE408" s="41">
        <v>505.49</v>
      </c>
      <c r="AF408" s="48"/>
      <c r="AG408" s="44"/>
      <c r="AH408" s="7">
        <f t="shared" si="6"/>
        <v>0</v>
      </c>
      <c r="AI408" s="18"/>
      <c r="AJ408" s="18"/>
    </row>
    <row r="409" spans="1:38" ht="26.65" customHeight="1" x14ac:dyDescent="0.25">
      <c r="A409" s="10" t="s">
        <v>10164</v>
      </c>
      <c r="B409" s="9" t="s">
        <v>47</v>
      </c>
      <c r="C409" s="9" t="s">
        <v>34</v>
      </c>
      <c r="D409" s="9" t="s">
        <v>48</v>
      </c>
      <c r="E409" s="9" t="s">
        <v>35</v>
      </c>
      <c r="F409" s="9" t="s">
        <v>36</v>
      </c>
      <c r="G409" s="9">
        <v>6</v>
      </c>
      <c r="H409" s="9">
        <v>84219999</v>
      </c>
      <c r="I409" s="11" t="s">
        <v>37</v>
      </c>
      <c r="J409" s="12">
        <v>1.6500000000000001E-2</v>
      </c>
      <c r="K409" s="12">
        <v>7.5999999999999998E-2</v>
      </c>
      <c r="L409" s="12">
        <v>5.1999999999999998E-2</v>
      </c>
      <c r="M409" s="13">
        <v>8003453801899</v>
      </c>
      <c r="N409" s="14">
        <v>0</v>
      </c>
      <c r="O409" s="14">
        <v>0</v>
      </c>
      <c r="P409" s="15">
        <v>45566</v>
      </c>
      <c r="Q409" s="16" t="s">
        <v>10165</v>
      </c>
      <c r="R409" s="17" t="s">
        <v>10166</v>
      </c>
      <c r="S409" s="17" t="s">
        <v>10167</v>
      </c>
      <c r="T409" s="17" t="s">
        <v>35</v>
      </c>
      <c r="U409" s="17" t="s">
        <v>35</v>
      </c>
      <c r="V409" s="17" t="s">
        <v>35</v>
      </c>
      <c r="W409" s="17" t="s">
        <v>35</v>
      </c>
      <c r="X409" s="17" t="s">
        <v>35</v>
      </c>
      <c r="Y409" s="17" t="s">
        <v>35</v>
      </c>
      <c r="Z409" s="17" t="s">
        <v>10168</v>
      </c>
      <c r="AA409" s="17" t="s">
        <v>35</v>
      </c>
      <c r="AB409" s="17" t="s">
        <v>10169</v>
      </c>
      <c r="AC409" s="17" t="s">
        <v>9539</v>
      </c>
      <c r="AD409" s="41">
        <v>56.1</v>
      </c>
      <c r="AE409" s="41">
        <v>59.02</v>
      </c>
      <c r="AF409" s="48"/>
      <c r="AG409" s="44"/>
      <c r="AH409" s="7">
        <f t="shared" si="6"/>
        <v>0</v>
      </c>
      <c r="AI409" s="18"/>
      <c r="AJ409" s="18"/>
    </row>
    <row r="410" spans="1:38" ht="26.65" customHeight="1" x14ac:dyDescent="0.25">
      <c r="A410" s="10" t="s">
        <v>10171</v>
      </c>
      <c r="B410" s="9" t="s">
        <v>47</v>
      </c>
      <c r="C410" s="9" t="s">
        <v>34</v>
      </c>
      <c r="D410" s="9" t="s">
        <v>48</v>
      </c>
      <c r="E410" s="9" t="s">
        <v>35</v>
      </c>
      <c r="F410" s="9" t="s">
        <v>36</v>
      </c>
      <c r="G410" s="9">
        <v>6</v>
      </c>
      <c r="H410" s="9">
        <v>84219999</v>
      </c>
      <c r="I410" s="11" t="s">
        <v>37</v>
      </c>
      <c r="J410" s="12">
        <v>1.6500000000000001E-2</v>
      </c>
      <c r="K410" s="12">
        <v>7.5999999999999998E-2</v>
      </c>
      <c r="L410" s="12">
        <v>5.1999999999999998E-2</v>
      </c>
      <c r="M410" s="13">
        <v>8003453802872</v>
      </c>
      <c r="N410" s="14">
        <v>0</v>
      </c>
      <c r="O410" s="14">
        <v>0</v>
      </c>
      <c r="P410" s="15">
        <v>45566</v>
      </c>
      <c r="Q410" s="16" t="s">
        <v>10172</v>
      </c>
      <c r="R410" s="17">
        <v>1799806</v>
      </c>
      <c r="S410" s="17" t="s">
        <v>10173</v>
      </c>
      <c r="T410" s="17" t="s">
        <v>10174</v>
      </c>
      <c r="U410" s="17" t="s">
        <v>35</v>
      </c>
      <c r="V410" s="17" t="s">
        <v>10175</v>
      </c>
      <c r="W410" s="17" t="s">
        <v>35</v>
      </c>
      <c r="X410" s="17" t="s">
        <v>35</v>
      </c>
      <c r="Y410" s="17" t="s">
        <v>35</v>
      </c>
      <c r="Z410" s="17" t="s">
        <v>10176</v>
      </c>
      <c r="AA410" s="17" t="s">
        <v>35</v>
      </c>
      <c r="AB410" s="17" t="s">
        <v>10177</v>
      </c>
      <c r="AC410" s="17" t="s">
        <v>9539</v>
      </c>
      <c r="AD410" s="41">
        <v>261.95</v>
      </c>
      <c r="AE410" s="41">
        <v>275.57</v>
      </c>
      <c r="AF410" s="48"/>
      <c r="AG410" s="44"/>
      <c r="AH410" s="7">
        <f t="shared" si="6"/>
        <v>0</v>
      </c>
      <c r="AI410" s="18"/>
      <c r="AJ410" s="18"/>
    </row>
    <row r="411" spans="1:38" ht="26.65" customHeight="1" x14ac:dyDescent="0.25">
      <c r="A411" s="10" t="s">
        <v>10178</v>
      </c>
      <c r="B411" s="9" t="s">
        <v>47</v>
      </c>
      <c r="C411" s="9" t="s">
        <v>34</v>
      </c>
      <c r="D411" s="9" t="s">
        <v>48</v>
      </c>
      <c r="E411" s="9" t="s">
        <v>35</v>
      </c>
      <c r="F411" s="9" t="s">
        <v>36</v>
      </c>
      <c r="G411" s="9">
        <v>6</v>
      </c>
      <c r="H411" s="9">
        <v>84219999</v>
      </c>
      <c r="I411" s="11" t="s">
        <v>37</v>
      </c>
      <c r="J411" s="12">
        <v>1.6500000000000001E-2</v>
      </c>
      <c r="K411" s="12">
        <v>7.5999999999999998E-2</v>
      </c>
      <c r="L411" s="12">
        <v>5.1999999999999998E-2</v>
      </c>
      <c r="M411" s="13">
        <v>8003453803213</v>
      </c>
      <c r="N411" s="14">
        <v>0</v>
      </c>
      <c r="O411" s="14">
        <v>0</v>
      </c>
      <c r="P411" s="15">
        <v>45566</v>
      </c>
      <c r="Q411" s="16" t="s">
        <v>10179</v>
      </c>
      <c r="R411" s="17">
        <v>4656608</v>
      </c>
      <c r="S411" s="17" t="s">
        <v>10180</v>
      </c>
      <c r="T411" s="17" t="s">
        <v>10181</v>
      </c>
      <c r="U411" s="17" t="s">
        <v>35</v>
      </c>
      <c r="V411" s="17" t="s">
        <v>35</v>
      </c>
      <c r="W411" s="17" t="s">
        <v>35</v>
      </c>
      <c r="X411" s="17" t="s">
        <v>35</v>
      </c>
      <c r="Y411" s="17" t="s">
        <v>35</v>
      </c>
      <c r="Z411" s="17" t="s">
        <v>10182</v>
      </c>
      <c r="AA411" s="17" t="s">
        <v>35</v>
      </c>
      <c r="AB411" s="17" t="s">
        <v>10183</v>
      </c>
      <c r="AC411" s="17" t="s">
        <v>9539</v>
      </c>
      <c r="AD411" s="41">
        <v>138.13999999999999</v>
      </c>
      <c r="AE411" s="41">
        <v>145.32</v>
      </c>
      <c r="AF411" s="48"/>
      <c r="AG411" s="44"/>
      <c r="AH411" s="7">
        <f t="shared" si="6"/>
        <v>0</v>
      </c>
      <c r="AI411" s="18"/>
      <c r="AJ411" s="18"/>
    </row>
    <row r="412" spans="1:38" ht="26.65" customHeight="1" x14ac:dyDescent="0.25">
      <c r="A412" s="10" t="s">
        <v>10184</v>
      </c>
      <c r="B412" s="9" t="s">
        <v>47</v>
      </c>
      <c r="C412" s="9" t="s">
        <v>34</v>
      </c>
      <c r="D412" s="9" t="s">
        <v>8140</v>
      </c>
      <c r="E412" s="9" t="s">
        <v>35</v>
      </c>
      <c r="F412" s="9" t="s">
        <v>36</v>
      </c>
      <c r="G412" s="9">
        <v>6</v>
      </c>
      <c r="H412" s="9">
        <v>84219999</v>
      </c>
      <c r="I412" s="11" t="s">
        <v>37</v>
      </c>
      <c r="J412" s="12">
        <v>1.6500000000000001E-2</v>
      </c>
      <c r="K412" s="12">
        <v>7.5999999999999998E-2</v>
      </c>
      <c r="L412" s="12">
        <v>5.1999999999999998E-2</v>
      </c>
      <c r="M412" s="13">
        <v>8003453803244</v>
      </c>
      <c r="N412" s="14">
        <v>0</v>
      </c>
      <c r="O412" s="14">
        <v>0</v>
      </c>
      <c r="P412" s="15">
        <v>45566</v>
      </c>
      <c r="Q412" s="16" t="s">
        <v>10185</v>
      </c>
      <c r="R412" s="17">
        <v>2056051430</v>
      </c>
      <c r="S412" s="17" t="s">
        <v>10186</v>
      </c>
      <c r="T412" s="17" t="s">
        <v>35</v>
      </c>
      <c r="U412" s="17" t="s">
        <v>35</v>
      </c>
      <c r="V412" s="17" t="s">
        <v>35</v>
      </c>
      <c r="W412" s="17" t="s">
        <v>35</v>
      </c>
      <c r="X412" s="17" t="s">
        <v>35</v>
      </c>
      <c r="Y412" s="17" t="s">
        <v>10187</v>
      </c>
      <c r="Z412" s="17" t="s">
        <v>10188</v>
      </c>
      <c r="AA412" s="17" t="s">
        <v>35</v>
      </c>
      <c r="AB412" s="17" t="s">
        <v>10189</v>
      </c>
      <c r="AC412" s="17" t="s">
        <v>9539</v>
      </c>
      <c r="AD412" s="41">
        <v>83.52</v>
      </c>
      <c r="AE412" s="41">
        <v>87.86</v>
      </c>
      <c r="AF412" s="48"/>
      <c r="AG412" s="44"/>
      <c r="AH412" s="7">
        <f t="shared" si="6"/>
        <v>0</v>
      </c>
      <c r="AI412" s="18"/>
      <c r="AJ412" s="18"/>
    </row>
    <row r="413" spans="1:38" ht="26.65" customHeight="1" x14ac:dyDescent="0.25">
      <c r="A413" s="10" t="s">
        <v>10190</v>
      </c>
      <c r="B413" s="9" t="s">
        <v>47</v>
      </c>
      <c r="C413" s="9" t="s">
        <v>34</v>
      </c>
      <c r="D413" s="9" t="s">
        <v>48</v>
      </c>
      <c r="E413" s="9" t="s">
        <v>35</v>
      </c>
      <c r="F413" s="9" t="s">
        <v>36</v>
      </c>
      <c r="G413" s="9">
        <v>6</v>
      </c>
      <c r="H413" s="9">
        <v>84219999</v>
      </c>
      <c r="I413" s="11" t="s">
        <v>37</v>
      </c>
      <c r="J413" s="12">
        <v>1.6500000000000001E-2</v>
      </c>
      <c r="K413" s="12">
        <v>7.5999999999999998E-2</v>
      </c>
      <c r="L413" s="12">
        <v>5.1999999999999998E-2</v>
      </c>
      <c r="M413" s="13">
        <v>8003453803251</v>
      </c>
      <c r="N413" s="14">
        <v>0</v>
      </c>
      <c r="O413" s="14">
        <v>0</v>
      </c>
      <c r="P413" s="15">
        <v>45566</v>
      </c>
      <c r="Q413" s="16" t="s">
        <v>10179</v>
      </c>
      <c r="R413" s="17">
        <v>4448401</v>
      </c>
      <c r="S413" s="17" t="s">
        <v>35</v>
      </c>
      <c r="T413" s="17" t="s">
        <v>35</v>
      </c>
      <c r="U413" s="17" t="s">
        <v>35</v>
      </c>
      <c r="V413" s="17" t="s">
        <v>35</v>
      </c>
      <c r="W413" s="17" t="s">
        <v>35</v>
      </c>
      <c r="X413" s="17" t="s">
        <v>35</v>
      </c>
      <c r="Y413" s="17" t="s">
        <v>35</v>
      </c>
      <c r="Z413" s="17" t="s">
        <v>10191</v>
      </c>
      <c r="AA413" s="17" t="s">
        <v>35</v>
      </c>
      <c r="AB413" s="17" t="s">
        <v>10192</v>
      </c>
      <c r="AC413" s="17" t="s">
        <v>9539</v>
      </c>
      <c r="AD413" s="41">
        <v>231.8</v>
      </c>
      <c r="AE413" s="41">
        <v>243.85</v>
      </c>
      <c r="AF413" s="48"/>
      <c r="AG413" s="44"/>
      <c r="AH413" s="7">
        <f t="shared" si="6"/>
        <v>0</v>
      </c>
      <c r="AI413" s="18"/>
      <c r="AJ413" s="18"/>
    </row>
    <row r="414" spans="1:38" ht="26.65" customHeight="1" x14ac:dyDescent="0.25">
      <c r="A414" s="10" t="s">
        <v>2597</v>
      </c>
      <c r="B414" s="9" t="s">
        <v>47</v>
      </c>
      <c r="C414" s="9" t="s">
        <v>58</v>
      </c>
      <c r="D414" s="9" t="s">
        <v>48</v>
      </c>
      <c r="E414" s="9" t="s">
        <v>35</v>
      </c>
      <c r="F414" s="9" t="s">
        <v>36</v>
      </c>
      <c r="G414" s="9">
        <v>6</v>
      </c>
      <c r="H414" s="9">
        <v>84219999</v>
      </c>
      <c r="I414" s="11" t="s">
        <v>37</v>
      </c>
      <c r="J414" s="12">
        <v>1.6500000000000001E-2</v>
      </c>
      <c r="K414" s="12">
        <v>7.5999999999999998E-2</v>
      </c>
      <c r="L414" s="12">
        <v>5.1999999999999998E-2</v>
      </c>
      <c r="M414" s="13">
        <v>8003453068865</v>
      </c>
      <c r="N414" s="14">
        <v>0.14699999999999999</v>
      </c>
      <c r="O414" s="14">
        <v>0.17199999999999999</v>
      </c>
      <c r="P414" s="15">
        <v>44958</v>
      </c>
      <c r="Q414" s="16" t="s">
        <v>2598</v>
      </c>
      <c r="R414" s="17" t="s">
        <v>2599</v>
      </c>
      <c r="S414" s="17" t="s">
        <v>2600</v>
      </c>
      <c r="T414" s="17" t="s">
        <v>2601</v>
      </c>
      <c r="U414" s="17" t="s">
        <v>2602</v>
      </c>
      <c r="V414" s="17" t="s">
        <v>2603</v>
      </c>
      <c r="W414" s="17" t="s">
        <v>35</v>
      </c>
      <c r="X414" s="17" t="s">
        <v>35</v>
      </c>
      <c r="Y414" s="17" t="s">
        <v>2604</v>
      </c>
      <c r="Z414" s="17" t="s">
        <v>2605</v>
      </c>
      <c r="AA414" s="17" t="s">
        <v>35</v>
      </c>
      <c r="AB414" s="17" t="s">
        <v>2606</v>
      </c>
      <c r="AC414" s="17" t="s">
        <v>9539</v>
      </c>
      <c r="AD414" s="42">
        <v>42.8</v>
      </c>
      <c r="AE414" s="42">
        <v>45.03</v>
      </c>
      <c r="AF414" s="48"/>
      <c r="AG414" s="44"/>
      <c r="AH414" s="7">
        <f t="shared" si="6"/>
        <v>0</v>
      </c>
      <c r="AI414" s="18"/>
      <c r="AJ414" s="18"/>
    </row>
    <row r="415" spans="1:38" ht="26.65" customHeight="1" x14ac:dyDescent="0.25">
      <c r="A415" s="10" t="s">
        <v>2607</v>
      </c>
      <c r="B415" s="9" t="s">
        <v>47</v>
      </c>
      <c r="C415" s="9" t="s">
        <v>34</v>
      </c>
      <c r="D415" s="9" t="s">
        <v>48</v>
      </c>
      <c r="E415" s="9" t="s">
        <v>35</v>
      </c>
      <c r="F415" s="9" t="s">
        <v>36</v>
      </c>
      <c r="G415" s="9">
        <v>6</v>
      </c>
      <c r="H415" s="9">
        <v>84219999</v>
      </c>
      <c r="I415" s="11" t="s">
        <v>37</v>
      </c>
      <c r="J415" s="12">
        <v>1.6500000000000001E-2</v>
      </c>
      <c r="K415" s="12">
        <v>7.5999999999999998E-2</v>
      </c>
      <c r="L415" s="12">
        <v>5.1999999999999998E-2</v>
      </c>
      <c r="M415" s="13">
        <v>8003453069091</v>
      </c>
      <c r="N415" s="14">
        <v>6.3E-2</v>
      </c>
      <c r="O415" s="14">
        <v>7.5999999999999998E-2</v>
      </c>
      <c r="P415" s="15">
        <v>44958</v>
      </c>
      <c r="Q415" s="16" t="s">
        <v>2608</v>
      </c>
      <c r="R415" s="17" t="s">
        <v>2609</v>
      </c>
      <c r="S415" s="17" t="s">
        <v>35</v>
      </c>
      <c r="T415" s="17" t="s">
        <v>35</v>
      </c>
      <c r="U415" s="17" t="s">
        <v>35</v>
      </c>
      <c r="V415" s="17" t="s">
        <v>35</v>
      </c>
      <c r="W415" s="17" t="s">
        <v>35</v>
      </c>
      <c r="X415" s="17" t="s">
        <v>35</v>
      </c>
      <c r="Y415" s="17" t="s">
        <v>35</v>
      </c>
      <c r="Z415" s="17" t="s">
        <v>2610</v>
      </c>
      <c r="AA415" s="17" t="s">
        <v>35</v>
      </c>
      <c r="AB415" s="17" t="s">
        <v>35</v>
      </c>
      <c r="AC415" s="17" t="s">
        <v>9539</v>
      </c>
      <c r="AD415" s="42">
        <v>50.77</v>
      </c>
      <c r="AE415" s="42">
        <v>53.41</v>
      </c>
      <c r="AF415" s="48"/>
      <c r="AG415" s="44"/>
      <c r="AH415" s="7">
        <f t="shared" si="6"/>
        <v>0</v>
      </c>
      <c r="AI415" s="18"/>
      <c r="AJ415" s="18"/>
    </row>
    <row r="416" spans="1:38" ht="26.65" customHeight="1" x14ac:dyDescent="0.25">
      <c r="A416" s="10" t="s">
        <v>2611</v>
      </c>
      <c r="B416" s="9" t="s">
        <v>1998</v>
      </c>
      <c r="C416" s="9" t="s">
        <v>34</v>
      </c>
      <c r="D416" s="9" t="s">
        <v>67</v>
      </c>
      <c r="E416" s="9" t="s">
        <v>35</v>
      </c>
      <c r="F416" s="9" t="s">
        <v>36</v>
      </c>
      <c r="G416" s="9">
        <v>6</v>
      </c>
      <c r="H416" s="9">
        <v>84219999</v>
      </c>
      <c r="I416" s="11" t="s">
        <v>37</v>
      </c>
      <c r="J416" s="12">
        <v>1.6500000000000001E-2</v>
      </c>
      <c r="K416" s="12">
        <v>7.5999999999999998E-2</v>
      </c>
      <c r="L416" s="12">
        <v>5.1999999999999998E-2</v>
      </c>
      <c r="M416" s="13">
        <v>8003453069145</v>
      </c>
      <c r="N416" s="14">
        <v>1.913</v>
      </c>
      <c r="O416" s="14">
        <v>2.1150000000000002</v>
      </c>
      <c r="P416" s="15">
        <v>45170</v>
      </c>
      <c r="Q416" s="16" t="s">
        <v>2612</v>
      </c>
      <c r="R416" s="17" t="s">
        <v>2613</v>
      </c>
      <c r="S416" s="17" t="s">
        <v>2614</v>
      </c>
      <c r="T416" s="17" t="s">
        <v>2615</v>
      </c>
      <c r="U416" s="17" t="s">
        <v>35</v>
      </c>
      <c r="V416" s="17" t="s">
        <v>35</v>
      </c>
      <c r="W416" s="17" t="s">
        <v>35</v>
      </c>
      <c r="X416" s="17" t="s">
        <v>35</v>
      </c>
      <c r="Y416" s="17" t="s">
        <v>35</v>
      </c>
      <c r="Z416" s="17" t="s">
        <v>2616</v>
      </c>
      <c r="AA416" s="17" t="s">
        <v>35</v>
      </c>
      <c r="AB416" s="17" t="s">
        <v>2617</v>
      </c>
      <c r="AC416" s="17" t="s">
        <v>9539</v>
      </c>
      <c r="AD416" s="42">
        <v>249.67</v>
      </c>
      <c r="AE416" s="42">
        <v>262.64999999999998</v>
      </c>
      <c r="AF416" s="48"/>
      <c r="AG416" s="44"/>
      <c r="AH416" s="7">
        <f t="shared" si="6"/>
        <v>0</v>
      </c>
      <c r="AI416" s="18"/>
      <c r="AJ416" s="18"/>
    </row>
    <row r="417" spans="1:36" ht="26.65" customHeight="1" x14ac:dyDescent="0.25">
      <c r="A417" s="10" t="s">
        <v>2618</v>
      </c>
      <c r="B417" s="9" t="s">
        <v>47</v>
      </c>
      <c r="C417" s="9" t="s">
        <v>34</v>
      </c>
      <c r="D417" s="9" t="s">
        <v>67</v>
      </c>
      <c r="E417" s="9" t="s">
        <v>35</v>
      </c>
      <c r="F417" s="9" t="s">
        <v>36</v>
      </c>
      <c r="G417" s="9">
        <v>6</v>
      </c>
      <c r="H417" s="9">
        <v>84219999</v>
      </c>
      <c r="I417" s="11" t="s">
        <v>37</v>
      </c>
      <c r="J417" s="12">
        <v>1.6500000000000001E-2</v>
      </c>
      <c r="K417" s="12">
        <v>7.5999999999999998E-2</v>
      </c>
      <c r="L417" s="12">
        <v>5.1999999999999998E-2</v>
      </c>
      <c r="M417" s="13">
        <v>8003453069183</v>
      </c>
      <c r="N417" s="14">
        <v>0.435</v>
      </c>
      <c r="O417" s="14">
        <v>0.47699999999999998</v>
      </c>
      <c r="P417" s="15">
        <v>45047</v>
      </c>
      <c r="Q417" s="16" t="s">
        <v>2619</v>
      </c>
      <c r="R417" s="17" t="s">
        <v>2620</v>
      </c>
      <c r="S417" s="17" t="s">
        <v>35</v>
      </c>
      <c r="T417" s="17" t="s">
        <v>35</v>
      </c>
      <c r="U417" s="17" t="s">
        <v>35</v>
      </c>
      <c r="V417" s="17" t="s">
        <v>35</v>
      </c>
      <c r="W417" s="17" t="s">
        <v>35</v>
      </c>
      <c r="X417" s="17" t="s">
        <v>35</v>
      </c>
      <c r="Y417" s="17" t="s">
        <v>35</v>
      </c>
      <c r="Z417" s="17" t="s">
        <v>2621</v>
      </c>
      <c r="AA417" s="17" t="s">
        <v>35</v>
      </c>
      <c r="AB417" s="17" t="s">
        <v>2622</v>
      </c>
      <c r="AC417" s="17" t="s">
        <v>9539</v>
      </c>
      <c r="AD417" s="42">
        <v>61.87</v>
      </c>
      <c r="AE417" s="42">
        <v>65.09</v>
      </c>
      <c r="AF417" s="48"/>
      <c r="AG417" s="44"/>
      <c r="AH417" s="7">
        <f t="shared" si="6"/>
        <v>0</v>
      </c>
      <c r="AI417" s="18"/>
      <c r="AJ417" s="18"/>
    </row>
    <row r="418" spans="1:36" ht="26.65" customHeight="1" x14ac:dyDescent="0.25">
      <c r="A418" s="10" t="s">
        <v>2623</v>
      </c>
      <c r="B418" s="9" t="s">
        <v>47</v>
      </c>
      <c r="C418" s="9" t="s">
        <v>34</v>
      </c>
      <c r="D418" s="9" t="s">
        <v>67</v>
      </c>
      <c r="E418" s="9" t="s">
        <v>35</v>
      </c>
      <c r="F418" s="9" t="s">
        <v>36</v>
      </c>
      <c r="G418" s="9">
        <v>6</v>
      </c>
      <c r="H418" s="9">
        <v>84219999</v>
      </c>
      <c r="I418" s="11" t="s">
        <v>37</v>
      </c>
      <c r="J418" s="12">
        <v>1.6500000000000001E-2</v>
      </c>
      <c r="K418" s="12">
        <v>7.5999999999999998E-2</v>
      </c>
      <c r="L418" s="12">
        <v>5.1999999999999998E-2</v>
      </c>
      <c r="M418" s="13">
        <v>8003453069190</v>
      </c>
      <c r="N418" s="14">
        <v>0.65600000000000003</v>
      </c>
      <c r="O418" s="14">
        <v>0.71199999999999997</v>
      </c>
      <c r="P418" s="15">
        <v>45139</v>
      </c>
      <c r="Q418" s="16" t="s">
        <v>2624</v>
      </c>
      <c r="R418" s="17" t="s">
        <v>2625</v>
      </c>
      <c r="S418" s="17" t="s">
        <v>2626</v>
      </c>
      <c r="T418" s="17" t="s">
        <v>2627</v>
      </c>
      <c r="U418" s="17" t="s">
        <v>35</v>
      </c>
      <c r="V418" s="17" t="s">
        <v>2628</v>
      </c>
      <c r="W418" s="17" t="s">
        <v>35</v>
      </c>
      <c r="X418" s="17" t="s">
        <v>35</v>
      </c>
      <c r="Y418" s="17" t="s">
        <v>35</v>
      </c>
      <c r="Z418" s="17" t="s">
        <v>2629</v>
      </c>
      <c r="AA418" s="17" t="s">
        <v>35</v>
      </c>
      <c r="AB418" s="17" t="s">
        <v>2630</v>
      </c>
      <c r="AC418" s="17" t="s">
        <v>9539</v>
      </c>
      <c r="AD418" s="42">
        <v>156.93</v>
      </c>
      <c r="AE418" s="42">
        <v>165.09</v>
      </c>
      <c r="AF418" s="48"/>
      <c r="AG418" s="44"/>
      <c r="AH418" s="7">
        <f t="shared" si="6"/>
        <v>0</v>
      </c>
      <c r="AI418" s="18"/>
      <c r="AJ418" s="18"/>
    </row>
    <row r="419" spans="1:36" ht="26.65" customHeight="1" x14ac:dyDescent="0.25">
      <c r="A419" s="10" t="s">
        <v>2631</v>
      </c>
      <c r="B419" s="9" t="s">
        <v>47</v>
      </c>
      <c r="C419" s="9" t="s">
        <v>34</v>
      </c>
      <c r="D419" s="9" t="s">
        <v>67</v>
      </c>
      <c r="E419" s="9" t="s">
        <v>35</v>
      </c>
      <c r="F419" s="9" t="s">
        <v>36</v>
      </c>
      <c r="G419" s="9">
        <v>6</v>
      </c>
      <c r="H419" s="9">
        <v>84219999</v>
      </c>
      <c r="I419" s="11" t="s">
        <v>37</v>
      </c>
      <c r="J419" s="12">
        <v>1.6500000000000001E-2</v>
      </c>
      <c r="K419" s="12">
        <v>7.5999999999999998E-2</v>
      </c>
      <c r="L419" s="12">
        <v>5.1999999999999998E-2</v>
      </c>
      <c r="M419" s="13">
        <v>8003453069220</v>
      </c>
      <c r="N419" s="14">
        <v>0.51</v>
      </c>
      <c r="O419" s="14">
        <v>0.6</v>
      </c>
      <c r="P419" s="15">
        <v>44835</v>
      </c>
      <c r="Q419" s="16" t="s">
        <v>2632</v>
      </c>
      <c r="R419" s="17" t="s">
        <v>2633</v>
      </c>
      <c r="S419" s="17" t="s">
        <v>2634</v>
      </c>
      <c r="T419" s="17" t="s">
        <v>2635</v>
      </c>
      <c r="U419" s="17" t="s">
        <v>35</v>
      </c>
      <c r="V419" s="17" t="s">
        <v>35</v>
      </c>
      <c r="W419" s="17" t="s">
        <v>35</v>
      </c>
      <c r="X419" s="17" t="s">
        <v>35</v>
      </c>
      <c r="Y419" s="17" t="s">
        <v>35</v>
      </c>
      <c r="Z419" s="17" t="s">
        <v>2636</v>
      </c>
      <c r="AA419" s="17" t="s">
        <v>35</v>
      </c>
      <c r="AB419" s="17" t="s">
        <v>2637</v>
      </c>
      <c r="AC419" s="17" t="s">
        <v>9539</v>
      </c>
      <c r="AD419" s="42">
        <v>62.95</v>
      </c>
      <c r="AE419" s="42">
        <v>66.22</v>
      </c>
      <c r="AF419" s="48"/>
      <c r="AG419" s="44"/>
      <c r="AH419" s="7">
        <f t="shared" si="6"/>
        <v>0</v>
      </c>
      <c r="AI419" s="18"/>
      <c r="AJ419" s="18"/>
    </row>
    <row r="420" spans="1:36" ht="26.65" customHeight="1" x14ac:dyDescent="0.25">
      <c r="A420" s="10" t="s">
        <v>2638</v>
      </c>
      <c r="B420" s="9" t="s">
        <v>1998</v>
      </c>
      <c r="C420" s="9" t="s">
        <v>34</v>
      </c>
      <c r="D420" s="9" t="s">
        <v>67</v>
      </c>
      <c r="E420" s="9" t="s">
        <v>35</v>
      </c>
      <c r="F420" s="9" t="s">
        <v>36</v>
      </c>
      <c r="G420" s="9">
        <v>6</v>
      </c>
      <c r="H420" s="9">
        <v>84219999</v>
      </c>
      <c r="I420" s="11" t="s">
        <v>37</v>
      </c>
      <c r="J420" s="12">
        <v>1.6500000000000001E-2</v>
      </c>
      <c r="K420" s="12">
        <v>7.5999999999999998E-2</v>
      </c>
      <c r="L420" s="12">
        <v>5.1999999999999998E-2</v>
      </c>
      <c r="M420" s="13">
        <v>8003453069237</v>
      </c>
      <c r="N420" s="14">
        <v>5.6000000000000001E-2</v>
      </c>
      <c r="O420" s="14">
        <v>6.7000000000000004E-2</v>
      </c>
      <c r="P420" s="15">
        <v>45170</v>
      </c>
      <c r="Q420" s="16" t="s">
        <v>2639</v>
      </c>
      <c r="R420" s="17" t="s">
        <v>2640</v>
      </c>
      <c r="S420" s="17" t="s">
        <v>2641</v>
      </c>
      <c r="T420" s="17" t="s">
        <v>2642</v>
      </c>
      <c r="U420" s="17" t="s">
        <v>35</v>
      </c>
      <c r="V420" s="17" t="s">
        <v>35</v>
      </c>
      <c r="W420" s="17" t="s">
        <v>35</v>
      </c>
      <c r="X420" s="17" t="s">
        <v>35</v>
      </c>
      <c r="Y420" s="17" t="s">
        <v>35</v>
      </c>
      <c r="Z420" s="17" t="s">
        <v>2643</v>
      </c>
      <c r="AA420" s="17" t="s">
        <v>35</v>
      </c>
      <c r="AB420" s="17" t="s">
        <v>2644</v>
      </c>
      <c r="AC420" s="17" t="s">
        <v>9539</v>
      </c>
      <c r="AD420" s="42">
        <v>19.350000000000001</v>
      </c>
      <c r="AE420" s="42">
        <v>20.36</v>
      </c>
      <c r="AF420" s="48"/>
      <c r="AG420" s="44"/>
      <c r="AH420" s="7">
        <f t="shared" si="6"/>
        <v>0</v>
      </c>
      <c r="AI420" s="18"/>
      <c r="AJ420" s="18"/>
    </row>
    <row r="421" spans="1:36" ht="26.65" customHeight="1" x14ac:dyDescent="0.25">
      <c r="A421" s="10" t="s">
        <v>9564</v>
      </c>
      <c r="B421" s="9" t="s">
        <v>47</v>
      </c>
      <c r="C421" s="9" t="s">
        <v>34</v>
      </c>
      <c r="D421" s="9" t="s">
        <v>67</v>
      </c>
      <c r="E421" s="9" t="s">
        <v>35</v>
      </c>
      <c r="F421" s="9" t="s">
        <v>36</v>
      </c>
      <c r="G421" s="9">
        <v>10</v>
      </c>
      <c r="H421" s="9">
        <v>84219999</v>
      </c>
      <c r="I421" s="11" t="s">
        <v>37</v>
      </c>
      <c r="J421" s="12">
        <v>1.6500000000000001E-2</v>
      </c>
      <c r="K421" s="12">
        <v>7.5999999999999998E-2</v>
      </c>
      <c r="L421" s="12">
        <v>5.1999999999999998E-2</v>
      </c>
      <c r="M421" s="13">
        <v>8003453069244</v>
      </c>
      <c r="N421" s="14">
        <v>0.53</v>
      </c>
      <c r="O421" s="14">
        <v>0.60099999999999998</v>
      </c>
      <c r="P421" s="15">
        <v>45474</v>
      </c>
      <c r="Q421" s="16" t="s">
        <v>9565</v>
      </c>
      <c r="R421" s="17" t="s">
        <v>9566</v>
      </c>
      <c r="S421" s="17" t="s">
        <v>35</v>
      </c>
      <c r="T421" s="17" t="s">
        <v>9567</v>
      </c>
      <c r="U421" s="17" t="s">
        <v>35</v>
      </c>
      <c r="V421" s="17" t="s">
        <v>35</v>
      </c>
      <c r="W421" s="17" t="s">
        <v>35</v>
      </c>
      <c r="X421" s="17" t="s">
        <v>35</v>
      </c>
      <c r="Y421" s="17" t="s">
        <v>35</v>
      </c>
      <c r="Z421" s="17" t="s">
        <v>9568</v>
      </c>
      <c r="AA421" s="17" t="s">
        <v>35</v>
      </c>
      <c r="AB421" s="17" t="s">
        <v>9569</v>
      </c>
      <c r="AC421" s="17" t="s">
        <v>9539</v>
      </c>
      <c r="AD421" s="42">
        <v>29.1</v>
      </c>
      <c r="AE421" s="42">
        <v>30.61</v>
      </c>
      <c r="AF421" s="48"/>
      <c r="AG421" s="44"/>
      <c r="AH421" s="7">
        <f t="shared" si="6"/>
        <v>0</v>
      </c>
      <c r="AI421" s="18"/>
      <c r="AJ421" s="18"/>
    </row>
    <row r="422" spans="1:36" ht="26.65" customHeight="1" x14ac:dyDescent="0.25">
      <c r="A422" s="10" t="s">
        <v>10194</v>
      </c>
      <c r="B422" s="9" t="s">
        <v>47</v>
      </c>
      <c r="C422" s="9" t="s">
        <v>34</v>
      </c>
      <c r="D422" s="9" t="s">
        <v>48</v>
      </c>
      <c r="E422" s="9" t="s">
        <v>35</v>
      </c>
      <c r="F422" s="9" t="s">
        <v>36</v>
      </c>
      <c r="G422" s="9">
        <v>6</v>
      </c>
      <c r="H422" s="9">
        <v>84219999</v>
      </c>
      <c r="I422" s="11" t="s">
        <v>37</v>
      </c>
      <c r="J422" s="12">
        <v>1.6500000000000001E-2</v>
      </c>
      <c r="K422" s="12">
        <v>7.5999999999999998E-2</v>
      </c>
      <c r="L422" s="12">
        <v>5.1999999999999998E-2</v>
      </c>
      <c r="M422" s="13">
        <v>8003453809758</v>
      </c>
      <c r="N422" s="14">
        <v>0</v>
      </c>
      <c r="O422" s="14">
        <v>0</v>
      </c>
      <c r="P422" s="15">
        <v>45566</v>
      </c>
      <c r="Q422" s="16" t="s">
        <v>10195</v>
      </c>
      <c r="R422" s="17" t="s">
        <v>10196</v>
      </c>
      <c r="S422" s="17" t="s">
        <v>35</v>
      </c>
      <c r="T422" s="17" t="s">
        <v>35</v>
      </c>
      <c r="U422" s="17" t="s">
        <v>35</v>
      </c>
      <c r="V422" s="17" t="s">
        <v>35</v>
      </c>
      <c r="W422" s="17" t="s">
        <v>35</v>
      </c>
      <c r="X422" s="17" t="s">
        <v>35</v>
      </c>
      <c r="Y422" s="17" t="s">
        <v>35</v>
      </c>
      <c r="Z422" s="17" t="s">
        <v>35</v>
      </c>
      <c r="AA422" s="17" t="s">
        <v>35</v>
      </c>
      <c r="AB422" s="17" t="s">
        <v>10197</v>
      </c>
      <c r="AC422" s="17" t="s">
        <v>9539</v>
      </c>
      <c r="AD422" s="41">
        <v>30.99</v>
      </c>
      <c r="AE422" s="41">
        <v>32.6</v>
      </c>
      <c r="AF422" s="48"/>
      <c r="AG422" s="44"/>
      <c r="AH422" s="7">
        <f t="shared" si="6"/>
        <v>0</v>
      </c>
      <c r="AI422" s="18"/>
      <c r="AJ422" s="18"/>
    </row>
    <row r="423" spans="1:36" ht="26.65" customHeight="1" x14ac:dyDescent="0.25">
      <c r="A423" s="10" t="s">
        <v>2645</v>
      </c>
      <c r="B423" s="9" t="s">
        <v>47</v>
      </c>
      <c r="C423" s="9" t="s">
        <v>34</v>
      </c>
      <c r="D423" s="9" t="s">
        <v>67</v>
      </c>
      <c r="E423" s="9" t="s">
        <v>122</v>
      </c>
      <c r="F423" s="9" t="s">
        <v>36</v>
      </c>
      <c r="G423" s="9">
        <v>6</v>
      </c>
      <c r="H423" s="9">
        <v>84219999</v>
      </c>
      <c r="I423" s="11" t="s">
        <v>37</v>
      </c>
      <c r="J423" s="12">
        <v>1.6500000000000001E-2</v>
      </c>
      <c r="K423" s="12">
        <v>7.5999999999999998E-2</v>
      </c>
      <c r="L423" s="12">
        <v>5.1999999999999998E-2</v>
      </c>
      <c r="M423" s="13">
        <v>8003453069268</v>
      </c>
      <c r="N423" s="14">
        <v>0.37</v>
      </c>
      <c r="O423" s="14">
        <v>0.42</v>
      </c>
      <c r="P423" s="15">
        <v>44774</v>
      </c>
      <c r="Q423" s="16" t="s">
        <v>2646</v>
      </c>
      <c r="R423" s="17" t="s">
        <v>2647</v>
      </c>
      <c r="S423" s="17" t="s">
        <v>2648</v>
      </c>
      <c r="T423" s="17" t="s">
        <v>35</v>
      </c>
      <c r="U423" s="17" t="s">
        <v>35</v>
      </c>
      <c r="V423" s="17" t="s">
        <v>2649</v>
      </c>
      <c r="W423" s="17" t="s">
        <v>35</v>
      </c>
      <c r="X423" s="17" t="s">
        <v>35</v>
      </c>
      <c r="Y423" s="17" t="s">
        <v>35</v>
      </c>
      <c r="Z423" s="17" t="s">
        <v>2650</v>
      </c>
      <c r="AA423" s="17" t="s">
        <v>35</v>
      </c>
      <c r="AB423" s="17" t="s">
        <v>2651</v>
      </c>
      <c r="AC423" s="17" t="s">
        <v>9539</v>
      </c>
      <c r="AD423" s="42">
        <v>202.54</v>
      </c>
      <c r="AE423" s="42">
        <v>213.07</v>
      </c>
      <c r="AF423" s="48"/>
      <c r="AG423" s="44"/>
      <c r="AH423" s="7">
        <f t="shared" si="6"/>
        <v>0</v>
      </c>
      <c r="AI423" s="18"/>
      <c r="AJ423" s="18"/>
    </row>
    <row r="424" spans="1:36" ht="26.65" customHeight="1" x14ac:dyDescent="0.25">
      <c r="A424" s="10" t="s">
        <v>2652</v>
      </c>
      <c r="B424" s="9" t="s">
        <v>2090</v>
      </c>
      <c r="C424" s="9" t="s">
        <v>34</v>
      </c>
      <c r="D424" s="9" t="s">
        <v>67</v>
      </c>
      <c r="E424" s="9" t="s">
        <v>35</v>
      </c>
      <c r="F424" s="9" t="s">
        <v>36</v>
      </c>
      <c r="G424" s="9">
        <v>6</v>
      </c>
      <c r="H424" s="9">
        <v>84219999</v>
      </c>
      <c r="I424" s="11" t="s">
        <v>37</v>
      </c>
      <c r="J424" s="12">
        <v>1.6500000000000001E-2</v>
      </c>
      <c r="K424" s="12">
        <v>7.5999999999999998E-2</v>
      </c>
      <c r="L424" s="12">
        <v>5.1999999999999998E-2</v>
      </c>
      <c r="M424" s="13">
        <v>8003453069282</v>
      </c>
      <c r="N424" s="14">
        <v>0.14499999999999999</v>
      </c>
      <c r="O424" s="14">
        <v>0.16</v>
      </c>
      <c r="P424" s="15">
        <v>45231</v>
      </c>
      <c r="Q424" s="16" t="s">
        <v>2653</v>
      </c>
      <c r="R424" s="17" t="s">
        <v>2654</v>
      </c>
      <c r="S424" s="17" t="s">
        <v>2655</v>
      </c>
      <c r="T424" s="17" t="s">
        <v>2656</v>
      </c>
      <c r="U424" s="17" t="s">
        <v>35</v>
      </c>
      <c r="V424" s="17" t="s">
        <v>35</v>
      </c>
      <c r="W424" s="17" t="s">
        <v>35</v>
      </c>
      <c r="X424" s="17" t="s">
        <v>35</v>
      </c>
      <c r="Y424" s="17" t="s">
        <v>35</v>
      </c>
      <c r="Z424" s="17" t="s">
        <v>2657</v>
      </c>
      <c r="AA424" s="17" t="s">
        <v>35</v>
      </c>
      <c r="AB424" s="17" t="s">
        <v>2658</v>
      </c>
      <c r="AC424" s="17" t="s">
        <v>9539</v>
      </c>
      <c r="AD424" s="42">
        <v>128.4</v>
      </c>
      <c r="AE424" s="42">
        <v>135.08000000000001</v>
      </c>
      <c r="AF424" s="48"/>
      <c r="AG424" s="44"/>
      <c r="AH424" s="7">
        <f t="shared" si="6"/>
        <v>0</v>
      </c>
      <c r="AI424" s="18"/>
      <c r="AJ424" s="18"/>
    </row>
    <row r="425" spans="1:36" ht="26.65" customHeight="1" x14ac:dyDescent="0.25">
      <c r="A425" s="10" t="s">
        <v>10198</v>
      </c>
      <c r="B425" s="9" t="s">
        <v>47</v>
      </c>
      <c r="C425" s="9" t="s">
        <v>34</v>
      </c>
      <c r="D425" s="9" t="s">
        <v>48</v>
      </c>
      <c r="E425" s="9" t="s">
        <v>35</v>
      </c>
      <c r="F425" s="9" t="s">
        <v>36</v>
      </c>
      <c r="G425" s="9">
        <v>6</v>
      </c>
      <c r="H425" s="9">
        <v>84219999</v>
      </c>
      <c r="I425" s="11" t="s">
        <v>37</v>
      </c>
      <c r="J425" s="12">
        <v>1.6500000000000001E-2</v>
      </c>
      <c r="K425" s="12">
        <v>7.5999999999999998E-2</v>
      </c>
      <c r="L425" s="12">
        <v>5.1999999999999998E-2</v>
      </c>
      <c r="M425" s="13">
        <v>8003453069305</v>
      </c>
      <c r="N425" s="14">
        <v>0</v>
      </c>
      <c r="O425" s="14">
        <v>0</v>
      </c>
      <c r="P425" s="15">
        <v>45566</v>
      </c>
      <c r="Q425" s="16" t="s">
        <v>10199</v>
      </c>
      <c r="R425" s="17" t="s">
        <v>35</v>
      </c>
      <c r="S425" s="17" t="s">
        <v>10200</v>
      </c>
      <c r="T425" s="17" t="s">
        <v>35</v>
      </c>
      <c r="U425" s="17" t="s">
        <v>35</v>
      </c>
      <c r="V425" s="17" t="s">
        <v>35</v>
      </c>
      <c r="W425" s="17" t="s">
        <v>35</v>
      </c>
      <c r="X425" s="17" t="s">
        <v>35</v>
      </c>
      <c r="Y425" s="17" t="s">
        <v>35</v>
      </c>
      <c r="Z425" s="17" t="s">
        <v>10201</v>
      </c>
      <c r="AA425" s="17" t="s">
        <v>35</v>
      </c>
      <c r="AB425" s="17" t="s">
        <v>10202</v>
      </c>
      <c r="AC425" s="17" t="s">
        <v>9539</v>
      </c>
      <c r="AD425" s="41">
        <v>191.59</v>
      </c>
      <c r="AE425" s="41">
        <v>201.55</v>
      </c>
      <c r="AF425" s="48"/>
      <c r="AG425" s="44"/>
      <c r="AH425" s="7">
        <f t="shared" si="6"/>
        <v>0</v>
      </c>
      <c r="AI425" s="18"/>
      <c r="AJ425" s="18"/>
    </row>
    <row r="426" spans="1:36" ht="26.65" customHeight="1" x14ac:dyDescent="0.25">
      <c r="A426" s="10" t="s">
        <v>9570</v>
      </c>
      <c r="B426" s="9" t="s">
        <v>47</v>
      </c>
      <c r="C426" s="9" t="s">
        <v>34</v>
      </c>
      <c r="D426" s="9" t="s">
        <v>67</v>
      </c>
      <c r="E426" s="9" t="s">
        <v>35</v>
      </c>
      <c r="F426" s="9" t="s">
        <v>36</v>
      </c>
      <c r="G426" s="9">
        <v>1</v>
      </c>
      <c r="H426" s="9">
        <v>84219999</v>
      </c>
      <c r="I426" s="11" t="s">
        <v>37</v>
      </c>
      <c r="J426" s="12">
        <v>1.6500000000000001E-2</v>
      </c>
      <c r="K426" s="12">
        <v>7.5999999999999998E-2</v>
      </c>
      <c r="L426" s="12">
        <v>5.1999999999999998E-2</v>
      </c>
      <c r="M426" s="13">
        <v>8003453069350</v>
      </c>
      <c r="N426" s="14">
        <v>0.72</v>
      </c>
      <c r="O426" s="14">
        <v>0.81</v>
      </c>
      <c r="P426" s="15">
        <v>45474</v>
      </c>
      <c r="Q426" s="16" t="s">
        <v>9571</v>
      </c>
      <c r="R426" s="17" t="s">
        <v>9572</v>
      </c>
      <c r="S426" s="17" t="s">
        <v>35</v>
      </c>
      <c r="T426" s="17" t="s">
        <v>35</v>
      </c>
      <c r="U426" s="17" t="s">
        <v>35</v>
      </c>
      <c r="V426" s="17" t="s">
        <v>35</v>
      </c>
      <c r="W426" s="17" t="s">
        <v>35</v>
      </c>
      <c r="X426" s="17" t="s">
        <v>35</v>
      </c>
      <c r="Y426" s="17" t="s">
        <v>35</v>
      </c>
      <c r="Z426" s="17" t="s">
        <v>9573</v>
      </c>
      <c r="AA426" s="17" t="s">
        <v>35</v>
      </c>
      <c r="AB426" s="17" t="s">
        <v>9574</v>
      </c>
      <c r="AC426" s="17" t="s">
        <v>9539</v>
      </c>
      <c r="AD426" s="42">
        <v>151.94</v>
      </c>
      <c r="AE426" s="42">
        <v>159.84</v>
      </c>
      <c r="AF426" s="48"/>
      <c r="AG426" s="44"/>
      <c r="AH426" s="7">
        <f t="shared" si="6"/>
        <v>0</v>
      </c>
      <c r="AI426" s="18"/>
      <c r="AJ426" s="18"/>
    </row>
    <row r="427" spans="1:36" ht="26.65" customHeight="1" x14ac:dyDescent="0.25">
      <c r="A427" s="10" t="s">
        <v>2659</v>
      </c>
      <c r="B427" s="9" t="s">
        <v>47</v>
      </c>
      <c r="C427" s="9" t="s">
        <v>34</v>
      </c>
      <c r="D427" s="9" t="s">
        <v>48</v>
      </c>
      <c r="E427" s="9" t="s">
        <v>35</v>
      </c>
      <c r="F427" s="9" t="s">
        <v>36</v>
      </c>
      <c r="G427" s="9">
        <v>6</v>
      </c>
      <c r="H427" s="9">
        <v>84219999</v>
      </c>
      <c r="I427" s="11" t="s">
        <v>37</v>
      </c>
      <c r="J427" s="12">
        <v>1.6500000000000001E-2</v>
      </c>
      <c r="K427" s="12">
        <v>7.5999999999999998E-2</v>
      </c>
      <c r="L427" s="12">
        <v>5.1999999999999998E-2</v>
      </c>
      <c r="M427" s="13">
        <v>8003453070080</v>
      </c>
      <c r="N427" s="14">
        <v>0.51900000000000002</v>
      </c>
      <c r="O427" s="14">
        <v>0.57599999999999996</v>
      </c>
      <c r="P427" s="15">
        <v>44958</v>
      </c>
      <c r="Q427" s="16" t="s">
        <v>2660</v>
      </c>
      <c r="R427" s="17" t="s">
        <v>2661</v>
      </c>
      <c r="S427" s="17" t="s">
        <v>2662</v>
      </c>
      <c r="T427" s="17" t="s">
        <v>2663</v>
      </c>
      <c r="U427" s="17" t="s">
        <v>2664</v>
      </c>
      <c r="V427" s="17" t="s">
        <v>2665</v>
      </c>
      <c r="W427" s="17" t="s">
        <v>2666</v>
      </c>
      <c r="X427" s="17" t="s">
        <v>2667</v>
      </c>
      <c r="Y427" s="17" t="s">
        <v>2668</v>
      </c>
      <c r="Z427" s="17" t="s">
        <v>2669</v>
      </c>
      <c r="AA427" s="17" t="s">
        <v>2670</v>
      </c>
      <c r="AB427" s="17" t="s">
        <v>2671</v>
      </c>
      <c r="AC427" s="17" t="s">
        <v>9539</v>
      </c>
      <c r="AD427" s="42">
        <v>34.07</v>
      </c>
      <c r="AE427" s="42">
        <v>35.840000000000003</v>
      </c>
      <c r="AF427" s="48"/>
      <c r="AG427" s="44"/>
      <c r="AH427" s="7">
        <f t="shared" si="6"/>
        <v>0</v>
      </c>
      <c r="AI427" s="18"/>
      <c r="AJ427" s="18"/>
    </row>
    <row r="428" spans="1:36" ht="26.65" customHeight="1" x14ac:dyDescent="0.25">
      <c r="A428" s="10" t="s">
        <v>2672</v>
      </c>
      <c r="B428" s="9" t="s">
        <v>47</v>
      </c>
      <c r="C428" s="9" t="s">
        <v>34</v>
      </c>
      <c r="D428" s="9" t="s">
        <v>67</v>
      </c>
      <c r="E428" s="9" t="s">
        <v>35</v>
      </c>
      <c r="F428" s="9" t="s">
        <v>36</v>
      </c>
      <c r="G428" s="9">
        <v>6</v>
      </c>
      <c r="H428" s="9">
        <v>84219999</v>
      </c>
      <c r="I428" s="11" t="s">
        <v>37</v>
      </c>
      <c r="J428" s="12">
        <v>1.6500000000000001E-2</v>
      </c>
      <c r="K428" s="12">
        <v>7.5999999999999998E-2</v>
      </c>
      <c r="L428" s="12">
        <v>5.1999999999999998E-2</v>
      </c>
      <c r="M428" s="13">
        <v>8003453070684</v>
      </c>
      <c r="N428" s="14">
        <v>0.98299999999999998</v>
      </c>
      <c r="O428" s="14">
        <v>1.0720000000000001</v>
      </c>
      <c r="P428" s="15">
        <v>44927</v>
      </c>
      <c r="Q428" s="16" t="s">
        <v>2673</v>
      </c>
      <c r="R428" s="17" t="s">
        <v>2674</v>
      </c>
      <c r="S428" s="17" t="s">
        <v>2675</v>
      </c>
      <c r="T428" s="17" t="s">
        <v>35</v>
      </c>
      <c r="U428" s="17" t="s">
        <v>2676</v>
      </c>
      <c r="V428" s="17" t="s">
        <v>2677</v>
      </c>
      <c r="W428" s="17" t="s">
        <v>35</v>
      </c>
      <c r="X428" s="17" t="s">
        <v>2678</v>
      </c>
      <c r="Y428" s="17" t="s">
        <v>35</v>
      </c>
      <c r="Z428" s="17" t="s">
        <v>2679</v>
      </c>
      <c r="AA428" s="17" t="s">
        <v>35</v>
      </c>
      <c r="AB428" s="17" t="s">
        <v>2680</v>
      </c>
      <c r="AC428" s="17" t="s">
        <v>9539</v>
      </c>
      <c r="AD428" s="42">
        <v>72.81</v>
      </c>
      <c r="AE428" s="42">
        <v>76.599999999999994</v>
      </c>
      <c r="AF428" s="48"/>
      <c r="AG428" s="44"/>
      <c r="AH428" s="7">
        <f t="shared" si="6"/>
        <v>0</v>
      </c>
      <c r="AI428" s="18"/>
      <c r="AJ428" s="18"/>
    </row>
    <row r="429" spans="1:36" ht="26.65" customHeight="1" x14ac:dyDescent="0.25">
      <c r="A429" s="10" t="s">
        <v>10567</v>
      </c>
      <c r="B429" s="9" t="s">
        <v>47</v>
      </c>
      <c r="C429" s="9" t="s">
        <v>34</v>
      </c>
      <c r="D429" s="9" t="s">
        <v>67</v>
      </c>
      <c r="E429" s="9" t="s">
        <v>35</v>
      </c>
      <c r="F429" s="9" t="s">
        <v>36</v>
      </c>
      <c r="G429" s="9">
        <v>6</v>
      </c>
      <c r="H429" s="9">
        <v>84219999</v>
      </c>
      <c r="I429" s="11" t="s">
        <v>37</v>
      </c>
      <c r="J429" s="12">
        <v>1.6500000000000001E-2</v>
      </c>
      <c r="K429" s="12">
        <v>7.5999999999999998E-2</v>
      </c>
      <c r="L429" s="12">
        <v>5.1999999999999998E-2</v>
      </c>
      <c r="M429" s="13">
        <v>8003453070974</v>
      </c>
      <c r="N429" s="14">
        <v>0.32500000000000001</v>
      </c>
      <c r="O429" s="14">
        <v>0.377</v>
      </c>
      <c r="P429" s="15">
        <v>45597</v>
      </c>
      <c r="Q429" s="16" t="s">
        <v>10568</v>
      </c>
      <c r="R429" s="17" t="s">
        <v>35</v>
      </c>
      <c r="S429" s="17" t="s">
        <v>10569</v>
      </c>
      <c r="T429" s="17" t="s">
        <v>10570</v>
      </c>
      <c r="U429" s="17" t="s">
        <v>35</v>
      </c>
      <c r="V429" s="17" t="s">
        <v>35</v>
      </c>
      <c r="W429" s="17" t="s">
        <v>35</v>
      </c>
      <c r="X429" s="17" t="s">
        <v>35</v>
      </c>
      <c r="Y429" s="17" t="s">
        <v>35</v>
      </c>
      <c r="Z429" s="17" t="s">
        <v>10571</v>
      </c>
      <c r="AA429" s="17" t="s">
        <v>35</v>
      </c>
      <c r="AB429" s="17" t="s">
        <v>10572</v>
      </c>
      <c r="AC429" s="17" t="s">
        <v>9539</v>
      </c>
      <c r="AD429" s="41">
        <v>47.05</v>
      </c>
      <c r="AE429" s="41">
        <v>49.5</v>
      </c>
      <c r="AF429" s="48"/>
      <c r="AG429" s="44"/>
      <c r="AH429" s="7">
        <f t="shared" si="6"/>
        <v>0</v>
      </c>
      <c r="AI429" s="18"/>
      <c r="AJ429" s="18"/>
    </row>
    <row r="430" spans="1:36" ht="26.65" customHeight="1" x14ac:dyDescent="0.25">
      <c r="A430" s="10" t="s">
        <v>9238</v>
      </c>
      <c r="B430" s="9" t="s">
        <v>47</v>
      </c>
      <c r="C430" s="9" t="s">
        <v>34</v>
      </c>
      <c r="D430" s="9" t="s">
        <v>48</v>
      </c>
      <c r="E430" s="9" t="s">
        <v>35</v>
      </c>
      <c r="F430" s="9" t="s">
        <v>36</v>
      </c>
      <c r="G430" s="9">
        <v>10</v>
      </c>
      <c r="H430" s="9">
        <v>84219999</v>
      </c>
      <c r="I430" s="11" t="s">
        <v>37</v>
      </c>
      <c r="J430" s="12">
        <v>1.6500000000000001E-2</v>
      </c>
      <c r="K430" s="12">
        <v>7.5999999999999998E-2</v>
      </c>
      <c r="L430" s="12">
        <v>5.1999999999999998E-2</v>
      </c>
      <c r="M430" s="13">
        <v>8003453071063</v>
      </c>
      <c r="N430" s="14">
        <v>0.25919999999999999</v>
      </c>
      <c r="O430" s="14">
        <v>0.36060000000000003</v>
      </c>
      <c r="P430" s="15">
        <v>45413</v>
      </c>
      <c r="Q430" s="16" t="s">
        <v>9239</v>
      </c>
      <c r="R430" s="17" t="s">
        <v>9240</v>
      </c>
      <c r="S430" s="17" t="s">
        <v>9241</v>
      </c>
      <c r="T430" s="17" t="s">
        <v>9242</v>
      </c>
      <c r="U430" s="17" t="s">
        <v>35</v>
      </c>
      <c r="V430" s="17" t="s">
        <v>35</v>
      </c>
      <c r="W430" s="17" t="s">
        <v>35</v>
      </c>
      <c r="X430" s="17" t="s">
        <v>35</v>
      </c>
      <c r="Y430" s="17" t="s">
        <v>35</v>
      </c>
      <c r="Z430" s="17" t="s">
        <v>9243</v>
      </c>
      <c r="AA430" s="17" t="s">
        <v>35</v>
      </c>
      <c r="AB430" s="17" t="s">
        <v>35</v>
      </c>
      <c r="AC430" s="17" t="s">
        <v>9539</v>
      </c>
      <c r="AD430" s="42">
        <v>41.53</v>
      </c>
      <c r="AE430" s="42">
        <v>43.69</v>
      </c>
      <c r="AF430" s="48"/>
      <c r="AG430" s="44"/>
      <c r="AH430" s="7">
        <f t="shared" si="6"/>
        <v>0</v>
      </c>
      <c r="AI430" s="18"/>
      <c r="AJ430" s="18"/>
    </row>
    <row r="431" spans="1:36" ht="26.65" customHeight="1" x14ac:dyDescent="0.25">
      <c r="A431" s="10" t="s">
        <v>9830</v>
      </c>
      <c r="B431" s="9" t="s">
        <v>47</v>
      </c>
      <c r="C431" s="9" t="s">
        <v>34</v>
      </c>
      <c r="D431" s="9" t="s">
        <v>67</v>
      </c>
      <c r="E431" s="9" t="s">
        <v>35</v>
      </c>
      <c r="F431" s="9" t="s">
        <v>36</v>
      </c>
      <c r="G431" s="9">
        <v>8</v>
      </c>
      <c r="H431" s="9">
        <v>84219999</v>
      </c>
      <c r="I431" s="11" t="s">
        <v>37</v>
      </c>
      <c r="J431" s="12">
        <v>1.6500000000000001E-2</v>
      </c>
      <c r="K431" s="12">
        <v>7.5999999999999998E-2</v>
      </c>
      <c r="L431" s="12">
        <v>5.1999999999999998E-2</v>
      </c>
      <c r="M431" s="13">
        <v>8003453071117</v>
      </c>
      <c r="N431" s="14" t="s">
        <v>35</v>
      </c>
      <c r="O431" s="14" t="s">
        <v>35</v>
      </c>
      <c r="P431" s="15">
        <v>45536</v>
      </c>
      <c r="Q431" s="16" t="s">
        <v>9831</v>
      </c>
      <c r="R431" s="17" t="s">
        <v>35</v>
      </c>
      <c r="S431" s="17" t="s">
        <v>9832</v>
      </c>
      <c r="T431" s="17" t="s">
        <v>35</v>
      </c>
      <c r="U431" s="17" t="s">
        <v>35</v>
      </c>
      <c r="V431" s="17" t="s">
        <v>35</v>
      </c>
      <c r="W431" s="17" t="s">
        <v>35</v>
      </c>
      <c r="X431" s="17" t="s">
        <v>35</v>
      </c>
      <c r="Y431" s="17" t="s">
        <v>35</v>
      </c>
      <c r="Z431" s="17" t="s">
        <v>9833</v>
      </c>
      <c r="AA431" s="17" t="s">
        <v>35</v>
      </c>
      <c r="AB431" s="17" t="s">
        <v>9834</v>
      </c>
      <c r="AC431" s="17" t="s">
        <v>9539</v>
      </c>
      <c r="AD431" s="41">
        <v>83.46</v>
      </c>
      <c r="AE431" s="41">
        <v>87.8</v>
      </c>
      <c r="AF431" s="48"/>
      <c r="AG431" s="44"/>
      <c r="AH431" s="7">
        <f t="shared" si="6"/>
        <v>0</v>
      </c>
      <c r="AI431" s="18"/>
      <c r="AJ431" s="18"/>
    </row>
    <row r="432" spans="1:36" ht="26.65" customHeight="1" x14ac:dyDescent="0.25">
      <c r="A432" s="10" t="s">
        <v>10203</v>
      </c>
      <c r="B432" s="9" t="s">
        <v>47</v>
      </c>
      <c r="C432" s="9" t="s">
        <v>34</v>
      </c>
      <c r="D432" s="9" t="s">
        <v>8140</v>
      </c>
      <c r="E432" s="9" t="s">
        <v>35</v>
      </c>
      <c r="F432" s="9" t="s">
        <v>36</v>
      </c>
      <c r="G432" s="9">
        <v>6</v>
      </c>
      <c r="H432" s="9">
        <v>84219999</v>
      </c>
      <c r="I432" s="11" t="s">
        <v>37</v>
      </c>
      <c r="J432" s="12">
        <v>1.6500000000000001E-2</v>
      </c>
      <c r="K432" s="12">
        <v>7.5999999999999998E-2</v>
      </c>
      <c r="L432" s="12">
        <v>5.1999999999999998E-2</v>
      </c>
      <c r="M432" s="13">
        <v>8003453809291</v>
      </c>
      <c r="N432" s="14">
        <v>0</v>
      </c>
      <c r="O432" s="14">
        <v>0</v>
      </c>
      <c r="P432" s="15">
        <v>45566</v>
      </c>
      <c r="Q432" s="16" t="s">
        <v>10204</v>
      </c>
      <c r="R432" s="17" t="s">
        <v>10205</v>
      </c>
      <c r="S432" s="17" t="s">
        <v>35</v>
      </c>
      <c r="T432" s="17" t="s">
        <v>35</v>
      </c>
      <c r="U432" s="17" t="s">
        <v>35</v>
      </c>
      <c r="V432" s="17" t="s">
        <v>35</v>
      </c>
      <c r="W432" s="17" t="s">
        <v>35</v>
      </c>
      <c r="X432" s="17" t="s">
        <v>35</v>
      </c>
      <c r="Y432" s="17" t="s">
        <v>10206</v>
      </c>
      <c r="Z432" s="17" t="s">
        <v>35</v>
      </c>
      <c r="AA432" s="17" t="s">
        <v>35</v>
      </c>
      <c r="AB432" s="17" t="s">
        <v>10207</v>
      </c>
      <c r="AC432" s="17" t="s">
        <v>9539</v>
      </c>
      <c r="AD432" s="41">
        <v>65.14</v>
      </c>
      <c r="AE432" s="41">
        <v>68.53</v>
      </c>
      <c r="AF432" s="48"/>
      <c r="AG432" s="44"/>
      <c r="AH432" s="7">
        <f t="shared" si="6"/>
        <v>0</v>
      </c>
      <c r="AI432" s="18"/>
      <c r="AJ432" s="18"/>
    </row>
    <row r="433" spans="1:38" ht="26.65" customHeight="1" x14ac:dyDescent="0.25">
      <c r="A433" s="10" t="s">
        <v>10208</v>
      </c>
      <c r="B433" s="9" t="s">
        <v>47</v>
      </c>
      <c r="C433" s="9" t="s">
        <v>58</v>
      </c>
      <c r="D433" s="9" t="s">
        <v>48</v>
      </c>
      <c r="E433" s="9" t="s">
        <v>35</v>
      </c>
      <c r="F433" s="9" t="s">
        <v>36</v>
      </c>
      <c r="G433" s="9">
        <v>6</v>
      </c>
      <c r="H433" s="9">
        <v>84219999</v>
      </c>
      <c r="I433" s="11" t="s">
        <v>37</v>
      </c>
      <c r="J433" s="12">
        <v>1.6500000000000001E-2</v>
      </c>
      <c r="K433" s="12">
        <v>7.5999999999999998E-2</v>
      </c>
      <c r="L433" s="12">
        <v>5.1999999999999998E-2</v>
      </c>
      <c r="M433" s="13">
        <v>8003453068896</v>
      </c>
      <c r="N433" s="14">
        <v>0</v>
      </c>
      <c r="O433" s="14">
        <v>0</v>
      </c>
      <c r="P433" s="15">
        <v>45566</v>
      </c>
      <c r="Q433" s="16" t="s">
        <v>10209</v>
      </c>
      <c r="R433" s="17" t="s">
        <v>35</v>
      </c>
      <c r="S433" s="17" t="s">
        <v>10210</v>
      </c>
      <c r="T433" s="17" t="s">
        <v>10211</v>
      </c>
      <c r="U433" s="17" t="s">
        <v>10212</v>
      </c>
      <c r="V433" s="17" t="s">
        <v>35</v>
      </c>
      <c r="W433" s="17" t="s">
        <v>35</v>
      </c>
      <c r="X433" s="17" t="s">
        <v>35</v>
      </c>
      <c r="Y433" s="17" t="s">
        <v>35</v>
      </c>
      <c r="Z433" s="17" t="s">
        <v>35</v>
      </c>
      <c r="AA433" s="17" t="s">
        <v>35</v>
      </c>
      <c r="AB433" s="17" t="s">
        <v>35</v>
      </c>
      <c r="AC433" s="17" t="s">
        <v>9539</v>
      </c>
      <c r="AD433" s="41">
        <v>163.41999999999999</v>
      </c>
      <c r="AE433" s="41">
        <v>171.92</v>
      </c>
      <c r="AF433" s="48"/>
      <c r="AG433" s="44"/>
      <c r="AH433" s="7">
        <f t="shared" si="6"/>
        <v>0</v>
      </c>
      <c r="AI433" s="18"/>
      <c r="AJ433" s="18"/>
    </row>
    <row r="434" spans="1:38" ht="26.65" customHeight="1" x14ac:dyDescent="0.25">
      <c r="A434" s="10" t="s">
        <v>2681</v>
      </c>
      <c r="B434" s="9" t="s">
        <v>47</v>
      </c>
      <c r="C434" s="9" t="s">
        <v>58</v>
      </c>
      <c r="D434" s="9" t="s">
        <v>67</v>
      </c>
      <c r="E434" s="9" t="s">
        <v>35</v>
      </c>
      <c r="F434" s="9" t="s">
        <v>36</v>
      </c>
      <c r="G434" s="9">
        <v>6</v>
      </c>
      <c r="H434" s="9">
        <v>84219999</v>
      </c>
      <c r="I434" s="11" t="s">
        <v>37</v>
      </c>
      <c r="J434" s="12">
        <v>1.6500000000000001E-2</v>
      </c>
      <c r="K434" s="12">
        <v>7.5999999999999998E-2</v>
      </c>
      <c r="L434" s="12">
        <v>5.1999999999999998E-2</v>
      </c>
      <c r="M434" s="13">
        <v>8003453069459</v>
      </c>
      <c r="N434" s="14">
        <v>1.9E-2</v>
      </c>
      <c r="O434" s="14">
        <v>0.06</v>
      </c>
      <c r="P434" s="15">
        <v>44986</v>
      </c>
      <c r="Q434" s="16" t="s">
        <v>2682</v>
      </c>
      <c r="R434" s="17" t="s">
        <v>2683</v>
      </c>
      <c r="S434" s="17" t="s">
        <v>2684</v>
      </c>
      <c r="T434" s="17" t="s">
        <v>35</v>
      </c>
      <c r="U434" s="17" t="s">
        <v>35</v>
      </c>
      <c r="V434" s="17" t="s">
        <v>35</v>
      </c>
      <c r="W434" s="17" t="s">
        <v>35</v>
      </c>
      <c r="X434" s="17" t="s">
        <v>35</v>
      </c>
      <c r="Y434" s="17" t="s">
        <v>35</v>
      </c>
      <c r="Z434" s="17" t="s">
        <v>35</v>
      </c>
      <c r="AA434" s="17" t="s">
        <v>35</v>
      </c>
      <c r="AB434" s="17" t="s">
        <v>35</v>
      </c>
      <c r="AC434" s="17" t="s">
        <v>9539</v>
      </c>
      <c r="AD434" s="41">
        <v>3.18</v>
      </c>
      <c r="AE434" s="41">
        <v>3.35</v>
      </c>
      <c r="AF434" s="48"/>
      <c r="AG434" s="44"/>
      <c r="AH434" s="7">
        <f t="shared" si="6"/>
        <v>0</v>
      </c>
      <c r="AI434" s="18"/>
      <c r="AJ434" s="18"/>
      <c r="AL434" s="18"/>
    </row>
    <row r="435" spans="1:38" ht="26.65" customHeight="1" x14ac:dyDescent="0.25">
      <c r="A435" s="10" t="s">
        <v>2685</v>
      </c>
      <c r="B435" s="9" t="s">
        <v>47</v>
      </c>
      <c r="C435" s="9" t="s">
        <v>34</v>
      </c>
      <c r="D435" s="9" t="s">
        <v>67</v>
      </c>
      <c r="E435" s="9" t="s">
        <v>35</v>
      </c>
      <c r="F435" s="9" t="s">
        <v>36</v>
      </c>
      <c r="G435" s="9">
        <v>6</v>
      </c>
      <c r="H435" s="9">
        <v>84219999</v>
      </c>
      <c r="I435" s="11" t="s">
        <v>37</v>
      </c>
      <c r="J435" s="12">
        <v>1.6500000000000001E-2</v>
      </c>
      <c r="K435" s="12">
        <v>7.5999999999999998E-2</v>
      </c>
      <c r="L435" s="12">
        <v>5.1999999999999998E-2</v>
      </c>
      <c r="M435" s="13">
        <v>8003453069466</v>
      </c>
      <c r="N435" s="14">
        <v>1.06</v>
      </c>
      <c r="O435" s="14">
        <v>1.177</v>
      </c>
      <c r="P435" s="15">
        <v>45047</v>
      </c>
      <c r="Q435" s="16" t="s">
        <v>2686</v>
      </c>
      <c r="R435" s="17" t="s">
        <v>2687</v>
      </c>
      <c r="S435" s="17" t="s">
        <v>2688</v>
      </c>
      <c r="T435" s="17" t="s">
        <v>2689</v>
      </c>
      <c r="U435" s="17" t="s">
        <v>35</v>
      </c>
      <c r="V435" s="17" t="s">
        <v>2690</v>
      </c>
      <c r="W435" s="17" t="s">
        <v>35</v>
      </c>
      <c r="X435" s="17" t="s">
        <v>35</v>
      </c>
      <c r="Y435" s="17" t="s">
        <v>35</v>
      </c>
      <c r="Z435" s="17" t="s">
        <v>2691</v>
      </c>
      <c r="AA435" s="17" t="s">
        <v>2692</v>
      </c>
      <c r="AB435" s="17" t="s">
        <v>2693</v>
      </c>
      <c r="AC435" s="17" t="s">
        <v>9539</v>
      </c>
      <c r="AD435" s="42">
        <v>52.74</v>
      </c>
      <c r="AE435" s="42">
        <v>55.48</v>
      </c>
      <c r="AF435" s="48"/>
      <c r="AG435" s="44"/>
      <c r="AH435" s="7">
        <f t="shared" si="6"/>
        <v>0</v>
      </c>
      <c r="AI435" s="18"/>
      <c r="AJ435" s="18"/>
    </row>
    <row r="436" spans="1:38" ht="26.65" customHeight="1" x14ac:dyDescent="0.25">
      <c r="A436" s="10" t="s">
        <v>10573</v>
      </c>
      <c r="B436" s="9" t="s">
        <v>47</v>
      </c>
      <c r="C436" s="9" t="s">
        <v>34</v>
      </c>
      <c r="D436" s="9" t="s">
        <v>67</v>
      </c>
      <c r="E436" s="9" t="s">
        <v>35</v>
      </c>
      <c r="F436" s="9" t="s">
        <v>36</v>
      </c>
      <c r="G436" s="9">
        <v>6</v>
      </c>
      <c r="H436" s="9">
        <v>84219999</v>
      </c>
      <c r="I436" s="11" t="s">
        <v>37</v>
      </c>
      <c r="J436" s="12">
        <v>1.6500000000000001E-2</v>
      </c>
      <c r="K436" s="12">
        <v>7.5999999999999998E-2</v>
      </c>
      <c r="L436" s="12">
        <v>5.1999999999999998E-2</v>
      </c>
      <c r="M436" s="13">
        <v>8003453069473</v>
      </c>
      <c r="N436" s="14">
        <v>2.028</v>
      </c>
      <c r="O436" s="14">
        <v>2.2069999999999999</v>
      </c>
      <c r="P436" s="15">
        <v>45597</v>
      </c>
      <c r="Q436" s="16" t="s">
        <v>10574</v>
      </c>
      <c r="R436" s="17" t="s">
        <v>35</v>
      </c>
      <c r="S436" s="17" t="s">
        <v>35</v>
      </c>
      <c r="T436" s="17" t="s">
        <v>10575</v>
      </c>
      <c r="U436" s="17" t="s">
        <v>35</v>
      </c>
      <c r="V436" s="17" t="s">
        <v>35</v>
      </c>
      <c r="W436" s="17" t="s">
        <v>35</v>
      </c>
      <c r="X436" s="17" t="s">
        <v>35</v>
      </c>
      <c r="Y436" s="17" t="s">
        <v>10576</v>
      </c>
      <c r="Z436" s="17" t="s">
        <v>10577</v>
      </c>
      <c r="AA436" s="17" t="s">
        <v>35</v>
      </c>
      <c r="AB436" s="17" t="s">
        <v>10578</v>
      </c>
      <c r="AC436" s="17" t="s">
        <v>9539</v>
      </c>
      <c r="AD436" s="41">
        <v>130.66999999999999</v>
      </c>
      <c r="AE436" s="41">
        <v>137.46</v>
      </c>
      <c r="AF436" s="48"/>
      <c r="AG436" s="44"/>
      <c r="AH436" s="7">
        <f t="shared" si="6"/>
        <v>0</v>
      </c>
      <c r="AI436" s="18"/>
      <c r="AJ436" s="18"/>
    </row>
    <row r="437" spans="1:38" ht="26.65" customHeight="1" x14ac:dyDescent="0.25">
      <c r="A437" s="10" t="s">
        <v>8648</v>
      </c>
      <c r="B437" s="9" t="s">
        <v>47</v>
      </c>
      <c r="C437" s="9" t="s">
        <v>34</v>
      </c>
      <c r="D437" s="9" t="s">
        <v>48</v>
      </c>
      <c r="E437" s="9" t="s">
        <v>35</v>
      </c>
      <c r="F437" s="9" t="s">
        <v>36</v>
      </c>
      <c r="G437" s="9">
        <v>1</v>
      </c>
      <c r="H437" s="9">
        <v>84219999</v>
      </c>
      <c r="I437" s="11" t="s">
        <v>37</v>
      </c>
      <c r="J437" s="12">
        <v>1.6500000000000001E-2</v>
      </c>
      <c r="K437" s="12">
        <v>7.5999999999999998E-2</v>
      </c>
      <c r="L437" s="12">
        <v>5.1999999999999998E-2</v>
      </c>
      <c r="M437" s="13">
        <v>8003453070936</v>
      </c>
      <c r="N437" s="14">
        <v>0.48699999999999999</v>
      </c>
      <c r="O437" s="14">
        <v>0.54600000000000004</v>
      </c>
      <c r="P437" s="15">
        <v>45292</v>
      </c>
      <c r="Q437" s="16" t="s">
        <v>8649</v>
      </c>
      <c r="R437" s="17" t="s">
        <v>8650</v>
      </c>
      <c r="S437" s="17" t="s">
        <v>35</v>
      </c>
      <c r="T437" s="17" t="s">
        <v>35</v>
      </c>
      <c r="U437" s="17" t="s">
        <v>35</v>
      </c>
      <c r="V437" s="17" t="s">
        <v>35</v>
      </c>
      <c r="W437" s="17" t="s">
        <v>35</v>
      </c>
      <c r="X437" s="17" t="s">
        <v>35</v>
      </c>
      <c r="Y437" s="17" t="s">
        <v>35</v>
      </c>
      <c r="Z437" s="17" t="s">
        <v>8651</v>
      </c>
      <c r="AA437" s="17" t="s">
        <v>35</v>
      </c>
      <c r="AB437" s="17" t="s">
        <v>35</v>
      </c>
      <c r="AC437" s="17" t="s">
        <v>9539</v>
      </c>
      <c r="AD437" s="42">
        <v>306.24</v>
      </c>
      <c r="AE437" s="42">
        <v>322.16000000000003</v>
      </c>
      <c r="AF437" s="48"/>
      <c r="AG437" s="44"/>
      <c r="AH437" s="7">
        <f t="shared" si="6"/>
        <v>0</v>
      </c>
      <c r="AI437" s="18"/>
      <c r="AJ437" s="18"/>
    </row>
    <row r="438" spans="1:38" ht="26.65" customHeight="1" x14ac:dyDescent="0.25">
      <c r="A438" s="10" t="s">
        <v>10213</v>
      </c>
      <c r="B438" s="9" t="s">
        <v>47</v>
      </c>
      <c r="C438" s="9" t="s">
        <v>34</v>
      </c>
      <c r="D438" s="9" t="s">
        <v>48</v>
      </c>
      <c r="E438" s="9" t="s">
        <v>35</v>
      </c>
      <c r="F438" s="9" t="s">
        <v>36</v>
      </c>
      <c r="G438" s="9">
        <v>6</v>
      </c>
      <c r="H438" s="9">
        <v>84219999</v>
      </c>
      <c r="I438" s="11" t="s">
        <v>37</v>
      </c>
      <c r="J438" s="12">
        <v>1.6500000000000001E-2</v>
      </c>
      <c r="K438" s="12">
        <v>7.5999999999999998E-2</v>
      </c>
      <c r="L438" s="12">
        <v>5.1999999999999998E-2</v>
      </c>
      <c r="M438" s="13">
        <v>8003453807662</v>
      </c>
      <c r="N438" s="14">
        <v>0</v>
      </c>
      <c r="O438" s="14">
        <v>0</v>
      </c>
      <c r="P438" s="15">
        <v>45566</v>
      </c>
      <c r="Q438" s="16" t="s">
        <v>10214</v>
      </c>
      <c r="R438" s="17" t="s">
        <v>10215</v>
      </c>
      <c r="S438" s="17" t="s">
        <v>10216</v>
      </c>
      <c r="T438" s="17" t="s">
        <v>10217</v>
      </c>
      <c r="U438" s="17" t="s">
        <v>10218</v>
      </c>
      <c r="V438" s="17" t="s">
        <v>10219</v>
      </c>
      <c r="W438" s="17" t="s">
        <v>35</v>
      </c>
      <c r="X438" s="17" t="s">
        <v>35</v>
      </c>
      <c r="Y438" s="17" t="s">
        <v>35</v>
      </c>
      <c r="Z438" s="17" t="s">
        <v>35</v>
      </c>
      <c r="AA438" s="17" t="s">
        <v>35</v>
      </c>
      <c r="AB438" s="17" t="s">
        <v>35</v>
      </c>
      <c r="AC438" s="17" t="s">
        <v>9539</v>
      </c>
      <c r="AD438" s="41">
        <v>37.950000000000003</v>
      </c>
      <c r="AE438" s="41">
        <v>39.92</v>
      </c>
      <c r="AF438" s="48"/>
      <c r="AG438" s="44"/>
      <c r="AH438" s="7">
        <f t="shared" si="6"/>
        <v>0</v>
      </c>
      <c r="AI438" s="18"/>
      <c r="AJ438" s="18"/>
    </row>
    <row r="439" spans="1:38" ht="26.65" customHeight="1" x14ac:dyDescent="0.25">
      <c r="A439" s="10" t="s">
        <v>10220</v>
      </c>
      <c r="B439" s="9" t="s">
        <v>47</v>
      </c>
      <c r="C439" s="9" t="s">
        <v>34</v>
      </c>
      <c r="D439" s="9" t="s">
        <v>48</v>
      </c>
      <c r="E439" s="9" t="s">
        <v>35</v>
      </c>
      <c r="F439" s="9" t="s">
        <v>36</v>
      </c>
      <c r="G439" s="9">
        <v>6</v>
      </c>
      <c r="H439" s="9">
        <v>84219999</v>
      </c>
      <c r="I439" s="11" t="s">
        <v>37</v>
      </c>
      <c r="J439" s="12">
        <v>1.6500000000000001E-2</v>
      </c>
      <c r="K439" s="12">
        <v>7.5999999999999998E-2</v>
      </c>
      <c r="L439" s="12">
        <v>5.1999999999999998E-2</v>
      </c>
      <c r="M439" s="13">
        <v>8003453810136</v>
      </c>
      <c r="N439" s="14">
        <v>0</v>
      </c>
      <c r="O439" s="14">
        <v>0</v>
      </c>
      <c r="P439" s="15">
        <v>45566</v>
      </c>
      <c r="Q439" s="16" t="s">
        <v>10221</v>
      </c>
      <c r="R439" s="17" t="s">
        <v>10222</v>
      </c>
      <c r="S439" s="17" t="s">
        <v>35</v>
      </c>
      <c r="T439" s="17" t="s">
        <v>35</v>
      </c>
      <c r="U439" s="17" t="s">
        <v>35</v>
      </c>
      <c r="V439" s="17" t="s">
        <v>35</v>
      </c>
      <c r="W439" s="17" t="s">
        <v>35</v>
      </c>
      <c r="X439" s="17" t="s">
        <v>35</v>
      </c>
      <c r="Y439" s="17" t="s">
        <v>35</v>
      </c>
      <c r="Z439" s="17" t="s">
        <v>35</v>
      </c>
      <c r="AA439" s="17" t="s">
        <v>35</v>
      </c>
      <c r="AB439" s="17" t="s">
        <v>10223</v>
      </c>
      <c r="AC439" s="17" t="s">
        <v>9539</v>
      </c>
      <c r="AD439" s="41">
        <v>374.77</v>
      </c>
      <c r="AE439" s="41">
        <v>394.26</v>
      </c>
      <c r="AF439" s="48"/>
      <c r="AG439" s="44"/>
      <c r="AH439" s="7">
        <f t="shared" si="6"/>
        <v>0</v>
      </c>
      <c r="AI439" s="18"/>
      <c r="AJ439" s="18"/>
    </row>
    <row r="440" spans="1:38" ht="26.65" customHeight="1" x14ac:dyDescent="0.25">
      <c r="A440" s="10" t="s">
        <v>2694</v>
      </c>
      <c r="B440" s="9" t="s">
        <v>47</v>
      </c>
      <c r="C440" s="9" t="s">
        <v>43</v>
      </c>
      <c r="D440" s="9" t="s">
        <v>67</v>
      </c>
      <c r="E440" s="9" t="s">
        <v>122</v>
      </c>
      <c r="F440" s="9" t="s">
        <v>36</v>
      </c>
      <c r="G440" s="9">
        <v>6</v>
      </c>
      <c r="H440" s="9">
        <v>84219999</v>
      </c>
      <c r="I440" s="11" t="s">
        <v>37</v>
      </c>
      <c r="J440" s="12">
        <v>1.6500000000000001E-2</v>
      </c>
      <c r="K440" s="12">
        <v>7.5999999999999998E-2</v>
      </c>
      <c r="L440" s="12">
        <v>5.1999999999999998E-2</v>
      </c>
      <c r="M440" s="13">
        <v>8003453070981</v>
      </c>
      <c r="N440" s="14">
        <v>7.4999999999999997E-2</v>
      </c>
      <c r="O440" s="14">
        <v>0.106</v>
      </c>
      <c r="P440" s="15">
        <v>45078</v>
      </c>
      <c r="Q440" s="16" t="s">
        <v>2695</v>
      </c>
      <c r="R440" s="17" t="s">
        <v>2696</v>
      </c>
      <c r="S440" s="17" t="s">
        <v>35</v>
      </c>
      <c r="T440" s="17" t="s">
        <v>35</v>
      </c>
      <c r="U440" s="17" t="s">
        <v>35</v>
      </c>
      <c r="V440" s="17" t="s">
        <v>35</v>
      </c>
      <c r="W440" s="17" t="s">
        <v>35</v>
      </c>
      <c r="X440" s="17" t="s">
        <v>35</v>
      </c>
      <c r="Y440" s="17" t="s">
        <v>2697</v>
      </c>
      <c r="Z440" s="17" t="s">
        <v>35</v>
      </c>
      <c r="AA440" s="17" t="s">
        <v>35</v>
      </c>
      <c r="AB440" s="17" t="s">
        <v>35</v>
      </c>
      <c r="AC440" s="17" t="s">
        <v>9539</v>
      </c>
      <c r="AD440" s="42">
        <v>51.24</v>
      </c>
      <c r="AE440" s="42">
        <v>53.9</v>
      </c>
      <c r="AF440" s="48"/>
      <c r="AG440" s="44"/>
      <c r="AH440" s="7">
        <f t="shared" si="6"/>
        <v>0</v>
      </c>
      <c r="AI440" s="18"/>
      <c r="AJ440" s="18"/>
    </row>
    <row r="441" spans="1:38" ht="26.65" customHeight="1" x14ac:dyDescent="0.25">
      <c r="A441" s="38" t="s">
        <v>2698</v>
      </c>
      <c r="B441" s="9" t="s">
        <v>57</v>
      </c>
      <c r="C441" s="9" t="s">
        <v>58</v>
      </c>
      <c r="D441" s="9" t="s">
        <v>904</v>
      </c>
      <c r="E441" s="9" t="s">
        <v>35</v>
      </c>
      <c r="F441" s="9" t="s">
        <v>36</v>
      </c>
      <c r="G441" s="9">
        <v>6</v>
      </c>
      <c r="H441" s="9">
        <v>84219999</v>
      </c>
      <c r="I441" s="11" t="s">
        <v>37</v>
      </c>
      <c r="J441" s="12">
        <v>1.6500000000000001E-2</v>
      </c>
      <c r="K441" s="12">
        <v>7.5999999999999998E-2</v>
      </c>
      <c r="L441" s="12">
        <v>5.1999999999999998E-2</v>
      </c>
      <c r="M441" s="13">
        <v>8003453080836</v>
      </c>
      <c r="N441" s="14">
        <v>0.223</v>
      </c>
      <c r="O441" s="14">
        <v>0.26500000000000001</v>
      </c>
      <c r="P441" s="15" t="s">
        <v>35</v>
      </c>
      <c r="Q441" s="16" t="s">
        <v>8652</v>
      </c>
      <c r="R441" s="17" t="s">
        <v>2699</v>
      </c>
      <c r="S441" s="17" t="s">
        <v>2700</v>
      </c>
      <c r="T441" s="17" t="s">
        <v>2701</v>
      </c>
      <c r="U441" s="17" t="s">
        <v>2702</v>
      </c>
      <c r="V441" s="17" t="s">
        <v>2703</v>
      </c>
      <c r="W441" s="17" t="s">
        <v>2704</v>
      </c>
      <c r="X441" s="17" t="s">
        <v>2705</v>
      </c>
      <c r="Y441" s="17" t="s">
        <v>2706</v>
      </c>
      <c r="Z441" s="17" t="s">
        <v>2707</v>
      </c>
      <c r="AA441" s="17" t="s">
        <v>35</v>
      </c>
      <c r="AB441" s="17" t="s">
        <v>2708</v>
      </c>
      <c r="AC441" s="17" t="s">
        <v>9538</v>
      </c>
      <c r="AD441" s="41">
        <v>29.59</v>
      </c>
      <c r="AE441" s="41">
        <v>31.13</v>
      </c>
      <c r="AF441" s="48"/>
      <c r="AG441" s="44"/>
      <c r="AH441" s="7">
        <f t="shared" si="6"/>
        <v>0</v>
      </c>
      <c r="AI441" s="18"/>
      <c r="AJ441" s="18"/>
    </row>
    <row r="442" spans="1:38" ht="26.65" customHeight="1" x14ac:dyDescent="0.25">
      <c r="A442" s="10" t="s">
        <v>9835</v>
      </c>
      <c r="B442" s="9" t="s">
        <v>57</v>
      </c>
      <c r="C442" s="9" t="s">
        <v>58</v>
      </c>
      <c r="D442" s="9" t="s">
        <v>904</v>
      </c>
      <c r="E442" s="9" t="s">
        <v>35</v>
      </c>
      <c r="F442" s="9" t="s">
        <v>2072</v>
      </c>
      <c r="G442" s="9">
        <v>6</v>
      </c>
      <c r="H442" s="9">
        <v>84219999</v>
      </c>
      <c r="I442" s="11" t="s">
        <v>2073</v>
      </c>
      <c r="J442" s="12">
        <v>1.6500000000000001E-2</v>
      </c>
      <c r="K442" s="12">
        <v>7.5999999999999998E-2</v>
      </c>
      <c r="L442" s="12">
        <v>5.1999999999999998E-2</v>
      </c>
      <c r="M442" s="13">
        <v>8003453080836</v>
      </c>
      <c r="N442" s="14">
        <v>0.223</v>
      </c>
      <c r="O442" s="14">
        <v>0.26500000000000001</v>
      </c>
      <c r="P442" s="15">
        <v>45536</v>
      </c>
      <c r="Q442" s="16" t="s">
        <v>8652</v>
      </c>
      <c r="R442" s="17" t="s">
        <v>2699</v>
      </c>
      <c r="S442" s="17" t="s">
        <v>2700</v>
      </c>
      <c r="T442" s="17" t="s">
        <v>2701</v>
      </c>
      <c r="U442" s="17" t="s">
        <v>2702</v>
      </c>
      <c r="V442" s="17" t="s">
        <v>2703</v>
      </c>
      <c r="W442" s="17" t="s">
        <v>2704</v>
      </c>
      <c r="X442" s="17" t="s">
        <v>2705</v>
      </c>
      <c r="Y442" s="17" t="s">
        <v>2706</v>
      </c>
      <c r="Z442" s="17" t="s">
        <v>2707</v>
      </c>
      <c r="AA442" s="17" t="s">
        <v>35</v>
      </c>
      <c r="AB442" s="17" t="s">
        <v>2708</v>
      </c>
      <c r="AC442" s="17" t="s">
        <v>9539</v>
      </c>
      <c r="AD442" s="41">
        <v>32.28</v>
      </c>
      <c r="AE442" s="41">
        <v>33.96</v>
      </c>
      <c r="AF442" s="48"/>
      <c r="AG442" s="44"/>
      <c r="AH442" s="7">
        <f t="shared" si="6"/>
        <v>0</v>
      </c>
      <c r="AI442" s="18"/>
      <c r="AJ442" s="18"/>
    </row>
    <row r="443" spans="1:38" ht="26.65" customHeight="1" x14ac:dyDescent="0.25">
      <c r="A443" s="10" t="s">
        <v>2709</v>
      </c>
      <c r="B443" s="9" t="s">
        <v>57</v>
      </c>
      <c r="C443" s="9" t="s">
        <v>58</v>
      </c>
      <c r="D443" s="9" t="s">
        <v>59</v>
      </c>
      <c r="E443" s="9" t="s">
        <v>35</v>
      </c>
      <c r="F443" s="9" t="s">
        <v>36</v>
      </c>
      <c r="G443" s="9">
        <v>6</v>
      </c>
      <c r="H443" s="9">
        <v>84219999</v>
      </c>
      <c r="I443" s="11" t="s">
        <v>37</v>
      </c>
      <c r="J443" s="12">
        <v>1.6500000000000001E-2</v>
      </c>
      <c r="K443" s="12">
        <v>7.5999999999999998E-2</v>
      </c>
      <c r="L443" s="12">
        <v>5.1999999999999998E-2</v>
      </c>
      <c r="M443" s="13">
        <v>8003453088917</v>
      </c>
      <c r="N443" s="14">
        <v>0.26</v>
      </c>
      <c r="O443" s="14">
        <v>0.28000000000000003</v>
      </c>
      <c r="P443" s="15">
        <v>45139</v>
      </c>
      <c r="Q443" s="16" t="s">
        <v>2710</v>
      </c>
      <c r="R443" s="17" t="s">
        <v>2711</v>
      </c>
      <c r="S443" s="17" t="s">
        <v>2712</v>
      </c>
      <c r="T443" s="17" t="s">
        <v>2713</v>
      </c>
      <c r="U443" s="17" t="s">
        <v>2714</v>
      </c>
      <c r="V443" s="17" t="s">
        <v>35</v>
      </c>
      <c r="W443" s="17" t="s">
        <v>35</v>
      </c>
      <c r="X443" s="17" t="s">
        <v>2715</v>
      </c>
      <c r="Y443" s="17">
        <v>0</v>
      </c>
      <c r="Z443" s="17" t="s">
        <v>2716</v>
      </c>
      <c r="AA443" s="17" t="s">
        <v>35</v>
      </c>
      <c r="AB443" s="17" t="s">
        <v>2717</v>
      </c>
      <c r="AC443" s="17" t="s">
        <v>9539</v>
      </c>
      <c r="AD443" s="42">
        <v>63.02</v>
      </c>
      <c r="AE443" s="42">
        <v>66.3</v>
      </c>
      <c r="AF443" s="48"/>
      <c r="AG443" s="44"/>
      <c r="AH443" s="7">
        <f t="shared" si="6"/>
        <v>0</v>
      </c>
      <c r="AI443" s="18"/>
      <c r="AJ443" s="18"/>
    </row>
    <row r="444" spans="1:38" ht="26.65" customHeight="1" x14ac:dyDescent="0.25">
      <c r="A444" s="38" t="s">
        <v>2718</v>
      </c>
      <c r="B444" s="9" t="s">
        <v>57</v>
      </c>
      <c r="C444" s="9" t="s">
        <v>58</v>
      </c>
      <c r="D444" s="9" t="s">
        <v>904</v>
      </c>
      <c r="E444" s="9" t="s">
        <v>35</v>
      </c>
      <c r="F444" s="9" t="s">
        <v>36</v>
      </c>
      <c r="G444" s="9">
        <v>6</v>
      </c>
      <c r="H444" s="9">
        <v>84219999</v>
      </c>
      <c r="I444" s="11" t="s">
        <v>37</v>
      </c>
      <c r="J444" s="12">
        <v>1.6500000000000001E-2</v>
      </c>
      <c r="K444" s="12">
        <v>7.5999999999999998E-2</v>
      </c>
      <c r="L444" s="12">
        <v>5.1999999999999998E-2</v>
      </c>
      <c r="M444" s="13">
        <v>8003453088948</v>
      </c>
      <c r="N444" s="14">
        <v>0.16800000000000001</v>
      </c>
      <c r="O444" s="14">
        <v>0.20499999999999999</v>
      </c>
      <c r="P444" s="15" t="s">
        <v>35</v>
      </c>
      <c r="Q444" s="16" t="s">
        <v>2719</v>
      </c>
      <c r="R444" s="17" t="s">
        <v>2720</v>
      </c>
      <c r="S444" s="17" t="s">
        <v>2721</v>
      </c>
      <c r="T444" s="17" t="s">
        <v>2722</v>
      </c>
      <c r="U444" s="17" t="s">
        <v>2723</v>
      </c>
      <c r="V444" s="17" t="s">
        <v>2724</v>
      </c>
      <c r="W444" s="17" t="s">
        <v>2725</v>
      </c>
      <c r="X444" s="17" t="s">
        <v>2726</v>
      </c>
      <c r="Y444" s="17" t="s">
        <v>2727</v>
      </c>
      <c r="Z444" s="17" t="s">
        <v>2728</v>
      </c>
      <c r="AA444" s="17" t="s">
        <v>35</v>
      </c>
      <c r="AB444" s="17" t="s">
        <v>2729</v>
      </c>
      <c r="AC444" s="17" t="s">
        <v>9538</v>
      </c>
      <c r="AD444" s="41">
        <v>26.93</v>
      </c>
      <c r="AE444" s="41">
        <v>28.33</v>
      </c>
      <c r="AF444" s="48"/>
      <c r="AG444" s="44"/>
      <c r="AH444" s="7">
        <f t="shared" si="6"/>
        <v>0</v>
      </c>
      <c r="AI444" s="18"/>
      <c r="AJ444" s="18"/>
    </row>
    <row r="445" spans="1:38" ht="26.65" customHeight="1" x14ac:dyDescent="0.25">
      <c r="A445" s="10" t="s">
        <v>9836</v>
      </c>
      <c r="B445" s="9" t="s">
        <v>57</v>
      </c>
      <c r="C445" s="9" t="s">
        <v>58</v>
      </c>
      <c r="D445" s="9" t="s">
        <v>904</v>
      </c>
      <c r="E445" s="9" t="s">
        <v>35</v>
      </c>
      <c r="F445" s="9" t="s">
        <v>2072</v>
      </c>
      <c r="G445" s="9">
        <v>6</v>
      </c>
      <c r="H445" s="9">
        <v>84219999</v>
      </c>
      <c r="I445" s="11" t="s">
        <v>2073</v>
      </c>
      <c r="J445" s="12">
        <v>1.6500000000000001E-2</v>
      </c>
      <c r="K445" s="12">
        <v>7.5999999999999998E-2</v>
      </c>
      <c r="L445" s="12">
        <v>5.1999999999999998E-2</v>
      </c>
      <c r="M445" s="13">
        <v>8003453088948</v>
      </c>
      <c r="N445" s="14">
        <v>0.16800000000000001</v>
      </c>
      <c r="O445" s="14">
        <v>0.20499999999999999</v>
      </c>
      <c r="P445" s="15">
        <v>45536</v>
      </c>
      <c r="Q445" s="16" t="s">
        <v>2719</v>
      </c>
      <c r="R445" s="17" t="s">
        <v>2720</v>
      </c>
      <c r="S445" s="17" t="s">
        <v>2721</v>
      </c>
      <c r="T445" s="17" t="s">
        <v>2722</v>
      </c>
      <c r="U445" s="17" t="s">
        <v>2723</v>
      </c>
      <c r="V445" s="17" t="s">
        <v>2724</v>
      </c>
      <c r="W445" s="17" t="s">
        <v>2725</v>
      </c>
      <c r="X445" s="17" t="s">
        <v>2726</v>
      </c>
      <c r="Y445" s="17" t="s">
        <v>2727</v>
      </c>
      <c r="Z445" s="17" t="s">
        <v>2728</v>
      </c>
      <c r="AA445" s="17" t="s">
        <v>35</v>
      </c>
      <c r="AB445" s="17" t="s">
        <v>2729</v>
      </c>
      <c r="AC445" s="17" t="s">
        <v>9539</v>
      </c>
      <c r="AD445" s="41">
        <v>29.38</v>
      </c>
      <c r="AE445" s="41">
        <v>30.91</v>
      </c>
      <c r="AF445" s="48"/>
      <c r="AG445" s="44"/>
      <c r="AH445" s="7">
        <f t="shared" si="6"/>
        <v>0</v>
      </c>
      <c r="AI445" s="18"/>
      <c r="AJ445" s="18"/>
    </row>
    <row r="446" spans="1:38" ht="26.65" customHeight="1" x14ac:dyDescent="0.25">
      <c r="A446" s="38" t="s">
        <v>2730</v>
      </c>
      <c r="B446" s="9" t="s">
        <v>57</v>
      </c>
      <c r="C446" s="9" t="s">
        <v>58</v>
      </c>
      <c r="D446" s="9" t="s">
        <v>904</v>
      </c>
      <c r="E446" s="9" t="s">
        <v>35</v>
      </c>
      <c r="F446" s="9" t="s">
        <v>36</v>
      </c>
      <c r="G446" s="9">
        <v>6</v>
      </c>
      <c r="H446" s="9">
        <v>84219999</v>
      </c>
      <c r="I446" s="11" t="s">
        <v>37</v>
      </c>
      <c r="J446" s="12">
        <v>1.6500000000000001E-2</v>
      </c>
      <c r="K446" s="12">
        <v>7.5999999999999998E-2</v>
      </c>
      <c r="L446" s="12">
        <v>5.1999999999999998E-2</v>
      </c>
      <c r="M446" s="13">
        <v>8003453088955</v>
      </c>
      <c r="N446" s="14">
        <v>0.17499999999999999</v>
      </c>
      <c r="O446" s="14">
        <v>0.215</v>
      </c>
      <c r="P446" s="15" t="s">
        <v>35</v>
      </c>
      <c r="Q446" s="16" t="s">
        <v>2731</v>
      </c>
      <c r="R446" s="17" t="s">
        <v>35</v>
      </c>
      <c r="S446" s="17" t="s">
        <v>2732</v>
      </c>
      <c r="T446" s="17" t="s">
        <v>2733</v>
      </c>
      <c r="U446" s="17" t="s">
        <v>35</v>
      </c>
      <c r="V446" s="17" t="s">
        <v>2734</v>
      </c>
      <c r="W446" s="17" t="s">
        <v>2735</v>
      </c>
      <c r="X446" s="17" t="s">
        <v>35</v>
      </c>
      <c r="Y446" s="17" t="s">
        <v>2736</v>
      </c>
      <c r="Z446" s="17" t="s">
        <v>2737</v>
      </c>
      <c r="AA446" s="17" t="s">
        <v>35</v>
      </c>
      <c r="AB446" s="17" t="s">
        <v>35</v>
      </c>
      <c r="AC446" s="17" t="s">
        <v>9538</v>
      </c>
      <c r="AD446" s="42">
        <v>37.979999999999997</v>
      </c>
      <c r="AE446" s="42">
        <v>39.950000000000003</v>
      </c>
      <c r="AF446" s="48"/>
      <c r="AG446" s="44"/>
      <c r="AH446" s="7">
        <f t="shared" si="6"/>
        <v>0</v>
      </c>
      <c r="AI446" s="18"/>
      <c r="AJ446" s="18"/>
    </row>
    <row r="447" spans="1:38" ht="26.65" customHeight="1" x14ac:dyDescent="0.25">
      <c r="A447" s="10" t="s">
        <v>10579</v>
      </c>
      <c r="B447" s="9" t="s">
        <v>57</v>
      </c>
      <c r="C447" s="9" t="s">
        <v>34</v>
      </c>
      <c r="D447" s="9" t="s">
        <v>59</v>
      </c>
      <c r="E447" s="9" t="s">
        <v>35</v>
      </c>
      <c r="F447" s="9" t="s">
        <v>36</v>
      </c>
      <c r="G447" s="9">
        <v>6</v>
      </c>
      <c r="H447" s="9">
        <v>84219999</v>
      </c>
      <c r="I447" s="11" t="s">
        <v>37</v>
      </c>
      <c r="J447" s="12">
        <v>1.6500000000000001E-2</v>
      </c>
      <c r="K447" s="12">
        <v>7.5999999999999998E-2</v>
      </c>
      <c r="L447" s="12">
        <v>5.1999999999999998E-2</v>
      </c>
      <c r="M447" s="13">
        <v>8003453801318</v>
      </c>
      <c r="N447" s="14" t="s">
        <v>35</v>
      </c>
      <c r="O447" s="14" t="s">
        <v>35</v>
      </c>
      <c r="P447" s="15">
        <v>45597</v>
      </c>
      <c r="Q447" s="16" t="s">
        <v>2731</v>
      </c>
      <c r="R447" s="17" t="s">
        <v>35</v>
      </c>
      <c r="S447" s="17" t="s">
        <v>2732</v>
      </c>
      <c r="T447" s="17" t="s">
        <v>2733</v>
      </c>
      <c r="U447" s="17" t="s">
        <v>10580</v>
      </c>
      <c r="V447" s="17" t="s">
        <v>2734</v>
      </c>
      <c r="W447" s="17" t="s">
        <v>2735</v>
      </c>
      <c r="X447" s="17" t="s">
        <v>35</v>
      </c>
      <c r="Y447" s="17" t="s">
        <v>2736</v>
      </c>
      <c r="Z447" s="17" t="s">
        <v>10581</v>
      </c>
      <c r="AA447" s="17" t="s">
        <v>35</v>
      </c>
      <c r="AB447" s="17" t="s">
        <v>10582</v>
      </c>
      <c r="AC447" s="17" t="s">
        <v>9539</v>
      </c>
      <c r="AD447" s="41">
        <v>36.57</v>
      </c>
      <c r="AE447" s="41">
        <v>38.47</v>
      </c>
      <c r="AF447" s="48"/>
      <c r="AG447" s="44"/>
      <c r="AH447" s="7">
        <f t="shared" si="6"/>
        <v>0</v>
      </c>
      <c r="AI447" s="18"/>
      <c r="AJ447" s="18"/>
    </row>
    <row r="448" spans="1:38" ht="26.65" customHeight="1" x14ac:dyDescent="0.25">
      <c r="A448" s="38" t="s">
        <v>2738</v>
      </c>
      <c r="B448" s="9" t="s">
        <v>57</v>
      </c>
      <c r="C448" s="9" t="s">
        <v>58</v>
      </c>
      <c r="D448" s="9" t="s">
        <v>904</v>
      </c>
      <c r="E448" s="9" t="s">
        <v>35</v>
      </c>
      <c r="F448" s="9" t="s">
        <v>36</v>
      </c>
      <c r="G448" s="9">
        <v>6</v>
      </c>
      <c r="H448" s="9">
        <v>84219999</v>
      </c>
      <c r="I448" s="11" t="s">
        <v>37</v>
      </c>
      <c r="J448" s="12">
        <v>1.6500000000000001E-2</v>
      </c>
      <c r="K448" s="12">
        <v>7.5999999999999998E-2</v>
      </c>
      <c r="L448" s="12">
        <v>5.1999999999999998E-2</v>
      </c>
      <c r="M448" s="13">
        <v>8003453088962</v>
      </c>
      <c r="N448" s="14">
        <v>0.185</v>
      </c>
      <c r="O448" s="14">
        <v>0.2</v>
      </c>
      <c r="P448" s="15" t="s">
        <v>35</v>
      </c>
      <c r="Q448" s="16" t="s">
        <v>8653</v>
      </c>
      <c r="R448" s="17" t="s">
        <v>2739</v>
      </c>
      <c r="S448" s="17" t="s">
        <v>2740</v>
      </c>
      <c r="T448" s="17" t="s">
        <v>2741</v>
      </c>
      <c r="U448" s="17" t="s">
        <v>35</v>
      </c>
      <c r="V448" s="17" t="s">
        <v>2742</v>
      </c>
      <c r="W448" s="17" t="s">
        <v>2743</v>
      </c>
      <c r="X448" s="17" t="s">
        <v>2744</v>
      </c>
      <c r="Y448" s="17" t="s">
        <v>2745</v>
      </c>
      <c r="Z448" s="17" t="s">
        <v>2746</v>
      </c>
      <c r="AA448" s="17" t="s">
        <v>35</v>
      </c>
      <c r="AB448" s="17" t="s">
        <v>2747</v>
      </c>
      <c r="AC448" s="17" t="s">
        <v>9538</v>
      </c>
      <c r="AD448" s="41">
        <v>28.64</v>
      </c>
      <c r="AE448" s="41">
        <v>30.13</v>
      </c>
      <c r="AF448" s="48"/>
      <c r="AG448" s="44"/>
      <c r="AH448" s="7">
        <f t="shared" si="6"/>
        <v>0</v>
      </c>
      <c r="AI448" s="18"/>
      <c r="AJ448" s="18"/>
    </row>
    <row r="449" spans="1:38" ht="26.65" customHeight="1" x14ac:dyDescent="0.25">
      <c r="A449" s="10" t="s">
        <v>9837</v>
      </c>
      <c r="B449" s="9" t="s">
        <v>57</v>
      </c>
      <c r="C449" s="9" t="s">
        <v>58</v>
      </c>
      <c r="D449" s="9" t="s">
        <v>904</v>
      </c>
      <c r="E449" s="9" t="s">
        <v>35</v>
      </c>
      <c r="F449" s="9" t="s">
        <v>2072</v>
      </c>
      <c r="G449" s="9">
        <v>6</v>
      </c>
      <c r="H449" s="9">
        <v>84219999</v>
      </c>
      <c r="I449" s="11" t="s">
        <v>2073</v>
      </c>
      <c r="J449" s="12">
        <v>1.6500000000000001E-2</v>
      </c>
      <c r="K449" s="12">
        <v>7.5999999999999998E-2</v>
      </c>
      <c r="L449" s="12">
        <v>5.1999999999999998E-2</v>
      </c>
      <c r="M449" s="13">
        <v>8003453088962</v>
      </c>
      <c r="N449" s="14">
        <v>0.185</v>
      </c>
      <c r="O449" s="14">
        <v>0.2</v>
      </c>
      <c r="P449" s="15">
        <v>45536</v>
      </c>
      <c r="Q449" s="16" t="s">
        <v>8653</v>
      </c>
      <c r="R449" s="17" t="s">
        <v>2739</v>
      </c>
      <c r="S449" s="17" t="s">
        <v>2740</v>
      </c>
      <c r="T449" s="17" t="s">
        <v>2741</v>
      </c>
      <c r="U449" s="17" t="s">
        <v>35</v>
      </c>
      <c r="V449" s="17" t="s">
        <v>2742</v>
      </c>
      <c r="W449" s="17" t="s">
        <v>2743</v>
      </c>
      <c r="X449" s="17" t="s">
        <v>2744</v>
      </c>
      <c r="Y449" s="17" t="s">
        <v>2745</v>
      </c>
      <c r="Z449" s="17" t="s">
        <v>2746</v>
      </c>
      <c r="AA449" s="17" t="s">
        <v>35</v>
      </c>
      <c r="AB449" s="17" t="s">
        <v>2747</v>
      </c>
      <c r="AC449" s="17" t="s">
        <v>9539</v>
      </c>
      <c r="AD449" s="41">
        <v>31.24</v>
      </c>
      <c r="AE449" s="41">
        <v>32.86</v>
      </c>
      <c r="AF449" s="48"/>
      <c r="AG449" s="44"/>
      <c r="AH449" s="7">
        <f t="shared" si="6"/>
        <v>0</v>
      </c>
      <c r="AI449" s="18"/>
      <c r="AJ449" s="18"/>
    </row>
    <row r="450" spans="1:38" ht="26.65" customHeight="1" x14ac:dyDescent="0.25">
      <c r="A450" s="38" t="s">
        <v>2748</v>
      </c>
      <c r="B450" s="9" t="s">
        <v>57</v>
      </c>
      <c r="C450" s="9" t="s">
        <v>58</v>
      </c>
      <c r="D450" s="9" t="s">
        <v>904</v>
      </c>
      <c r="E450" s="9" t="s">
        <v>35</v>
      </c>
      <c r="F450" s="9" t="s">
        <v>36</v>
      </c>
      <c r="G450" s="9">
        <v>6</v>
      </c>
      <c r="H450" s="9">
        <v>84219999</v>
      </c>
      <c r="I450" s="11" t="s">
        <v>37</v>
      </c>
      <c r="J450" s="12">
        <v>1.6500000000000001E-2</v>
      </c>
      <c r="K450" s="12">
        <v>7.5999999999999998E-2</v>
      </c>
      <c r="L450" s="12">
        <v>5.1999999999999998E-2</v>
      </c>
      <c r="M450" s="13">
        <v>8003453089044</v>
      </c>
      <c r="N450" s="14">
        <v>0.16</v>
      </c>
      <c r="O450" s="14">
        <v>0.18</v>
      </c>
      <c r="P450" s="15">
        <v>45145</v>
      </c>
      <c r="Q450" s="16" t="s">
        <v>8654</v>
      </c>
      <c r="R450" s="17" t="s">
        <v>2749</v>
      </c>
      <c r="S450" s="17" t="s">
        <v>2750</v>
      </c>
      <c r="T450" s="17" t="s">
        <v>2751</v>
      </c>
      <c r="U450" s="17" t="s">
        <v>2752</v>
      </c>
      <c r="V450" s="17" t="s">
        <v>2753</v>
      </c>
      <c r="W450" s="17" t="s">
        <v>2754</v>
      </c>
      <c r="X450" s="17" t="s">
        <v>2755</v>
      </c>
      <c r="Y450" s="17" t="s">
        <v>2756</v>
      </c>
      <c r="Z450" s="17" t="s">
        <v>2757</v>
      </c>
      <c r="AA450" s="17" t="s">
        <v>35</v>
      </c>
      <c r="AB450" s="17" t="s">
        <v>2758</v>
      </c>
      <c r="AC450" s="17" t="s">
        <v>9538</v>
      </c>
      <c r="AD450" s="41">
        <v>19.77</v>
      </c>
      <c r="AE450" s="41">
        <v>20.8</v>
      </c>
      <c r="AF450" s="48"/>
      <c r="AG450" s="44"/>
      <c r="AH450" s="7">
        <f t="shared" si="6"/>
        <v>0</v>
      </c>
      <c r="AI450" s="18"/>
      <c r="AJ450" s="18"/>
    </row>
    <row r="451" spans="1:38" ht="26.65" customHeight="1" x14ac:dyDescent="0.25">
      <c r="A451" s="10" t="s">
        <v>9838</v>
      </c>
      <c r="B451" s="9" t="s">
        <v>57</v>
      </c>
      <c r="C451" s="9" t="s">
        <v>58</v>
      </c>
      <c r="D451" s="9" t="s">
        <v>904</v>
      </c>
      <c r="E451" s="9" t="s">
        <v>35</v>
      </c>
      <c r="F451" s="9" t="s">
        <v>2072</v>
      </c>
      <c r="G451" s="9">
        <v>6</v>
      </c>
      <c r="H451" s="9">
        <v>84219999</v>
      </c>
      <c r="I451" s="11" t="s">
        <v>2073</v>
      </c>
      <c r="J451" s="12">
        <v>1.6500000000000001E-2</v>
      </c>
      <c r="K451" s="12">
        <v>7.5999999999999998E-2</v>
      </c>
      <c r="L451" s="12">
        <v>5.1999999999999998E-2</v>
      </c>
      <c r="M451" s="13">
        <v>8003453089044</v>
      </c>
      <c r="N451" s="14">
        <v>0.16</v>
      </c>
      <c r="O451" s="14">
        <v>0.18</v>
      </c>
      <c r="P451" s="15">
        <v>45536</v>
      </c>
      <c r="Q451" s="16" t="s">
        <v>8654</v>
      </c>
      <c r="R451" s="17" t="s">
        <v>2749</v>
      </c>
      <c r="S451" s="17" t="s">
        <v>2750</v>
      </c>
      <c r="T451" s="17" t="s">
        <v>2751</v>
      </c>
      <c r="U451" s="17" t="s">
        <v>2752</v>
      </c>
      <c r="V451" s="17" t="s">
        <v>2753</v>
      </c>
      <c r="W451" s="17" t="s">
        <v>2754</v>
      </c>
      <c r="X451" s="17" t="s">
        <v>2755</v>
      </c>
      <c r="Y451" s="17" t="s">
        <v>2756</v>
      </c>
      <c r="Z451" s="17" t="s">
        <v>2757</v>
      </c>
      <c r="AA451" s="17" t="s">
        <v>35</v>
      </c>
      <c r="AB451" s="17" t="s">
        <v>2758</v>
      </c>
      <c r="AC451" s="17" t="s">
        <v>9539</v>
      </c>
      <c r="AD451" s="41">
        <v>21.56</v>
      </c>
      <c r="AE451" s="41">
        <v>22.68</v>
      </c>
      <c r="AF451" s="48"/>
      <c r="AG451" s="44"/>
      <c r="AH451" s="7">
        <f t="shared" si="6"/>
        <v>0</v>
      </c>
      <c r="AI451" s="18"/>
      <c r="AJ451" s="18"/>
    </row>
    <row r="452" spans="1:38" ht="26.65" customHeight="1" x14ac:dyDescent="0.25">
      <c r="A452" s="10" t="s">
        <v>2759</v>
      </c>
      <c r="B452" s="9" t="s">
        <v>57</v>
      </c>
      <c r="C452" s="9" t="s">
        <v>43</v>
      </c>
      <c r="D452" s="9" t="s">
        <v>904</v>
      </c>
      <c r="E452" s="9" t="s">
        <v>122</v>
      </c>
      <c r="F452" s="9" t="s">
        <v>36</v>
      </c>
      <c r="G452" s="9">
        <v>6</v>
      </c>
      <c r="H452" s="9">
        <v>84219999</v>
      </c>
      <c r="I452" s="11" t="s">
        <v>37</v>
      </c>
      <c r="J452" s="12">
        <v>1.6500000000000001E-2</v>
      </c>
      <c r="K452" s="12">
        <v>7.5999999999999998E-2</v>
      </c>
      <c r="L452" s="12">
        <v>5.1999999999999998E-2</v>
      </c>
      <c r="M452" s="13">
        <v>8003453089259</v>
      </c>
      <c r="N452" s="14">
        <v>0.11799999999999999</v>
      </c>
      <c r="O452" s="14">
        <v>0.17799999999999999</v>
      </c>
      <c r="P452" s="15" t="s">
        <v>35</v>
      </c>
      <c r="Q452" s="16" t="s">
        <v>2760</v>
      </c>
      <c r="R452" s="17" t="s">
        <v>2761</v>
      </c>
      <c r="S452" s="17" t="s">
        <v>2762</v>
      </c>
      <c r="T452" s="17" t="s">
        <v>35</v>
      </c>
      <c r="U452" s="17" t="s">
        <v>35</v>
      </c>
      <c r="V452" s="17" t="s">
        <v>35</v>
      </c>
      <c r="W452" s="17" t="s">
        <v>35</v>
      </c>
      <c r="X452" s="17" t="s">
        <v>35</v>
      </c>
      <c r="Y452" s="17" t="s">
        <v>2763</v>
      </c>
      <c r="Z452" s="17" t="s">
        <v>35</v>
      </c>
      <c r="AA452" s="17" t="s">
        <v>35</v>
      </c>
      <c r="AB452" s="17" t="s">
        <v>35</v>
      </c>
      <c r="AC452" s="17" t="s">
        <v>9539</v>
      </c>
      <c r="AD452" s="42">
        <v>75.209999999999994</v>
      </c>
      <c r="AE452" s="42">
        <v>79.12</v>
      </c>
      <c r="AF452" s="48"/>
      <c r="AG452" s="44"/>
      <c r="AH452" s="7">
        <f t="shared" ref="AH452:AH515" si="7">AG452*AE452</f>
        <v>0</v>
      </c>
      <c r="AI452" s="18"/>
      <c r="AJ452" s="18"/>
    </row>
    <row r="453" spans="1:38" ht="26.65" customHeight="1" x14ac:dyDescent="0.25">
      <c r="A453" s="10" t="s">
        <v>2764</v>
      </c>
      <c r="B453" s="9" t="s">
        <v>57</v>
      </c>
      <c r="C453" s="9" t="s">
        <v>43</v>
      </c>
      <c r="D453" s="9" t="s">
        <v>59</v>
      </c>
      <c r="E453" s="9" t="s">
        <v>35</v>
      </c>
      <c r="F453" s="9" t="s">
        <v>36</v>
      </c>
      <c r="G453" s="9">
        <v>6</v>
      </c>
      <c r="H453" s="9">
        <v>84219999</v>
      </c>
      <c r="I453" s="11" t="s">
        <v>37</v>
      </c>
      <c r="J453" s="12">
        <v>1.6500000000000001E-2</v>
      </c>
      <c r="K453" s="12">
        <v>7.5999999999999998E-2</v>
      </c>
      <c r="L453" s="12">
        <v>5.1999999999999998E-2</v>
      </c>
      <c r="M453" s="13">
        <v>8003453089075</v>
      </c>
      <c r="N453" s="14">
        <v>0.13500000000000001</v>
      </c>
      <c r="O453" s="14">
        <v>0.16200000000000001</v>
      </c>
      <c r="P453" s="15">
        <v>44986</v>
      </c>
      <c r="Q453" s="16" t="s">
        <v>2765</v>
      </c>
      <c r="R453" s="17" t="s">
        <v>2766</v>
      </c>
      <c r="S453" s="17" t="s">
        <v>2767</v>
      </c>
      <c r="T453" s="17" t="s">
        <v>2768</v>
      </c>
      <c r="U453" s="17" t="s">
        <v>2769</v>
      </c>
      <c r="V453" s="17" t="s">
        <v>35</v>
      </c>
      <c r="W453" s="17" t="s">
        <v>35</v>
      </c>
      <c r="X453" s="17" t="s">
        <v>35</v>
      </c>
      <c r="Y453" s="17" t="s">
        <v>2770</v>
      </c>
      <c r="Z453" s="17" t="s">
        <v>35</v>
      </c>
      <c r="AA453" s="17" t="s">
        <v>35</v>
      </c>
      <c r="AB453" s="17" t="s">
        <v>35</v>
      </c>
      <c r="AC453" s="17" t="s">
        <v>9539</v>
      </c>
      <c r="AD453" s="42">
        <v>70.819999999999993</v>
      </c>
      <c r="AE453" s="42">
        <v>74.5</v>
      </c>
      <c r="AF453" s="48"/>
      <c r="AG453" s="44"/>
      <c r="AH453" s="7">
        <f t="shared" si="7"/>
        <v>0</v>
      </c>
      <c r="AI453" s="18"/>
      <c r="AJ453" s="18"/>
    </row>
    <row r="454" spans="1:38" ht="26.65" customHeight="1" x14ac:dyDescent="0.25">
      <c r="A454" s="38" t="s">
        <v>2771</v>
      </c>
      <c r="B454" s="9" t="s">
        <v>57</v>
      </c>
      <c r="C454" s="9" t="s">
        <v>58</v>
      </c>
      <c r="D454" s="9" t="s">
        <v>59</v>
      </c>
      <c r="E454" s="9" t="s">
        <v>35</v>
      </c>
      <c r="F454" s="9" t="s">
        <v>36</v>
      </c>
      <c r="G454" s="9">
        <v>6</v>
      </c>
      <c r="H454" s="9">
        <v>84219999</v>
      </c>
      <c r="I454" s="11" t="s">
        <v>37</v>
      </c>
      <c r="J454" s="12">
        <v>1.6500000000000001E-2</v>
      </c>
      <c r="K454" s="12">
        <v>7.5999999999999998E-2</v>
      </c>
      <c r="L454" s="12">
        <v>5.1999999999999998E-2</v>
      </c>
      <c r="M454" s="13">
        <v>8003453089129</v>
      </c>
      <c r="N454" s="14">
        <v>0.22500000000000001</v>
      </c>
      <c r="O454" s="14">
        <v>0.28199999999999997</v>
      </c>
      <c r="P454" s="15">
        <v>44958</v>
      </c>
      <c r="Q454" s="16" t="s">
        <v>2772</v>
      </c>
      <c r="R454" s="17" t="s">
        <v>2773</v>
      </c>
      <c r="S454" s="17" t="s">
        <v>2774</v>
      </c>
      <c r="T454" s="17" t="s">
        <v>2775</v>
      </c>
      <c r="U454" s="17" t="s">
        <v>2776</v>
      </c>
      <c r="V454" s="17" t="s">
        <v>2777</v>
      </c>
      <c r="W454" s="17" t="s">
        <v>2778</v>
      </c>
      <c r="X454" s="17" t="s">
        <v>35</v>
      </c>
      <c r="Y454" s="17" t="s">
        <v>2779</v>
      </c>
      <c r="Z454" s="17" t="s">
        <v>2780</v>
      </c>
      <c r="AA454" s="17" t="s">
        <v>35</v>
      </c>
      <c r="AB454" s="17" t="s">
        <v>2781</v>
      </c>
      <c r="AC454" s="17" t="s">
        <v>9538</v>
      </c>
      <c r="AD454" s="42">
        <v>63.76</v>
      </c>
      <c r="AE454" s="42">
        <v>67.08</v>
      </c>
      <c r="AF454" s="48"/>
      <c r="AG454" s="44"/>
      <c r="AH454" s="7">
        <f t="shared" si="7"/>
        <v>0</v>
      </c>
      <c r="AI454" s="18"/>
      <c r="AJ454" s="18"/>
    </row>
    <row r="455" spans="1:38" ht="26.65" customHeight="1" x14ac:dyDescent="0.25">
      <c r="A455" s="38" t="s">
        <v>2782</v>
      </c>
      <c r="B455" s="9" t="s">
        <v>57</v>
      </c>
      <c r="C455" s="9" t="s">
        <v>58</v>
      </c>
      <c r="D455" s="9" t="s">
        <v>904</v>
      </c>
      <c r="E455" s="9" t="s">
        <v>122</v>
      </c>
      <c r="F455" s="9" t="s">
        <v>36</v>
      </c>
      <c r="G455" s="9">
        <v>6</v>
      </c>
      <c r="H455" s="9">
        <v>84219999</v>
      </c>
      <c r="I455" s="11" t="s">
        <v>37</v>
      </c>
      <c r="J455" s="12">
        <v>1.6500000000000001E-2</v>
      </c>
      <c r="K455" s="12">
        <v>7.5999999999999998E-2</v>
      </c>
      <c r="L455" s="12">
        <v>5.1999999999999998E-2</v>
      </c>
      <c r="M455" s="13">
        <v>8003453089198</v>
      </c>
      <c r="N455" s="14">
        <v>0.14499999999999999</v>
      </c>
      <c r="O455" s="14">
        <v>0.17699999999999999</v>
      </c>
      <c r="P455" s="15" t="s">
        <v>35</v>
      </c>
      <c r="Q455" s="16" t="s">
        <v>2783</v>
      </c>
      <c r="R455" s="17" t="s">
        <v>2784</v>
      </c>
      <c r="S455" s="17" t="s">
        <v>2785</v>
      </c>
      <c r="T455" s="17" t="s">
        <v>2786</v>
      </c>
      <c r="U455" s="17" t="s">
        <v>35</v>
      </c>
      <c r="V455" s="17" t="s">
        <v>2787</v>
      </c>
      <c r="W455" s="17" t="s">
        <v>2788</v>
      </c>
      <c r="X455" s="17" t="s">
        <v>35</v>
      </c>
      <c r="Y455" s="17" t="s">
        <v>2789</v>
      </c>
      <c r="Z455" s="17" t="s">
        <v>2790</v>
      </c>
      <c r="AA455" s="17" t="s">
        <v>35</v>
      </c>
      <c r="AB455" s="17" t="s">
        <v>35</v>
      </c>
      <c r="AC455" s="17" t="s">
        <v>9538</v>
      </c>
      <c r="AD455" s="41">
        <v>41.39</v>
      </c>
      <c r="AE455" s="41">
        <v>43.54</v>
      </c>
      <c r="AF455" s="48"/>
      <c r="AG455" s="44"/>
      <c r="AH455" s="7">
        <f t="shared" si="7"/>
        <v>0</v>
      </c>
      <c r="AI455" s="18"/>
      <c r="AJ455" s="18"/>
      <c r="AL455" s="18"/>
    </row>
    <row r="456" spans="1:38" ht="26.65" customHeight="1" x14ac:dyDescent="0.25">
      <c r="A456" s="38" t="s">
        <v>2791</v>
      </c>
      <c r="B456" s="9" t="s">
        <v>57</v>
      </c>
      <c r="C456" s="9" t="s">
        <v>43</v>
      </c>
      <c r="D456" s="9" t="s">
        <v>904</v>
      </c>
      <c r="E456" s="9" t="s">
        <v>122</v>
      </c>
      <c r="F456" s="9" t="s">
        <v>2072</v>
      </c>
      <c r="G456" s="9">
        <v>6</v>
      </c>
      <c r="H456" s="9">
        <v>84219999</v>
      </c>
      <c r="I456" s="11" t="s">
        <v>2073</v>
      </c>
      <c r="J456" s="12">
        <v>1.6500000000000001E-2</v>
      </c>
      <c r="K456" s="12">
        <v>7.5999999999999998E-2</v>
      </c>
      <c r="L456" s="12">
        <v>5.1999999999999998E-2</v>
      </c>
      <c r="M456" s="13">
        <v>8003453089426</v>
      </c>
      <c r="N456" s="14">
        <v>0.25377</v>
      </c>
      <c r="O456" s="14">
        <v>0.27748</v>
      </c>
      <c r="P456" s="15" t="s">
        <v>35</v>
      </c>
      <c r="Q456" s="16" t="s">
        <v>2792</v>
      </c>
      <c r="R456" s="17" t="s">
        <v>2793</v>
      </c>
      <c r="S456" s="17" t="s">
        <v>35</v>
      </c>
      <c r="T456" s="17" t="s">
        <v>35</v>
      </c>
      <c r="U456" s="17" t="s">
        <v>2794</v>
      </c>
      <c r="V456" s="17" t="s">
        <v>2795</v>
      </c>
      <c r="W456" s="17" t="s">
        <v>2796</v>
      </c>
      <c r="X456" s="17" t="s">
        <v>2797</v>
      </c>
      <c r="Y456" s="17" t="s">
        <v>2798</v>
      </c>
      <c r="Z456" s="17" t="s">
        <v>10543</v>
      </c>
      <c r="AA456" s="17" t="s">
        <v>35</v>
      </c>
      <c r="AB456" s="17" t="s">
        <v>35</v>
      </c>
      <c r="AC456" s="17" t="s">
        <v>9538</v>
      </c>
      <c r="AD456" s="41">
        <v>61.73</v>
      </c>
      <c r="AE456" s="41">
        <v>64.94</v>
      </c>
      <c r="AF456" s="48"/>
      <c r="AG456" s="44"/>
      <c r="AH456" s="7">
        <f t="shared" si="7"/>
        <v>0</v>
      </c>
      <c r="AI456" s="18"/>
      <c r="AJ456" s="18"/>
    </row>
    <row r="457" spans="1:38" ht="26.65" customHeight="1" x14ac:dyDescent="0.25">
      <c r="A457" s="38" t="s">
        <v>2799</v>
      </c>
      <c r="B457" s="9" t="s">
        <v>57</v>
      </c>
      <c r="C457" s="9" t="s">
        <v>34</v>
      </c>
      <c r="D457" s="9" t="s">
        <v>904</v>
      </c>
      <c r="E457" s="9" t="s">
        <v>122</v>
      </c>
      <c r="F457" s="9" t="s">
        <v>36</v>
      </c>
      <c r="G457" s="9">
        <v>6</v>
      </c>
      <c r="H457" s="9">
        <v>84219999</v>
      </c>
      <c r="I457" s="11" t="s">
        <v>37</v>
      </c>
      <c r="J457" s="12">
        <v>1.6500000000000001E-2</v>
      </c>
      <c r="K457" s="12">
        <v>7.5999999999999998E-2</v>
      </c>
      <c r="L457" s="12">
        <v>5.1999999999999998E-2</v>
      </c>
      <c r="M457" s="13">
        <v>8003453089334</v>
      </c>
      <c r="N457" s="14">
        <v>0.25800000000000001</v>
      </c>
      <c r="O457" s="14">
        <v>0.31900000000000001</v>
      </c>
      <c r="P457" s="15" t="s">
        <v>35</v>
      </c>
      <c r="Q457" s="16" t="s">
        <v>2800</v>
      </c>
      <c r="R457" s="17" t="s">
        <v>2801</v>
      </c>
      <c r="S457" s="17" t="s">
        <v>2802</v>
      </c>
      <c r="T457" s="17" t="s">
        <v>2803</v>
      </c>
      <c r="U457" s="17" t="s">
        <v>35</v>
      </c>
      <c r="V457" s="17" t="s">
        <v>35</v>
      </c>
      <c r="W457" s="17" t="s">
        <v>35</v>
      </c>
      <c r="X457" s="17" t="s">
        <v>35</v>
      </c>
      <c r="Y457" s="17" t="s">
        <v>2804</v>
      </c>
      <c r="Z457" s="17" t="s">
        <v>2805</v>
      </c>
      <c r="AA457" s="17" t="s">
        <v>35</v>
      </c>
      <c r="AB457" s="17" t="s">
        <v>35</v>
      </c>
      <c r="AC457" s="17" t="s">
        <v>9538</v>
      </c>
      <c r="AD457" s="42">
        <v>98.9</v>
      </c>
      <c r="AE457" s="42">
        <v>104.04</v>
      </c>
      <c r="AF457" s="48"/>
      <c r="AG457" s="44"/>
      <c r="AH457" s="7">
        <f t="shared" si="7"/>
        <v>0</v>
      </c>
      <c r="AI457" s="18"/>
      <c r="AJ457" s="18"/>
    </row>
    <row r="458" spans="1:38" ht="26.65" customHeight="1" x14ac:dyDescent="0.25">
      <c r="A458" s="38" t="s">
        <v>2806</v>
      </c>
      <c r="B458" s="9" t="s">
        <v>57</v>
      </c>
      <c r="C458" s="9" t="s">
        <v>58</v>
      </c>
      <c r="D458" s="9" t="s">
        <v>59</v>
      </c>
      <c r="E458" s="9" t="s">
        <v>122</v>
      </c>
      <c r="F458" s="9" t="s">
        <v>36</v>
      </c>
      <c r="G458" s="9">
        <v>6</v>
      </c>
      <c r="H458" s="9">
        <v>84219999</v>
      </c>
      <c r="I458" s="11" t="s">
        <v>37</v>
      </c>
      <c r="J458" s="12">
        <v>1.6500000000000001E-2</v>
      </c>
      <c r="K458" s="12">
        <v>7.5999999999999998E-2</v>
      </c>
      <c r="L458" s="12">
        <v>5.1999999999999998E-2</v>
      </c>
      <c r="M458" s="13">
        <v>8003453089402</v>
      </c>
      <c r="N458" s="14">
        <v>0.36</v>
      </c>
      <c r="O458" s="14">
        <v>0.44400000000000001</v>
      </c>
      <c r="P458" s="15">
        <v>44531</v>
      </c>
      <c r="Q458" s="16" t="s">
        <v>2807</v>
      </c>
      <c r="R458" s="17" t="s">
        <v>2808</v>
      </c>
      <c r="S458" s="17" t="s">
        <v>2809</v>
      </c>
      <c r="T458" s="17" t="s">
        <v>2810</v>
      </c>
      <c r="U458" s="17" t="s">
        <v>35</v>
      </c>
      <c r="V458" s="17" t="s">
        <v>35</v>
      </c>
      <c r="W458" s="17" t="s">
        <v>35</v>
      </c>
      <c r="X458" s="17" t="s">
        <v>35</v>
      </c>
      <c r="Y458" s="17" t="s">
        <v>35</v>
      </c>
      <c r="Z458" s="17" t="s">
        <v>2811</v>
      </c>
      <c r="AA458" s="17" t="s">
        <v>35</v>
      </c>
      <c r="AB458" s="17" t="s">
        <v>35</v>
      </c>
      <c r="AC458" s="17" t="s">
        <v>9538</v>
      </c>
      <c r="AD458" s="42">
        <v>82.91</v>
      </c>
      <c r="AE458" s="42">
        <v>87.22</v>
      </c>
      <c r="AF458" s="48"/>
      <c r="AG458" s="44"/>
      <c r="AH458" s="7">
        <f t="shared" si="7"/>
        <v>0</v>
      </c>
      <c r="AI458" s="18"/>
      <c r="AJ458" s="18"/>
    </row>
    <row r="459" spans="1:38" ht="26.65" customHeight="1" x14ac:dyDescent="0.25">
      <c r="A459" s="38" t="s">
        <v>2812</v>
      </c>
      <c r="B459" s="9" t="s">
        <v>57</v>
      </c>
      <c r="C459" s="9" t="s">
        <v>43</v>
      </c>
      <c r="D459" s="9" t="s">
        <v>904</v>
      </c>
      <c r="E459" s="9" t="s">
        <v>35</v>
      </c>
      <c r="F459" s="9" t="s">
        <v>36</v>
      </c>
      <c r="G459" s="9">
        <v>6</v>
      </c>
      <c r="H459" s="9">
        <v>84219999</v>
      </c>
      <c r="I459" s="11" t="s">
        <v>37</v>
      </c>
      <c r="J459" s="12">
        <v>1.6500000000000001E-2</v>
      </c>
      <c r="K459" s="12">
        <v>7.5999999999999998E-2</v>
      </c>
      <c r="L459" s="12">
        <v>5.1999999999999998E-2</v>
      </c>
      <c r="M459" s="13">
        <v>8003453089167</v>
      </c>
      <c r="N459" s="14">
        <v>9.0999999999999998E-2</v>
      </c>
      <c r="O459" s="14">
        <v>0.106</v>
      </c>
      <c r="P459" s="15" t="s">
        <v>35</v>
      </c>
      <c r="Q459" s="16" t="s">
        <v>2813</v>
      </c>
      <c r="R459" s="17" t="s">
        <v>2814</v>
      </c>
      <c r="S459" s="17" t="s">
        <v>2815</v>
      </c>
      <c r="T459" s="17" t="s">
        <v>2816</v>
      </c>
      <c r="U459" s="17" t="s">
        <v>2817</v>
      </c>
      <c r="V459" s="17" t="s">
        <v>2818</v>
      </c>
      <c r="W459" s="17" t="s">
        <v>2819</v>
      </c>
      <c r="X459" s="17" t="s">
        <v>2820</v>
      </c>
      <c r="Y459" s="17" t="s">
        <v>2821</v>
      </c>
      <c r="Z459" s="17" t="s">
        <v>35</v>
      </c>
      <c r="AA459" s="17" t="s">
        <v>35</v>
      </c>
      <c r="AB459" s="17" t="s">
        <v>2822</v>
      </c>
      <c r="AC459" s="17" t="s">
        <v>9538</v>
      </c>
      <c r="AD459" s="42">
        <v>18.170000000000002</v>
      </c>
      <c r="AE459" s="42">
        <v>19.11</v>
      </c>
      <c r="AF459" s="48"/>
      <c r="AG459" s="44"/>
      <c r="AH459" s="7">
        <f t="shared" si="7"/>
        <v>0</v>
      </c>
      <c r="AI459" s="18"/>
      <c r="AJ459" s="18"/>
    </row>
    <row r="460" spans="1:38" ht="26.65" customHeight="1" x14ac:dyDescent="0.25">
      <c r="A460" s="38" t="s">
        <v>2823</v>
      </c>
      <c r="B460" s="9" t="s">
        <v>57</v>
      </c>
      <c r="C460" s="9" t="s">
        <v>43</v>
      </c>
      <c r="D460" s="9" t="s">
        <v>904</v>
      </c>
      <c r="E460" s="9" t="s">
        <v>122</v>
      </c>
      <c r="F460" s="9" t="s">
        <v>36</v>
      </c>
      <c r="G460" s="9">
        <v>6</v>
      </c>
      <c r="H460" s="9">
        <v>84219999</v>
      </c>
      <c r="I460" s="11" t="s">
        <v>37</v>
      </c>
      <c r="J460" s="12">
        <v>1.6500000000000001E-2</v>
      </c>
      <c r="K460" s="12">
        <v>7.5999999999999998E-2</v>
      </c>
      <c r="L460" s="12">
        <v>5.1999999999999998E-2</v>
      </c>
      <c r="M460" s="13">
        <v>8003453089358</v>
      </c>
      <c r="N460" s="14">
        <v>0.159</v>
      </c>
      <c r="O460" s="14">
        <v>0.28999999999999998</v>
      </c>
      <c r="P460" s="15" t="s">
        <v>35</v>
      </c>
      <c r="Q460" s="16" t="s">
        <v>8655</v>
      </c>
      <c r="R460" s="17" t="s">
        <v>2824</v>
      </c>
      <c r="S460" s="17" t="s">
        <v>2825</v>
      </c>
      <c r="T460" s="17" t="s">
        <v>2826</v>
      </c>
      <c r="U460" s="17" t="s">
        <v>2827</v>
      </c>
      <c r="V460" s="17" t="s">
        <v>2828</v>
      </c>
      <c r="W460" s="17" t="s">
        <v>2829</v>
      </c>
      <c r="X460" s="17" t="s">
        <v>35</v>
      </c>
      <c r="Y460" s="17" t="s">
        <v>2830</v>
      </c>
      <c r="Z460" s="17" t="s">
        <v>35</v>
      </c>
      <c r="AA460" s="17" t="s">
        <v>35</v>
      </c>
      <c r="AB460" s="17" t="s">
        <v>35</v>
      </c>
      <c r="AC460" s="17" t="s">
        <v>9538</v>
      </c>
      <c r="AD460" s="42">
        <v>59.21</v>
      </c>
      <c r="AE460" s="42">
        <v>62.29</v>
      </c>
      <c r="AF460" s="48"/>
      <c r="AG460" s="44"/>
      <c r="AH460" s="7">
        <f t="shared" si="7"/>
        <v>0</v>
      </c>
      <c r="AI460" s="18"/>
      <c r="AJ460" s="18"/>
    </row>
    <row r="461" spans="1:38" ht="26.65" customHeight="1" x14ac:dyDescent="0.25">
      <c r="A461" s="10" t="s">
        <v>2831</v>
      </c>
      <c r="B461" s="9" t="s">
        <v>57</v>
      </c>
      <c r="C461" s="9" t="s">
        <v>43</v>
      </c>
      <c r="D461" s="9" t="s">
        <v>59</v>
      </c>
      <c r="E461" s="9" t="s">
        <v>122</v>
      </c>
      <c r="F461" s="9" t="s">
        <v>36</v>
      </c>
      <c r="G461" s="9">
        <v>6</v>
      </c>
      <c r="H461" s="9">
        <v>84219999</v>
      </c>
      <c r="I461" s="11" t="s">
        <v>37</v>
      </c>
      <c r="J461" s="12">
        <v>1.6500000000000001E-2</v>
      </c>
      <c r="K461" s="12">
        <v>7.5999999999999998E-2</v>
      </c>
      <c r="L461" s="12">
        <v>5.1999999999999998E-2</v>
      </c>
      <c r="M461" s="13">
        <v>8003453089501</v>
      </c>
      <c r="N461" s="14">
        <v>0.153</v>
      </c>
      <c r="O461" s="14">
        <v>0.29099999999999998</v>
      </c>
      <c r="P461" s="15">
        <v>44501</v>
      </c>
      <c r="Q461" s="16" t="s">
        <v>2832</v>
      </c>
      <c r="R461" s="17">
        <v>1614111980</v>
      </c>
      <c r="S461" s="17" t="s">
        <v>2833</v>
      </c>
      <c r="T461" s="17" t="s">
        <v>2834</v>
      </c>
      <c r="U461" s="17" t="s">
        <v>35</v>
      </c>
      <c r="V461" s="17" t="s">
        <v>35</v>
      </c>
      <c r="W461" s="17" t="s">
        <v>35</v>
      </c>
      <c r="X461" s="17" t="s">
        <v>35</v>
      </c>
      <c r="Y461" s="17" t="s">
        <v>2835</v>
      </c>
      <c r="Z461" s="17" t="s">
        <v>35</v>
      </c>
      <c r="AA461" s="17" t="s">
        <v>35</v>
      </c>
      <c r="AB461" s="17" t="s">
        <v>35</v>
      </c>
      <c r="AC461" s="17" t="s">
        <v>9539</v>
      </c>
      <c r="AD461" s="42">
        <v>76.33</v>
      </c>
      <c r="AE461" s="42">
        <v>80.3</v>
      </c>
      <c r="AF461" s="48"/>
      <c r="AG461" s="44"/>
      <c r="AH461" s="7">
        <f t="shared" si="7"/>
        <v>0</v>
      </c>
      <c r="AI461" s="18"/>
      <c r="AJ461" s="18"/>
    </row>
    <row r="462" spans="1:38" ht="26.65" customHeight="1" x14ac:dyDescent="0.25">
      <c r="A462" s="10" t="s">
        <v>2836</v>
      </c>
      <c r="B462" s="9" t="s">
        <v>57</v>
      </c>
      <c r="C462" s="9" t="s">
        <v>34</v>
      </c>
      <c r="D462" s="9" t="s">
        <v>904</v>
      </c>
      <c r="E462" s="9" t="s">
        <v>35</v>
      </c>
      <c r="F462" s="9" t="s">
        <v>36</v>
      </c>
      <c r="G462" s="9">
        <v>6</v>
      </c>
      <c r="H462" s="9">
        <v>84219999</v>
      </c>
      <c r="I462" s="11" t="s">
        <v>37</v>
      </c>
      <c r="J462" s="12">
        <v>1.6500000000000001E-2</v>
      </c>
      <c r="K462" s="12">
        <v>7.5999999999999998E-2</v>
      </c>
      <c r="L462" s="12">
        <v>5.1999999999999998E-2</v>
      </c>
      <c r="M462" s="13">
        <v>8003453089297</v>
      </c>
      <c r="N462" s="14">
        <v>0.09</v>
      </c>
      <c r="O462" s="14">
        <v>0.11600000000000001</v>
      </c>
      <c r="P462" s="15">
        <v>45047</v>
      </c>
      <c r="Q462" s="16" t="s">
        <v>2837</v>
      </c>
      <c r="R462" s="17" t="s">
        <v>2838</v>
      </c>
      <c r="S462" s="17" t="s">
        <v>2839</v>
      </c>
      <c r="T462" s="17" t="s">
        <v>2840</v>
      </c>
      <c r="U462" s="17" t="s">
        <v>2841</v>
      </c>
      <c r="V462" s="17" t="s">
        <v>35</v>
      </c>
      <c r="W462" s="17" t="s">
        <v>35</v>
      </c>
      <c r="X462" s="17" t="s">
        <v>35</v>
      </c>
      <c r="Y462" s="17" t="s">
        <v>2842</v>
      </c>
      <c r="Z462" s="17" t="s">
        <v>2843</v>
      </c>
      <c r="AA462" s="17" t="s">
        <v>35</v>
      </c>
      <c r="AB462" s="17" t="s">
        <v>2844</v>
      </c>
      <c r="AC462" s="17" t="s">
        <v>9539</v>
      </c>
      <c r="AD462" s="41">
        <v>46.1</v>
      </c>
      <c r="AE462" s="41">
        <v>48.5</v>
      </c>
      <c r="AF462" s="48"/>
      <c r="AG462" s="44"/>
      <c r="AH462" s="7">
        <f t="shared" si="7"/>
        <v>0</v>
      </c>
      <c r="AI462" s="18"/>
      <c r="AJ462" s="18"/>
      <c r="AL462" s="18"/>
    </row>
    <row r="463" spans="1:38" ht="26.65" customHeight="1" x14ac:dyDescent="0.25">
      <c r="A463" s="10" t="s">
        <v>9150</v>
      </c>
      <c r="B463" s="9" t="s">
        <v>57</v>
      </c>
      <c r="C463" s="9" t="s">
        <v>34</v>
      </c>
      <c r="D463" s="9" t="s">
        <v>904</v>
      </c>
      <c r="E463" s="9" t="s">
        <v>35</v>
      </c>
      <c r="F463" s="9" t="s">
        <v>36</v>
      </c>
      <c r="G463" s="9">
        <v>6</v>
      </c>
      <c r="H463" s="9">
        <v>84219999</v>
      </c>
      <c r="I463" s="11" t="s">
        <v>37</v>
      </c>
      <c r="J463" s="12">
        <v>1.6500000000000001E-2</v>
      </c>
      <c r="K463" s="12">
        <v>7.5999999999999998E-2</v>
      </c>
      <c r="L463" s="12">
        <v>5.1999999999999998E-2</v>
      </c>
      <c r="M463" s="13">
        <v>8003453089303</v>
      </c>
      <c r="N463" s="14">
        <v>0.08</v>
      </c>
      <c r="O463" s="14">
        <v>9.7000000000000003E-2</v>
      </c>
      <c r="P463" s="15">
        <v>45383</v>
      </c>
      <c r="Q463" s="16" t="s">
        <v>9151</v>
      </c>
      <c r="R463" s="17" t="s">
        <v>35</v>
      </c>
      <c r="S463" s="17" t="s">
        <v>9152</v>
      </c>
      <c r="T463" s="17" t="s">
        <v>9153</v>
      </c>
      <c r="U463" s="17" t="s">
        <v>9154</v>
      </c>
      <c r="V463" s="17" t="s">
        <v>35</v>
      </c>
      <c r="W463" s="17" t="s">
        <v>35</v>
      </c>
      <c r="X463" s="17" t="s">
        <v>9155</v>
      </c>
      <c r="Y463" s="17" t="s">
        <v>35</v>
      </c>
      <c r="Z463" s="17" t="s">
        <v>9156</v>
      </c>
      <c r="AA463" s="17" t="s">
        <v>35</v>
      </c>
      <c r="AB463" s="17" t="s">
        <v>9157</v>
      </c>
      <c r="AC463" s="17" t="s">
        <v>9539</v>
      </c>
      <c r="AD463" s="42">
        <v>66.08</v>
      </c>
      <c r="AE463" s="42">
        <v>69.52</v>
      </c>
      <c r="AF463" s="48"/>
      <c r="AG463" s="44"/>
      <c r="AH463" s="7">
        <f t="shared" si="7"/>
        <v>0</v>
      </c>
      <c r="AI463" s="18"/>
      <c r="AJ463" s="18"/>
    </row>
    <row r="464" spans="1:38" ht="26.65" customHeight="1" x14ac:dyDescent="0.25">
      <c r="A464" s="10" t="s">
        <v>2845</v>
      </c>
      <c r="B464" s="9" t="s">
        <v>57</v>
      </c>
      <c r="C464" s="9" t="s">
        <v>43</v>
      </c>
      <c r="D464" s="9" t="s">
        <v>67</v>
      </c>
      <c r="E464" s="9" t="s">
        <v>122</v>
      </c>
      <c r="F464" s="9" t="s">
        <v>36</v>
      </c>
      <c r="G464" s="9">
        <v>6</v>
      </c>
      <c r="H464" s="9">
        <v>84219999</v>
      </c>
      <c r="I464" s="11" t="s">
        <v>37</v>
      </c>
      <c r="J464" s="12">
        <v>1.6500000000000001E-2</v>
      </c>
      <c r="K464" s="12">
        <v>7.5999999999999998E-2</v>
      </c>
      <c r="L464" s="12">
        <v>5.1999999999999998E-2</v>
      </c>
      <c r="M464" s="13">
        <v>8003453156012</v>
      </c>
      <c r="N464" s="14">
        <v>0.12</v>
      </c>
      <c r="O464" s="14">
        <v>0.14000000000000001</v>
      </c>
      <c r="P464" s="15" t="s">
        <v>35</v>
      </c>
      <c r="Q464" s="16" t="s">
        <v>2846</v>
      </c>
      <c r="R464" s="17">
        <v>504170771</v>
      </c>
      <c r="S464" s="17" t="s">
        <v>2847</v>
      </c>
      <c r="T464" s="17" t="s">
        <v>2848</v>
      </c>
      <c r="U464" s="17" t="s">
        <v>35</v>
      </c>
      <c r="V464" s="17" t="s">
        <v>2849</v>
      </c>
      <c r="W464" s="17" t="s">
        <v>2850</v>
      </c>
      <c r="X464" s="17" t="s">
        <v>2851</v>
      </c>
      <c r="Y464" s="17" t="s">
        <v>2852</v>
      </c>
      <c r="Z464" s="17" t="s">
        <v>2853</v>
      </c>
      <c r="AA464" s="17" t="s">
        <v>35</v>
      </c>
      <c r="AB464" s="17" t="s">
        <v>35</v>
      </c>
      <c r="AC464" s="17" t="s">
        <v>9539</v>
      </c>
      <c r="AD464" s="42">
        <v>41.06</v>
      </c>
      <c r="AE464" s="42">
        <v>43.2</v>
      </c>
      <c r="AF464" s="48"/>
      <c r="AG464" s="44"/>
      <c r="AH464" s="7">
        <f t="shared" si="7"/>
        <v>0</v>
      </c>
      <c r="AI464" s="18"/>
      <c r="AJ464" s="18"/>
    </row>
    <row r="465" spans="1:38" ht="26.65" customHeight="1" x14ac:dyDescent="0.25">
      <c r="A465" s="38" t="s">
        <v>2854</v>
      </c>
      <c r="B465" s="9" t="s">
        <v>57</v>
      </c>
      <c r="C465" s="9" t="s">
        <v>43</v>
      </c>
      <c r="D465" s="9" t="s">
        <v>904</v>
      </c>
      <c r="E465" s="9" t="s">
        <v>35</v>
      </c>
      <c r="F465" s="9" t="s">
        <v>36</v>
      </c>
      <c r="G465" s="9">
        <v>6</v>
      </c>
      <c r="H465" s="9">
        <v>84219999</v>
      </c>
      <c r="I465" s="11" t="s">
        <v>37</v>
      </c>
      <c r="J465" s="12">
        <v>1.6500000000000001E-2</v>
      </c>
      <c r="K465" s="12">
        <v>7.5999999999999998E-2</v>
      </c>
      <c r="L465" s="12">
        <v>5.1999999999999998E-2</v>
      </c>
      <c r="M465" s="13">
        <v>8003453089372</v>
      </c>
      <c r="N465" s="14">
        <v>0.23300000000000001</v>
      </c>
      <c r="O465" s="14">
        <v>0.307</v>
      </c>
      <c r="P465" s="15" t="s">
        <v>35</v>
      </c>
      <c r="Q465" s="16" t="s">
        <v>2855</v>
      </c>
      <c r="R465" s="17" t="s">
        <v>35</v>
      </c>
      <c r="S465" s="17" t="s">
        <v>2856</v>
      </c>
      <c r="T465" s="17" t="s">
        <v>2857</v>
      </c>
      <c r="U465" s="17" t="s">
        <v>2858</v>
      </c>
      <c r="V465" s="17" t="s">
        <v>2859</v>
      </c>
      <c r="W465" s="17" t="s">
        <v>2860</v>
      </c>
      <c r="X465" s="17" t="s">
        <v>35</v>
      </c>
      <c r="Y465" s="17" t="s">
        <v>2861</v>
      </c>
      <c r="Z465" s="17" t="s">
        <v>35</v>
      </c>
      <c r="AA465" s="17" t="s">
        <v>35</v>
      </c>
      <c r="AB465" s="17" t="s">
        <v>35</v>
      </c>
      <c r="AC465" s="17" t="s">
        <v>9538</v>
      </c>
      <c r="AD465" s="42">
        <v>96.33</v>
      </c>
      <c r="AE465" s="42">
        <v>101.34</v>
      </c>
      <c r="AF465" s="48"/>
      <c r="AG465" s="44"/>
      <c r="AH465" s="7">
        <f t="shared" si="7"/>
        <v>0</v>
      </c>
      <c r="AI465" s="18"/>
      <c r="AJ465" s="18"/>
    </row>
    <row r="466" spans="1:38" ht="26.65" customHeight="1" x14ac:dyDescent="0.25">
      <c r="A466" s="38" t="s">
        <v>2862</v>
      </c>
      <c r="B466" s="9" t="s">
        <v>57</v>
      </c>
      <c r="C466" s="9" t="s">
        <v>43</v>
      </c>
      <c r="D466" s="9" t="s">
        <v>59</v>
      </c>
      <c r="E466" s="9" t="s">
        <v>122</v>
      </c>
      <c r="F466" s="9" t="s">
        <v>36</v>
      </c>
      <c r="G466" s="9">
        <v>6</v>
      </c>
      <c r="H466" s="9">
        <v>84219999</v>
      </c>
      <c r="I466" s="11" t="s">
        <v>37</v>
      </c>
      <c r="J466" s="12">
        <v>1.6500000000000001E-2</v>
      </c>
      <c r="K466" s="12">
        <v>7.5999999999999998E-2</v>
      </c>
      <c r="L466" s="12">
        <v>5.1999999999999998E-2</v>
      </c>
      <c r="M466" s="13">
        <v>8003453089488</v>
      </c>
      <c r="N466" s="14">
        <v>0.123</v>
      </c>
      <c r="O466" s="14">
        <v>0.151</v>
      </c>
      <c r="P466" s="15">
        <v>44774</v>
      </c>
      <c r="Q466" s="16" t="s">
        <v>8656</v>
      </c>
      <c r="R466" s="17">
        <v>77368593</v>
      </c>
      <c r="S466" s="17" t="s">
        <v>2863</v>
      </c>
      <c r="T466" s="17" t="s">
        <v>2864</v>
      </c>
      <c r="U466" s="17" t="s">
        <v>35</v>
      </c>
      <c r="V466" s="17" t="s">
        <v>35</v>
      </c>
      <c r="W466" s="17" t="s">
        <v>35</v>
      </c>
      <c r="X466" s="17" t="s">
        <v>35</v>
      </c>
      <c r="Y466" s="17" t="s">
        <v>8657</v>
      </c>
      <c r="Z466" s="17" t="s">
        <v>35</v>
      </c>
      <c r="AA466" s="17" t="s">
        <v>35</v>
      </c>
      <c r="AB466" s="17" t="s">
        <v>35</v>
      </c>
      <c r="AC466" s="17" t="s">
        <v>9538</v>
      </c>
      <c r="AD466" s="42">
        <v>97.1</v>
      </c>
      <c r="AE466" s="42">
        <v>102.15</v>
      </c>
      <c r="AF466" s="48"/>
      <c r="AG466" s="44"/>
      <c r="AH466" s="7">
        <f t="shared" si="7"/>
        <v>0</v>
      </c>
      <c r="AI466" s="18"/>
      <c r="AJ466" s="18"/>
    </row>
    <row r="467" spans="1:38" ht="26.65" customHeight="1" x14ac:dyDescent="0.25">
      <c r="A467" s="38" t="s">
        <v>2865</v>
      </c>
      <c r="B467" s="9" t="s">
        <v>57</v>
      </c>
      <c r="C467" s="9" t="s">
        <v>43</v>
      </c>
      <c r="D467" s="9" t="s">
        <v>59</v>
      </c>
      <c r="E467" s="9" t="s">
        <v>122</v>
      </c>
      <c r="F467" s="9" t="s">
        <v>36</v>
      </c>
      <c r="G467" s="9">
        <v>6</v>
      </c>
      <c r="H467" s="9">
        <v>84219999</v>
      </c>
      <c r="I467" s="11" t="s">
        <v>37</v>
      </c>
      <c r="J467" s="12">
        <v>1.6500000000000001E-2</v>
      </c>
      <c r="K467" s="12">
        <v>7.5999999999999998E-2</v>
      </c>
      <c r="L467" s="12">
        <v>5.1999999999999998E-2</v>
      </c>
      <c r="M467" s="13">
        <v>8003453089518</v>
      </c>
      <c r="N467" s="14">
        <v>0.19700000000000001</v>
      </c>
      <c r="O467" s="14">
        <v>0.28399999999999997</v>
      </c>
      <c r="P467" s="15">
        <v>45200</v>
      </c>
      <c r="Q467" s="16" t="s">
        <v>2866</v>
      </c>
      <c r="R467" s="17" t="s">
        <v>2867</v>
      </c>
      <c r="S467" s="17" t="s">
        <v>2868</v>
      </c>
      <c r="T467" s="17" t="s">
        <v>35</v>
      </c>
      <c r="U467" s="17" t="s">
        <v>35</v>
      </c>
      <c r="V467" s="17" t="s">
        <v>35</v>
      </c>
      <c r="W467" s="17" t="s">
        <v>35</v>
      </c>
      <c r="X467" s="17" t="s">
        <v>35</v>
      </c>
      <c r="Y467" s="17" t="s">
        <v>35</v>
      </c>
      <c r="Z467" s="17" t="s">
        <v>35</v>
      </c>
      <c r="AA467" s="17" t="s">
        <v>35</v>
      </c>
      <c r="AB467" s="17" t="s">
        <v>35</v>
      </c>
      <c r="AC467" s="17" t="s">
        <v>9538</v>
      </c>
      <c r="AD467" s="42">
        <v>89.23</v>
      </c>
      <c r="AE467" s="42">
        <v>93.87</v>
      </c>
      <c r="AF467" s="48"/>
      <c r="AG467" s="44"/>
      <c r="AH467" s="7">
        <f t="shared" si="7"/>
        <v>0</v>
      </c>
      <c r="AI467" s="18"/>
      <c r="AJ467" s="18"/>
    </row>
    <row r="468" spans="1:38" ht="26.65" customHeight="1" x14ac:dyDescent="0.25">
      <c r="A468" s="38" t="s">
        <v>2869</v>
      </c>
      <c r="B468" s="9" t="s">
        <v>57</v>
      </c>
      <c r="C468" s="9" t="s">
        <v>43</v>
      </c>
      <c r="D468" s="9" t="s">
        <v>59</v>
      </c>
      <c r="E468" s="9" t="s">
        <v>122</v>
      </c>
      <c r="F468" s="9" t="s">
        <v>36</v>
      </c>
      <c r="G468" s="9">
        <v>6</v>
      </c>
      <c r="H468" s="9">
        <v>84219999</v>
      </c>
      <c r="I468" s="11" t="s">
        <v>37</v>
      </c>
      <c r="J468" s="12">
        <v>1.6500000000000001E-2</v>
      </c>
      <c r="K468" s="12">
        <v>7.5999999999999998E-2</v>
      </c>
      <c r="L468" s="12">
        <v>5.1999999999999998E-2</v>
      </c>
      <c r="M468" s="13">
        <v>8003453089495</v>
      </c>
      <c r="N468" s="14">
        <v>0.16200000000000001</v>
      </c>
      <c r="O468" s="14">
        <v>0.20200000000000001</v>
      </c>
      <c r="P468" s="15">
        <v>44501</v>
      </c>
      <c r="Q468" s="16" t="s">
        <v>2870</v>
      </c>
      <c r="R468" s="17">
        <v>5802050393</v>
      </c>
      <c r="S468" s="17" t="s">
        <v>2871</v>
      </c>
      <c r="T468" s="17" t="s">
        <v>2872</v>
      </c>
      <c r="U468" s="17" t="s">
        <v>2873</v>
      </c>
      <c r="V468" s="17" t="s">
        <v>35</v>
      </c>
      <c r="W468" s="17" t="s">
        <v>35</v>
      </c>
      <c r="X468" s="17" t="s">
        <v>35</v>
      </c>
      <c r="Y468" s="17" t="s">
        <v>2874</v>
      </c>
      <c r="Z468" s="17" t="s">
        <v>35</v>
      </c>
      <c r="AA468" s="17" t="s">
        <v>35</v>
      </c>
      <c r="AB468" s="17" t="s">
        <v>35</v>
      </c>
      <c r="AC468" s="17" t="s">
        <v>9538</v>
      </c>
      <c r="AD468" s="41">
        <v>50.07</v>
      </c>
      <c r="AE468" s="41">
        <v>52.67</v>
      </c>
      <c r="AF468" s="48"/>
      <c r="AG468" s="44"/>
      <c r="AH468" s="7">
        <f t="shared" si="7"/>
        <v>0</v>
      </c>
      <c r="AI468" s="18"/>
      <c r="AJ468" s="18"/>
    </row>
    <row r="469" spans="1:38" ht="26.65" customHeight="1" x14ac:dyDescent="0.25">
      <c r="A469" s="10" t="s">
        <v>2875</v>
      </c>
      <c r="B469" s="9" t="s">
        <v>903</v>
      </c>
      <c r="C469" s="9" t="s">
        <v>58</v>
      </c>
      <c r="D469" s="9" t="s">
        <v>59</v>
      </c>
      <c r="E469" s="9" t="s">
        <v>35</v>
      </c>
      <c r="F469" s="9" t="s">
        <v>36</v>
      </c>
      <c r="G469" s="9">
        <v>6</v>
      </c>
      <c r="H469" s="9">
        <v>84219999</v>
      </c>
      <c r="I469" s="11" t="s">
        <v>37</v>
      </c>
      <c r="J469" s="12">
        <v>1.6500000000000001E-2</v>
      </c>
      <c r="K469" s="12">
        <v>7.5999999999999998E-2</v>
      </c>
      <c r="L469" s="12">
        <v>5.1999999999999998E-2</v>
      </c>
      <c r="M469" s="13">
        <v>8003453089457</v>
      </c>
      <c r="N469" s="14">
        <v>8.9999999999999993E-3</v>
      </c>
      <c r="O469" s="14">
        <v>0.1</v>
      </c>
      <c r="P469" s="15">
        <v>45108</v>
      </c>
      <c r="Q469" s="16" t="s">
        <v>2876</v>
      </c>
      <c r="R469" s="17" t="s">
        <v>2877</v>
      </c>
      <c r="S469" s="17" t="s">
        <v>2878</v>
      </c>
      <c r="T469" s="17" t="s">
        <v>2879</v>
      </c>
      <c r="U469" s="17" t="s">
        <v>2880</v>
      </c>
      <c r="V469" s="17" t="s">
        <v>35</v>
      </c>
      <c r="W469" s="17" t="s">
        <v>35</v>
      </c>
      <c r="X469" s="17" t="s">
        <v>35</v>
      </c>
      <c r="Y469" s="17" t="s">
        <v>2881</v>
      </c>
      <c r="Z469" s="17" t="s">
        <v>2882</v>
      </c>
      <c r="AA469" s="17" t="s">
        <v>35</v>
      </c>
      <c r="AB469" s="17" t="s">
        <v>35</v>
      </c>
      <c r="AC469" s="17" t="s">
        <v>9539</v>
      </c>
      <c r="AD469" s="42">
        <v>11.82</v>
      </c>
      <c r="AE469" s="42">
        <v>12.43</v>
      </c>
      <c r="AF469" s="48"/>
      <c r="AG469" s="44"/>
      <c r="AH469" s="7">
        <f t="shared" si="7"/>
        <v>0</v>
      </c>
      <c r="AI469" s="18"/>
      <c r="AJ469" s="18"/>
    </row>
    <row r="470" spans="1:38" ht="26.65" customHeight="1" x14ac:dyDescent="0.25">
      <c r="A470" s="38" t="s">
        <v>2883</v>
      </c>
      <c r="B470" s="9" t="s">
        <v>57</v>
      </c>
      <c r="C470" s="9" t="s">
        <v>43</v>
      </c>
      <c r="D470" s="9" t="s">
        <v>904</v>
      </c>
      <c r="E470" s="9" t="s">
        <v>35</v>
      </c>
      <c r="F470" s="9" t="s">
        <v>36</v>
      </c>
      <c r="G470" s="9">
        <v>6</v>
      </c>
      <c r="H470" s="9">
        <v>84219999</v>
      </c>
      <c r="I470" s="11" t="s">
        <v>37</v>
      </c>
      <c r="J470" s="12">
        <v>1.6500000000000001E-2</v>
      </c>
      <c r="K470" s="12">
        <v>7.5999999999999998E-2</v>
      </c>
      <c r="L470" s="12">
        <v>5.1999999999999998E-2</v>
      </c>
      <c r="M470" s="13">
        <v>8003453089549</v>
      </c>
      <c r="N470" s="14">
        <v>0.09</v>
      </c>
      <c r="O470" s="14">
        <v>0.115</v>
      </c>
      <c r="P470" s="15" t="s">
        <v>35</v>
      </c>
      <c r="Q470" s="16" t="s">
        <v>2884</v>
      </c>
      <c r="R470" s="17" t="s">
        <v>35</v>
      </c>
      <c r="S470" s="17" t="s">
        <v>35</v>
      </c>
      <c r="T470" s="17" t="s">
        <v>35</v>
      </c>
      <c r="U470" s="17" t="s">
        <v>35</v>
      </c>
      <c r="V470" s="17" t="s">
        <v>2885</v>
      </c>
      <c r="W470" s="17" t="s">
        <v>2886</v>
      </c>
      <c r="X470" s="17" t="s">
        <v>2887</v>
      </c>
      <c r="Y470" s="17" t="s">
        <v>2888</v>
      </c>
      <c r="Z470" s="17" t="s">
        <v>35</v>
      </c>
      <c r="AA470" s="17" t="s">
        <v>35</v>
      </c>
      <c r="AB470" s="17" t="s">
        <v>35</v>
      </c>
      <c r="AC470" s="17" t="s">
        <v>9538</v>
      </c>
      <c r="AD470" s="42">
        <v>20.05</v>
      </c>
      <c r="AE470" s="42">
        <v>21.09</v>
      </c>
      <c r="AF470" s="48"/>
      <c r="AG470" s="44"/>
      <c r="AH470" s="7">
        <f t="shared" si="7"/>
        <v>0</v>
      </c>
      <c r="AI470" s="18"/>
      <c r="AJ470" s="18"/>
    </row>
    <row r="471" spans="1:38" ht="26.65" customHeight="1" x14ac:dyDescent="0.25">
      <c r="A471" s="38" t="s">
        <v>2889</v>
      </c>
      <c r="B471" s="9" t="s">
        <v>2890</v>
      </c>
      <c r="C471" s="9" t="s">
        <v>43</v>
      </c>
      <c r="D471" s="9" t="s">
        <v>59</v>
      </c>
      <c r="E471" s="9" t="s">
        <v>35</v>
      </c>
      <c r="F471" s="9" t="s">
        <v>36</v>
      </c>
      <c r="G471" s="9">
        <v>6</v>
      </c>
      <c r="H471" s="9">
        <v>84219999</v>
      </c>
      <c r="I471" s="11" t="s">
        <v>37</v>
      </c>
      <c r="J471" s="12">
        <v>1.6500000000000001E-2</v>
      </c>
      <c r="K471" s="12">
        <v>7.5999999999999998E-2</v>
      </c>
      <c r="L471" s="12">
        <v>5.1999999999999998E-2</v>
      </c>
      <c r="M471" s="13">
        <v>8003453089563</v>
      </c>
      <c r="N471" s="14">
        <v>6.5000000000000002E-2</v>
      </c>
      <c r="O471" s="14">
        <v>8.5999999999999993E-2</v>
      </c>
      <c r="P471" s="15">
        <v>45017</v>
      </c>
      <c r="Q471" s="16" t="s">
        <v>2891</v>
      </c>
      <c r="R471" s="17" t="s">
        <v>2892</v>
      </c>
      <c r="S471" s="17" t="s">
        <v>2893</v>
      </c>
      <c r="T471" s="17" t="s">
        <v>2894</v>
      </c>
      <c r="U471" s="17" t="s">
        <v>2895</v>
      </c>
      <c r="V471" s="17" t="s">
        <v>2896</v>
      </c>
      <c r="W471" s="17" t="s">
        <v>35</v>
      </c>
      <c r="X471" s="17" t="s">
        <v>2897</v>
      </c>
      <c r="Y471" s="17" t="s">
        <v>2898</v>
      </c>
      <c r="Z471" s="17" t="s">
        <v>35</v>
      </c>
      <c r="AA471" s="17" t="s">
        <v>35</v>
      </c>
      <c r="AB471" s="17" t="s">
        <v>35</v>
      </c>
      <c r="AC471" s="17" t="s">
        <v>9538</v>
      </c>
      <c r="AD471" s="41">
        <v>53.58</v>
      </c>
      <c r="AE471" s="41">
        <v>56.37</v>
      </c>
      <c r="AF471" s="48"/>
      <c r="AG471" s="44"/>
      <c r="AH471" s="7">
        <f t="shared" si="7"/>
        <v>0</v>
      </c>
      <c r="AI471" s="18"/>
      <c r="AJ471" s="18"/>
      <c r="AL471" s="18"/>
    </row>
    <row r="472" spans="1:38" ht="26.65" customHeight="1" x14ac:dyDescent="0.25">
      <c r="A472" s="10" t="s">
        <v>2899</v>
      </c>
      <c r="B472" s="9" t="s">
        <v>57</v>
      </c>
      <c r="C472" s="9" t="s">
        <v>43</v>
      </c>
      <c r="D472" s="9" t="s">
        <v>904</v>
      </c>
      <c r="E472" s="9" t="s">
        <v>35</v>
      </c>
      <c r="F472" s="9" t="s">
        <v>36</v>
      </c>
      <c r="G472" s="9">
        <v>6</v>
      </c>
      <c r="H472" s="9">
        <v>84219999</v>
      </c>
      <c r="I472" s="11" t="s">
        <v>37</v>
      </c>
      <c r="J472" s="12">
        <v>1.6500000000000001E-2</v>
      </c>
      <c r="K472" s="12">
        <v>7.5999999999999998E-2</v>
      </c>
      <c r="L472" s="12">
        <v>5.1999999999999998E-2</v>
      </c>
      <c r="M472" s="13">
        <v>8003453089570</v>
      </c>
      <c r="N472" s="14">
        <v>0.17</v>
      </c>
      <c r="O472" s="14">
        <v>0.20399999999999999</v>
      </c>
      <c r="P472" s="15" t="s">
        <v>35</v>
      </c>
      <c r="Q472" s="16" t="s">
        <v>2900</v>
      </c>
      <c r="R472" s="17" t="s">
        <v>35</v>
      </c>
      <c r="S472" s="17" t="s">
        <v>2901</v>
      </c>
      <c r="T472" s="17" t="s">
        <v>2902</v>
      </c>
      <c r="U472" s="17" t="s">
        <v>2903</v>
      </c>
      <c r="V472" s="17" t="s">
        <v>35</v>
      </c>
      <c r="W472" s="17" t="s">
        <v>35</v>
      </c>
      <c r="X472" s="17" t="s">
        <v>2904</v>
      </c>
      <c r="Y472" s="17" t="s">
        <v>2905</v>
      </c>
      <c r="Z472" s="17" t="s">
        <v>35</v>
      </c>
      <c r="AA472" s="17" t="s">
        <v>35</v>
      </c>
      <c r="AB472" s="17" t="s">
        <v>35</v>
      </c>
      <c r="AC472" s="17" t="s">
        <v>9539</v>
      </c>
      <c r="AD472" s="41">
        <v>111.2</v>
      </c>
      <c r="AE472" s="41">
        <v>116.98</v>
      </c>
      <c r="AF472" s="48"/>
      <c r="AG472" s="44"/>
      <c r="AH472" s="7">
        <f t="shared" si="7"/>
        <v>0</v>
      </c>
      <c r="AI472" s="18"/>
      <c r="AJ472" s="18"/>
      <c r="AL472" s="18"/>
    </row>
    <row r="473" spans="1:38" ht="26.65" customHeight="1" x14ac:dyDescent="0.25">
      <c r="A473" s="38" t="s">
        <v>2906</v>
      </c>
      <c r="B473" s="9" t="s">
        <v>57</v>
      </c>
      <c r="C473" s="9" t="s">
        <v>43</v>
      </c>
      <c r="D473" s="9" t="s">
        <v>904</v>
      </c>
      <c r="E473" s="9" t="s">
        <v>122</v>
      </c>
      <c r="F473" s="9" t="s">
        <v>2072</v>
      </c>
      <c r="G473" s="9">
        <v>6</v>
      </c>
      <c r="H473" s="9">
        <v>84219999</v>
      </c>
      <c r="I473" s="11" t="s">
        <v>2073</v>
      </c>
      <c r="J473" s="12">
        <v>1.6500000000000001E-2</v>
      </c>
      <c r="K473" s="12">
        <v>7.5999999999999998E-2</v>
      </c>
      <c r="L473" s="12">
        <v>5.1999999999999998E-2</v>
      </c>
      <c r="M473" s="13">
        <v>8003453089976</v>
      </c>
      <c r="N473" s="14">
        <v>0.15</v>
      </c>
      <c r="O473" s="14">
        <v>0.16500000000000001</v>
      </c>
      <c r="P473" s="15">
        <v>44835</v>
      </c>
      <c r="Q473" s="16" t="s">
        <v>2907</v>
      </c>
      <c r="R473" s="17" t="s">
        <v>2908</v>
      </c>
      <c r="S473" s="17" t="s">
        <v>35</v>
      </c>
      <c r="T473" s="17" t="s">
        <v>35</v>
      </c>
      <c r="U473" s="17" t="s">
        <v>35</v>
      </c>
      <c r="V473" s="17" t="s">
        <v>35</v>
      </c>
      <c r="W473" s="17" t="s">
        <v>35</v>
      </c>
      <c r="X473" s="17" t="s">
        <v>35</v>
      </c>
      <c r="Y473" s="17" t="s">
        <v>2909</v>
      </c>
      <c r="Z473" s="17" t="s">
        <v>35</v>
      </c>
      <c r="AA473" s="17" t="s">
        <v>35</v>
      </c>
      <c r="AB473" s="17" t="s">
        <v>35</v>
      </c>
      <c r="AC473" s="17" t="s">
        <v>9538</v>
      </c>
      <c r="AD473" s="41">
        <v>72.78</v>
      </c>
      <c r="AE473" s="41">
        <v>76.56</v>
      </c>
      <c r="AF473" s="48"/>
      <c r="AG473" s="44"/>
      <c r="AH473" s="7">
        <f t="shared" si="7"/>
        <v>0</v>
      </c>
      <c r="AI473" s="18"/>
      <c r="AJ473" s="18"/>
    </row>
    <row r="474" spans="1:38" ht="26.65" customHeight="1" x14ac:dyDescent="0.25">
      <c r="A474" s="10" t="s">
        <v>10224</v>
      </c>
      <c r="B474" s="9" t="s">
        <v>57</v>
      </c>
      <c r="C474" s="9" t="s">
        <v>34</v>
      </c>
      <c r="D474" s="9" t="s">
        <v>59</v>
      </c>
      <c r="E474" s="9" t="s">
        <v>35</v>
      </c>
      <c r="F474" s="9" t="s">
        <v>36</v>
      </c>
      <c r="G474" s="9">
        <v>6</v>
      </c>
      <c r="H474" s="9">
        <v>84219999</v>
      </c>
      <c r="I474" s="11" t="s">
        <v>37</v>
      </c>
      <c r="J474" s="12">
        <v>1.6500000000000001E-2</v>
      </c>
      <c r="K474" s="12">
        <v>7.5999999999999998E-2</v>
      </c>
      <c r="L474" s="12">
        <v>5.1999999999999998E-2</v>
      </c>
      <c r="M474" s="13">
        <v>8003453801479</v>
      </c>
      <c r="N474" s="14">
        <v>0</v>
      </c>
      <c r="O474" s="14">
        <v>0</v>
      </c>
      <c r="P474" s="15">
        <v>45566</v>
      </c>
      <c r="Q474" s="16" t="s">
        <v>10225</v>
      </c>
      <c r="R474" s="17" t="s">
        <v>10226</v>
      </c>
      <c r="S474" s="17" t="s">
        <v>10227</v>
      </c>
      <c r="T474" s="17" t="s">
        <v>10228</v>
      </c>
      <c r="U474" s="17" t="s">
        <v>35</v>
      </c>
      <c r="V474" s="17" t="s">
        <v>35</v>
      </c>
      <c r="W474" s="17" t="s">
        <v>35</v>
      </c>
      <c r="X474" s="17" t="s">
        <v>35</v>
      </c>
      <c r="Y474" s="17" t="s">
        <v>10229</v>
      </c>
      <c r="Z474" s="17" t="s">
        <v>10230</v>
      </c>
      <c r="AA474" s="17" t="s">
        <v>35</v>
      </c>
      <c r="AB474" s="17" t="s">
        <v>10229</v>
      </c>
      <c r="AC474" s="17" t="s">
        <v>9539</v>
      </c>
      <c r="AD474" s="41">
        <v>122.28</v>
      </c>
      <c r="AE474" s="41">
        <v>128.63999999999999</v>
      </c>
      <c r="AF474" s="48"/>
      <c r="AG474" s="44"/>
      <c r="AH474" s="7">
        <f t="shared" si="7"/>
        <v>0</v>
      </c>
      <c r="AI474" s="18"/>
      <c r="AJ474" s="18"/>
    </row>
    <row r="475" spans="1:38" ht="26.65" customHeight="1" x14ac:dyDescent="0.25">
      <c r="A475" s="10" t="s">
        <v>2910</v>
      </c>
      <c r="B475" s="9" t="s">
        <v>57</v>
      </c>
      <c r="C475" s="9" t="s">
        <v>43</v>
      </c>
      <c r="D475" s="9" t="s">
        <v>904</v>
      </c>
      <c r="E475" s="9" t="s">
        <v>35</v>
      </c>
      <c r="F475" s="9" t="s">
        <v>36</v>
      </c>
      <c r="G475" s="9">
        <v>6</v>
      </c>
      <c r="H475" s="9">
        <v>84219999</v>
      </c>
      <c r="I475" s="11" t="s">
        <v>37</v>
      </c>
      <c r="J475" s="12">
        <v>1.6500000000000001E-2</v>
      </c>
      <c r="K475" s="12">
        <v>7.5999999999999998E-2</v>
      </c>
      <c r="L475" s="12">
        <v>5.1999999999999998E-2</v>
      </c>
      <c r="M475" s="13">
        <v>8003453089686</v>
      </c>
      <c r="N475" s="14">
        <v>0</v>
      </c>
      <c r="O475" s="14">
        <v>0</v>
      </c>
      <c r="P475" s="15">
        <v>45047</v>
      </c>
      <c r="Q475" s="16" t="s">
        <v>2911</v>
      </c>
      <c r="R475" s="17" t="s">
        <v>2912</v>
      </c>
      <c r="S475" s="17" t="s">
        <v>2913</v>
      </c>
      <c r="T475" s="17" t="s">
        <v>2914</v>
      </c>
      <c r="U475" s="17" t="s">
        <v>2915</v>
      </c>
      <c r="V475" s="17" t="s">
        <v>2916</v>
      </c>
      <c r="W475" s="17" t="s">
        <v>2917</v>
      </c>
      <c r="X475" s="17" t="s">
        <v>2918</v>
      </c>
      <c r="Y475" s="17" t="s">
        <v>2919</v>
      </c>
      <c r="Z475" s="17" t="s">
        <v>35</v>
      </c>
      <c r="AA475" s="17" t="s">
        <v>35</v>
      </c>
      <c r="AB475" s="17" t="s">
        <v>35</v>
      </c>
      <c r="AC475" s="17" t="s">
        <v>9539</v>
      </c>
      <c r="AD475" s="41">
        <v>52.96</v>
      </c>
      <c r="AE475" s="41">
        <v>55.71</v>
      </c>
      <c r="AF475" s="48"/>
      <c r="AG475" s="44"/>
      <c r="AH475" s="7">
        <f t="shared" si="7"/>
        <v>0</v>
      </c>
      <c r="AI475" s="18"/>
      <c r="AJ475" s="18"/>
      <c r="AL475" s="18"/>
    </row>
    <row r="476" spans="1:38" ht="26.65" customHeight="1" x14ac:dyDescent="0.25">
      <c r="A476" s="10" t="s">
        <v>10231</v>
      </c>
      <c r="B476" s="9" t="s">
        <v>57</v>
      </c>
      <c r="C476" s="9" t="s">
        <v>34</v>
      </c>
      <c r="D476" s="9" t="s">
        <v>59</v>
      </c>
      <c r="E476" s="9" t="s">
        <v>35</v>
      </c>
      <c r="F476" s="9" t="s">
        <v>36</v>
      </c>
      <c r="G476" s="9">
        <v>6</v>
      </c>
      <c r="H476" s="9">
        <v>84219999</v>
      </c>
      <c r="I476" s="11" t="s">
        <v>37</v>
      </c>
      <c r="J476" s="12">
        <v>1.6500000000000001E-2</v>
      </c>
      <c r="K476" s="12">
        <v>7.5999999999999998E-2</v>
      </c>
      <c r="L476" s="12">
        <v>5.1999999999999998E-2</v>
      </c>
      <c r="M476" s="13">
        <v>8003453802698</v>
      </c>
      <c r="N476" s="14">
        <v>0</v>
      </c>
      <c r="O476" s="14">
        <v>0</v>
      </c>
      <c r="P476" s="15">
        <v>45566</v>
      </c>
      <c r="Q476" s="16" t="s">
        <v>10232</v>
      </c>
      <c r="R476" s="17">
        <v>4642641</v>
      </c>
      <c r="S476" s="17" t="s">
        <v>10233</v>
      </c>
      <c r="T476" s="17" t="s">
        <v>35</v>
      </c>
      <c r="U476" s="17" t="s">
        <v>35</v>
      </c>
      <c r="V476" s="17" t="s">
        <v>35</v>
      </c>
      <c r="W476" s="17" t="s">
        <v>35</v>
      </c>
      <c r="X476" s="17" t="s">
        <v>35</v>
      </c>
      <c r="Y476" s="17" t="s">
        <v>10234</v>
      </c>
      <c r="Z476" s="17" t="s">
        <v>10235</v>
      </c>
      <c r="AA476" s="17" t="s">
        <v>35</v>
      </c>
      <c r="AB476" s="17" t="s">
        <v>10236</v>
      </c>
      <c r="AC476" s="17" t="s">
        <v>9539</v>
      </c>
      <c r="AD476" s="41">
        <v>48.84</v>
      </c>
      <c r="AE476" s="41">
        <v>51.38</v>
      </c>
      <c r="AF476" s="48"/>
      <c r="AG476" s="44"/>
      <c r="AH476" s="7">
        <f t="shared" si="7"/>
        <v>0</v>
      </c>
      <c r="AI476" s="18"/>
      <c r="AJ476" s="18"/>
    </row>
    <row r="477" spans="1:38" ht="26.65" customHeight="1" x14ac:dyDescent="0.25">
      <c r="A477" s="10" t="s">
        <v>10237</v>
      </c>
      <c r="B477" s="9" t="s">
        <v>57</v>
      </c>
      <c r="C477" s="9" t="s">
        <v>34</v>
      </c>
      <c r="D477" s="9" t="s">
        <v>59</v>
      </c>
      <c r="E477" s="9" t="s">
        <v>35</v>
      </c>
      <c r="F477" s="9" t="s">
        <v>36</v>
      </c>
      <c r="G477" s="9">
        <v>6</v>
      </c>
      <c r="H477" s="9">
        <v>84219999</v>
      </c>
      <c r="I477" s="11" t="s">
        <v>37</v>
      </c>
      <c r="J477" s="12">
        <v>1.6500000000000001E-2</v>
      </c>
      <c r="K477" s="12">
        <v>7.5999999999999998E-2</v>
      </c>
      <c r="L477" s="12">
        <v>5.1999999999999998E-2</v>
      </c>
      <c r="M477" s="13">
        <v>8003453802704</v>
      </c>
      <c r="N477" s="14">
        <v>0</v>
      </c>
      <c r="O477" s="14">
        <v>0</v>
      </c>
      <c r="P477" s="15">
        <v>45566</v>
      </c>
      <c r="Q477" s="16" t="s">
        <v>10238</v>
      </c>
      <c r="R477" s="17">
        <v>26560201</v>
      </c>
      <c r="S477" s="17" t="s">
        <v>35</v>
      </c>
      <c r="T477" s="17" t="s">
        <v>35</v>
      </c>
      <c r="U477" s="17" t="s">
        <v>35</v>
      </c>
      <c r="V477" s="17" t="s">
        <v>35</v>
      </c>
      <c r="W477" s="17" t="s">
        <v>35</v>
      </c>
      <c r="X477" s="17" t="s">
        <v>35</v>
      </c>
      <c r="Y477" s="17" t="s">
        <v>9305</v>
      </c>
      <c r="Z477" s="17" t="s">
        <v>9306</v>
      </c>
      <c r="AA477" s="17" t="s">
        <v>35</v>
      </c>
      <c r="AB477" s="17" t="s">
        <v>10239</v>
      </c>
      <c r="AC477" s="17" t="s">
        <v>9539</v>
      </c>
      <c r="AD477" s="41">
        <v>37.33</v>
      </c>
      <c r="AE477" s="41">
        <v>39.270000000000003</v>
      </c>
      <c r="AF477" s="48"/>
      <c r="AG477" s="44"/>
      <c r="AH477" s="7">
        <f t="shared" si="7"/>
        <v>0</v>
      </c>
      <c r="AI477" s="18"/>
      <c r="AJ477" s="18"/>
    </row>
    <row r="478" spans="1:38" ht="26.65" customHeight="1" x14ac:dyDescent="0.25">
      <c r="A478" s="10" t="s">
        <v>10240</v>
      </c>
      <c r="B478" s="9" t="s">
        <v>57</v>
      </c>
      <c r="C478" s="9" t="s">
        <v>34</v>
      </c>
      <c r="D478" s="9" t="s">
        <v>59</v>
      </c>
      <c r="E478" s="9" t="s">
        <v>35</v>
      </c>
      <c r="F478" s="9" t="s">
        <v>36</v>
      </c>
      <c r="G478" s="9">
        <v>6</v>
      </c>
      <c r="H478" s="9">
        <v>84219999</v>
      </c>
      <c r="I478" s="11" t="s">
        <v>37</v>
      </c>
      <c r="J478" s="12">
        <v>1.6500000000000001E-2</v>
      </c>
      <c r="K478" s="12">
        <v>7.5999999999999998E-2</v>
      </c>
      <c r="L478" s="12">
        <v>5.1999999999999998E-2</v>
      </c>
      <c r="M478" s="13">
        <v>8003453802711</v>
      </c>
      <c r="N478" s="14">
        <v>0</v>
      </c>
      <c r="O478" s="14">
        <v>0</v>
      </c>
      <c r="P478" s="15">
        <v>45566</v>
      </c>
      <c r="Q478" s="16" t="s">
        <v>10241</v>
      </c>
      <c r="R478" s="17">
        <v>26560163</v>
      </c>
      <c r="S478" s="17" t="s">
        <v>9577</v>
      </c>
      <c r="T478" s="17" t="s">
        <v>35</v>
      </c>
      <c r="U478" s="17" t="s">
        <v>35</v>
      </c>
      <c r="V478" s="17" t="s">
        <v>35</v>
      </c>
      <c r="W478" s="17" t="s">
        <v>35</v>
      </c>
      <c r="X478" s="17" t="s">
        <v>35</v>
      </c>
      <c r="Y478" s="17" t="s">
        <v>10242</v>
      </c>
      <c r="Z478" s="17" t="s">
        <v>9578</v>
      </c>
      <c r="AA478" s="17" t="s">
        <v>35</v>
      </c>
      <c r="AB478" s="17" t="s">
        <v>10239</v>
      </c>
      <c r="AC478" s="17" t="s">
        <v>9539</v>
      </c>
      <c r="AD478" s="41">
        <v>35.659999999999997</v>
      </c>
      <c r="AE478" s="41">
        <v>37.51</v>
      </c>
      <c r="AF478" s="48"/>
      <c r="AG478" s="44"/>
      <c r="AH478" s="7">
        <f t="shared" si="7"/>
        <v>0</v>
      </c>
      <c r="AI478" s="18"/>
      <c r="AJ478" s="18"/>
    </row>
    <row r="479" spans="1:38" ht="26.65" customHeight="1" x14ac:dyDescent="0.25">
      <c r="A479" s="10" t="s">
        <v>2920</v>
      </c>
      <c r="B479" s="9" t="s">
        <v>57</v>
      </c>
      <c r="C479" s="9" t="s">
        <v>58</v>
      </c>
      <c r="D479" s="9" t="s">
        <v>59</v>
      </c>
      <c r="E479" s="9" t="s">
        <v>35</v>
      </c>
      <c r="F479" s="9" t="s">
        <v>36</v>
      </c>
      <c r="G479" s="9">
        <v>4</v>
      </c>
      <c r="H479" s="9">
        <v>84219999</v>
      </c>
      <c r="I479" s="11" t="s">
        <v>37</v>
      </c>
      <c r="J479" s="12">
        <v>1.6500000000000001E-2</v>
      </c>
      <c r="K479" s="12">
        <v>7.5999999999999998E-2</v>
      </c>
      <c r="L479" s="12">
        <v>5.1999999999999998E-2</v>
      </c>
      <c r="M479" s="13">
        <v>8003453089723</v>
      </c>
      <c r="N479" s="14">
        <v>0.40899999999999997</v>
      </c>
      <c r="O479" s="14">
        <v>0.48799999999999999</v>
      </c>
      <c r="P479" s="15">
        <v>45078</v>
      </c>
      <c r="Q479" s="16" t="s">
        <v>2921</v>
      </c>
      <c r="R479" s="17" t="s">
        <v>2922</v>
      </c>
      <c r="S479" s="17" t="s">
        <v>2923</v>
      </c>
      <c r="T479" s="17" t="s">
        <v>2924</v>
      </c>
      <c r="U479" s="17" t="s">
        <v>2925</v>
      </c>
      <c r="V479" s="17" t="s">
        <v>2926</v>
      </c>
      <c r="W479" s="17" t="s">
        <v>35</v>
      </c>
      <c r="X479" s="17" t="s">
        <v>35</v>
      </c>
      <c r="Y479" s="17" t="s">
        <v>2927</v>
      </c>
      <c r="Z479" s="17" t="s">
        <v>2928</v>
      </c>
      <c r="AA479" s="17" t="s">
        <v>35</v>
      </c>
      <c r="AB479" s="17" t="s">
        <v>35</v>
      </c>
      <c r="AC479" s="17" t="s">
        <v>9539</v>
      </c>
      <c r="AD479" s="42">
        <v>130.21</v>
      </c>
      <c r="AE479" s="42">
        <v>136.97999999999999</v>
      </c>
      <c r="AF479" s="48"/>
      <c r="AG479" s="44"/>
      <c r="AH479" s="7">
        <f t="shared" si="7"/>
        <v>0</v>
      </c>
      <c r="AI479" s="18"/>
      <c r="AJ479" s="18"/>
    </row>
    <row r="480" spans="1:38" ht="26.65" customHeight="1" x14ac:dyDescent="0.25">
      <c r="A480" s="10" t="s">
        <v>10243</v>
      </c>
      <c r="B480" s="9" t="s">
        <v>57</v>
      </c>
      <c r="C480" s="9" t="s">
        <v>34</v>
      </c>
      <c r="D480" s="9" t="s">
        <v>59</v>
      </c>
      <c r="E480" s="9" t="s">
        <v>35</v>
      </c>
      <c r="F480" s="9" t="s">
        <v>36</v>
      </c>
      <c r="G480" s="9">
        <v>6</v>
      </c>
      <c r="H480" s="9">
        <v>84219999</v>
      </c>
      <c r="I480" s="11" t="s">
        <v>37</v>
      </c>
      <c r="J480" s="12">
        <v>1.6500000000000001E-2</v>
      </c>
      <c r="K480" s="12">
        <v>7.5999999999999998E-2</v>
      </c>
      <c r="L480" s="12">
        <v>5.1999999999999998E-2</v>
      </c>
      <c r="M480" s="13">
        <v>8003453089747</v>
      </c>
      <c r="N480" s="14">
        <v>0</v>
      </c>
      <c r="O480" s="14">
        <v>0</v>
      </c>
      <c r="P480" s="15">
        <v>45566</v>
      </c>
      <c r="Q480" s="16" t="s">
        <v>10244</v>
      </c>
      <c r="R480" s="17" t="s">
        <v>10245</v>
      </c>
      <c r="S480" s="17" t="s">
        <v>10246</v>
      </c>
      <c r="T480" s="17" t="s">
        <v>35</v>
      </c>
      <c r="U480" s="17" t="s">
        <v>35</v>
      </c>
      <c r="V480" s="17" t="s">
        <v>35</v>
      </c>
      <c r="W480" s="17" t="s">
        <v>35</v>
      </c>
      <c r="X480" s="17" t="s">
        <v>35</v>
      </c>
      <c r="Y480" s="17" t="s">
        <v>35</v>
      </c>
      <c r="Z480" s="17" t="s">
        <v>10247</v>
      </c>
      <c r="AA480" s="17" t="s">
        <v>35</v>
      </c>
      <c r="AB480" s="17" t="s">
        <v>10248</v>
      </c>
      <c r="AC480" s="17" t="s">
        <v>9539</v>
      </c>
      <c r="AD480" s="41">
        <v>65.66</v>
      </c>
      <c r="AE480" s="41">
        <v>69.069999999999993</v>
      </c>
      <c r="AF480" s="48"/>
      <c r="AG480" s="44"/>
      <c r="AH480" s="7">
        <f t="shared" si="7"/>
        <v>0</v>
      </c>
      <c r="AI480" s="18"/>
      <c r="AJ480" s="18"/>
    </row>
    <row r="481" spans="1:36" ht="26.65" customHeight="1" x14ac:dyDescent="0.25">
      <c r="A481" s="38" t="s">
        <v>2929</v>
      </c>
      <c r="B481" s="9" t="s">
        <v>57</v>
      </c>
      <c r="C481" s="9" t="s">
        <v>58</v>
      </c>
      <c r="D481" s="9" t="s">
        <v>904</v>
      </c>
      <c r="E481" s="9" t="s">
        <v>35</v>
      </c>
      <c r="F481" s="9" t="s">
        <v>36</v>
      </c>
      <c r="G481" s="9">
        <v>6</v>
      </c>
      <c r="H481" s="9">
        <v>84219999</v>
      </c>
      <c r="I481" s="11" t="s">
        <v>37</v>
      </c>
      <c r="J481" s="12">
        <v>1.6500000000000001E-2</v>
      </c>
      <c r="K481" s="12">
        <v>7.5999999999999998E-2</v>
      </c>
      <c r="L481" s="12">
        <v>5.1999999999999998E-2</v>
      </c>
      <c r="M481" s="13">
        <v>8003453807921</v>
      </c>
      <c r="N481" s="14">
        <v>0.24199999999999999</v>
      </c>
      <c r="O481" s="14">
        <v>0.28100000000000003</v>
      </c>
      <c r="P481" s="15">
        <v>44986</v>
      </c>
      <c r="Q481" s="16" t="s">
        <v>2930</v>
      </c>
      <c r="R481" s="17" t="s">
        <v>2931</v>
      </c>
      <c r="S481" s="17" t="s">
        <v>2932</v>
      </c>
      <c r="T481" s="17" t="s">
        <v>2933</v>
      </c>
      <c r="U481" s="17" t="s">
        <v>35</v>
      </c>
      <c r="V481" s="17" t="s">
        <v>2934</v>
      </c>
      <c r="W481" s="17" t="s">
        <v>35</v>
      </c>
      <c r="X481" s="17" t="s">
        <v>35</v>
      </c>
      <c r="Y481" s="17" t="s">
        <v>2935</v>
      </c>
      <c r="Z481" s="17" t="s">
        <v>2936</v>
      </c>
      <c r="AA481" s="17" t="s">
        <v>8658</v>
      </c>
      <c r="AB481" s="17" t="s">
        <v>35</v>
      </c>
      <c r="AC481" s="17" t="s">
        <v>9538</v>
      </c>
      <c r="AD481" s="41">
        <v>45.94</v>
      </c>
      <c r="AE481" s="41">
        <v>48.33</v>
      </c>
      <c r="AF481" s="48"/>
      <c r="AG481" s="44"/>
      <c r="AH481" s="7">
        <f t="shared" si="7"/>
        <v>0</v>
      </c>
      <c r="AI481" s="18"/>
      <c r="AJ481" s="18"/>
    </row>
    <row r="482" spans="1:36" ht="26.65" customHeight="1" x14ac:dyDescent="0.25">
      <c r="A482" s="38" t="s">
        <v>9299</v>
      </c>
      <c r="B482" s="9" t="s">
        <v>57</v>
      </c>
      <c r="C482" s="9" t="s">
        <v>34</v>
      </c>
      <c r="D482" s="9" t="s">
        <v>59</v>
      </c>
      <c r="E482" s="9" t="s">
        <v>35</v>
      </c>
      <c r="F482" s="9" t="s">
        <v>36</v>
      </c>
      <c r="G482" s="9">
        <v>6</v>
      </c>
      <c r="H482" s="9">
        <v>84219999</v>
      </c>
      <c r="I482" s="11" t="s">
        <v>37</v>
      </c>
      <c r="J482" s="12">
        <v>1.6500000000000001E-2</v>
      </c>
      <c r="K482" s="12">
        <v>7.5999999999999998E-2</v>
      </c>
      <c r="L482" s="12">
        <v>5.1999999999999998E-2</v>
      </c>
      <c r="M482" s="13">
        <v>8003453809451</v>
      </c>
      <c r="N482" s="14">
        <v>0.183</v>
      </c>
      <c r="O482" s="14">
        <v>0.21</v>
      </c>
      <c r="P482" s="15">
        <v>45444</v>
      </c>
      <c r="Q482" s="16" t="s">
        <v>9300</v>
      </c>
      <c r="R482" s="17" t="s">
        <v>9301</v>
      </c>
      <c r="S482" s="17" t="s">
        <v>35</v>
      </c>
      <c r="T482" s="17" t="s">
        <v>9302</v>
      </c>
      <c r="U482" s="17" t="s">
        <v>35</v>
      </c>
      <c r="V482" s="17" t="s">
        <v>9303</v>
      </c>
      <c r="W482" s="17" t="s">
        <v>9304</v>
      </c>
      <c r="X482" s="17" t="s">
        <v>35</v>
      </c>
      <c r="Y482" s="17" t="s">
        <v>9305</v>
      </c>
      <c r="Z482" s="17" t="s">
        <v>9306</v>
      </c>
      <c r="AA482" s="17" t="s">
        <v>9307</v>
      </c>
      <c r="AB482" s="17" t="s">
        <v>35</v>
      </c>
      <c r="AC482" s="17" t="s">
        <v>9538</v>
      </c>
      <c r="AD482" s="42">
        <v>37.020000000000003</v>
      </c>
      <c r="AE482" s="42">
        <v>38.950000000000003</v>
      </c>
      <c r="AF482" s="48"/>
      <c r="AG482" s="44"/>
      <c r="AH482" s="7">
        <f t="shared" si="7"/>
        <v>0</v>
      </c>
      <c r="AI482" s="18"/>
      <c r="AJ482" s="18"/>
    </row>
    <row r="483" spans="1:36" ht="26.65" customHeight="1" x14ac:dyDescent="0.25">
      <c r="A483" s="10" t="s">
        <v>9575</v>
      </c>
      <c r="B483" s="9" t="s">
        <v>57</v>
      </c>
      <c r="C483" s="9" t="s">
        <v>34</v>
      </c>
      <c r="D483" s="9" t="s">
        <v>904</v>
      </c>
      <c r="E483" s="9" t="s">
        <v>35</v>
      </c>
      <c r="F483" s="9" t="s">
        <v>36</v>
      </c>
      <c r="G483" s="9">
        <v>12</v>
      </c>
      <c r="H483" s="9">
        <v>84219999</v>
      </c>
      <c r="I483" s="11" t="s">
        <v>37</v>
      </c>
      <c r="J483" s="12">
        <v>1.6500000000000001E-2</v>
      </c>
      <c r="K483" s="12">
        <v>7.5999999999999998E-2</v>
      </c>
      <c r="L483" s="12">
        <v>5.1999999999999998E-2</v>
      </c>
      <c r="M483" s="13">
        <v>8003453089853</v>
      </c>
      <c r="N483" s="14">
        <v>0.13700000000000001</v>
      </c>
      <c r="O483" s="14">
        <v>0.16700000000000001</v>
      </c>
      <c r="P483" s="15">
        <v>45474</v>
      </c>
      <c r="Q483" s="16" t="s">
        <v>9576</v>
      </c>
      <c r="R483" s="17" t="s">
        <v>35</v>
      </c>
      <c r="S483" s="17" t="s">
        <v>9577</v>
      </c>
      <c r="T483" s="17" t="s">
        <v>35</v>
      </c>
      <c r="U483" s="17" t="s">
        <v>35</v>
      </c>
      <c r="V483" s="17" t="s">
        <v>35</v>
      </c>
      <c r="W483" s="17" t="s">
        <v>35</v>
      </c>
      <c r="X483" s="17" t="s">
        <v>35</v>
      </c>
      <c r="Y483" s="17" t="s">
        <v>35</v>
      </c>
      <c r="Z483" s="17" t="s">
        <v>9578</v>
      </c>
      <c r="AA483" s="17" t="s">
        <v>35</v>
      </c>
      <c r="AB483" s="17" t="s">
        <v>9579</v>
      </c>
      <c r="AC483" s="17" t="s">
        <v>9539</v>
      </c>
      <c r="AD483" s="42">
        <v>45.56</v>
      </c>
      <c r="AE483" s="42">
        <v>47.93</v>
      </c>
      <c r="AF483" s="48"/>
      <c r="AG483" s="44"/>
      <c r="AH483" s="7">
        <f t="shared" si="7"/>
        <v>0</v>
      </c>
      <c r="AI483" s="18"/>
      <c r="AJ483" s="18"/>
    </row>
    <row r="484" spans="1:36" ht="26.65" customHeight="1" x14ac:dyDescent="0.25">
      <c r="A484" s="10" t="s">
        <v>10249</v>
      </c>
      <c r="B484" s="9" t="s">
        <v>57</v>
      </c>
      <c r="C484" s="9" t="s">
        <v>58</v>
      </c>
      <c r="D484" s="9" t="s">
        <v>59</v>
      </c>
      <c r="E484" s="9" t="s">
        <v>35</v>
      </c>
      <c r="F484" s="9" t="s">
        <v>36</v>
      </c>
      <c r="G484" s="9">
        <v>6</v>
      </c>
      <c r="H484" s="9">
        <v>84219999</v>
      </c>
      <c r="I484" s="11" t="s">
        <v>37</v>
      </c>
      <c r="J484" s="12">
        <v>1.6500000000000001E-2</v>
      </c>
      <c r="K484" s="12">
        <v>7.5999999999999998E-2</v>
      </c>
      <c r="L484" s="12">
        <v>5.1999999999999998E-2</v>
      </c>
      <c r="M484" s="13">
        <v>8003453089877</v>
      </c>
      <c r="N484" s="14">
        <v>0</v>
      </c>
      <c r="O484" s="14">
        <v>0</v>
      </c>
      <c r="P484" s="15">
        <v>45566</v>
      </c>
      <c r="Q484" s="16" t="s">
        <v>10250</v>
      </c>
      <c r="R484" s="17" t="s">
        <v>10251</v>
      </c>
      <c r="S484" s="17" t="s">
        <v>35</v>
      </c>
      <c r="T484" s="17" t="s">
        <v>35</v>
      </c>
      <c r="U484" s="17" t="s">
        <v>35</v>
      </c>
      <c r="V484" s="17" t="s">
        <v>35</v>
      </c>
      <c r="W484" s="17" t="s">
        <v>35</v>
      </c>
      <c r="X484" s="17" t="s">
        <v>35</v>
      </c>
      <c r="Y484" s="17" t="s">
        <v>35</v>
      </c>
      <c r="Z484" s="17" t="s">
        <v>35</v>
      </c>
      <c r="AA484" s="17" t="s">
        <v>35</v>
      </c>
      <c r="AB484" s="17" t="s">
        <v>10252</v>
      </c>
      <c r="AC484" s="17" t="s">
        <v>9539</v>
      </c>
      <c r="AD484" s="41">
        <v>46.38</v>
      </c>
      <c r="AE484" s="41">
        <v>48.79</v>
      </c>
      <c r="AF484" s="48"/>
      <c r="AG484" s="44"/>
      <c r="AH484" s="7">
        <f t="shared" si="7"/>
        <v>0</v>
      </c>
      <c r="AI484" s="18"/>
      <c r="AJ484" s="18"/>
    </row>
    <row r="485" spans="1:36" ht="26.65" customHeight="1" x14ac:dyDescent="0.25">
      <c r="A485" s="38" t="s">
        <v>9308</v>
      </c>
      <c r="B485" s="9" t="s">
        <v>57</v>
      </c>
      <c r="C485" s="9" t="s">
        <v>58</v>
      </c>
      <c r="D485" s="9" t="s">
        <v>59</v>
      </c>
      <c r="E485" s="9" t="s">
        <v>122</v>
      </c>
      <c r="F485" s="9" t="s">
        <v>36</v>
      </c>
      <c r="G485" s="9">
        <v>8</v>
      </c>
      <c r="H485" s="9">
        <v>84219999</v>
      </c>
      <c r="I485" s="11" t="s">
        <v>37</v>
      </c>
      <c r="J485" s="12">
        <v>1.6500000000000001E-2</v>
      </c>
      <c r="K485" s="12">
        <v>7.5999999999999998E-2</v>
      </c>
      <c r="L485" s="12">
        <v>5.1999999999999998E-2</v>
      </c>
      <c r="M485" s="13">
        <v>8003453090064</v>
      </c>
      <c r="N485" s="14">
        <v>0.28799999999999998</v>
      </c>
      <c r="O485" s="14">
        <v>0.186</v>
      </c>
      <c r="P485" s="15">
        <v>45444</v>
      </c>
      <c r="Q485" s="16" t="s">
        <v>9309</v>
      </c>
      <c r="R485" s="17" t="s">
        <v>9310</v>
      </c>
      <c r="S485" s="17" t="s">
        <v>35</v>
      </c>
      <c r="T485" s="17" t="s">
        <v>35</v>
      </c>
      <c r="U485" s="17" t="s">
        <v>35</v>
      </c>
      <c r="V485" s="17" t="s">
        <v>35</v>
      </c>
      <c r="W485" s="17" t="s">
        <v>35</v>
      </c>
      <c r="X485" s="17" t="s">
        <v>35</v>
      </c>
      <c r="Y485" s="17" t="s">
        <v>35</v>
      </c>
      <c r="Z485" s="17" t="s">
        <v>35</v>
      </c>
      <c r="AA485" s="17" t="s">
        <v>35</v>
      </c>
      <c r="AB485" s="17" t="s">
        <v>35</v>
      </c>
      <c r="AC485" s="17" t="s">
        <v>9538</v>
      </c>
      <c r="AD485" s="42">
        <v>81.78</v>
      </c>
      <c r="AE485" s="42">
        <v>86.03</v>
      </c>
      <c r="AF485" s="48"/>
      <c r="AG485" s="44"/>
      <c r="AH485" s="7">
        <f t="shared" si="7"/>
        <v>0</v>
      </c>
      <c r="AI485" s="18"/>
      <c r="AJ485" s="18"/>
    </row>
    <row r="486" spans="1:36" ht="26.65" customHeight="1" x14ac:dyDescent="0.25">
      <c r="A486" s="10" t="s">
        <v>2937</v>
      </c>
      <c r="B486" s="9" t="s">
        <v>57</v>
      </c>
      <c r="C486" s="9" t="s">
        <v>58</v>
      </c>
      <c r="D486" s="9" t="s">
        <v>2938</v>
      </c>
      <c r="E486" s="9" t="s">
        <v>35</v>
      </c>
      <c r="F486" s="9" t="s">
        <v>36</v>
      </c>
      <c r="G486" s="9">
        <v>3</v>
      </c>
      <c r="H486" s="9">
        <v>84219999</v>
      </c>
      <c r="I486" s="11" t="s">
        <v>37</v>
      </c>
      <c r="J486" s="12">
        <v>1.6500000000000001E-2</v>
      </c>
      <c r="K486" s="12">
        <v>7.5999999999999998E-2</v>
      </c>
      <c r="L486" s="12">
        <v>5.1999999999999998E-2</v>
      </c>
      <c r="M486" s="13">
        <v>8003453807327</v>
      </c>
      <c r="N486" s="14">
        <v>0.47499999999999998</v>
      </c>
      <c r="O486" s="14">
        <v>0.48</v>
      </c>
      <c r="P486" s="15">
        <v>44986</v>
      </c>
      <c r="Q486" s="16" t="s">
        <v>2939</v>
      </c>
      <c r="R486" s="17" t="s">
        <v>2940</v>
      </c>
      <c r="S486" s="17" t="s">
        <v>2941</v>
      </c>
      <c r="T486" s="17" t="s">
        <v>2942</v>
      </c>
      <c r="U486" s="17" t="s">
        <v>35</v>
      </c>
      <c r="V486" s="17" t="s">
        <v>35</v>
      </c>
      <c r="W486" s="17" t="s">
        <v>35</v>
      </c>
      <c r="X486" s="17" t="s">
        <v>35</v>
      </c>
      <c r="Y486" s="17" t="s">
        <v>2943</v>
      </c>
      <c r="Z486" s="17" t="s">
        <v>35</v>
      </c>
      <c r="AA486" s="17" t="s">
        <v>35</v>
      </c>
      <c r="AB486" s="17" t="s">
        <v>35</v>
      </c>
      <c r="AC486" s="17" t="s">
        <v>9539</v>
      </c>
      <c r="AD486" s="42">
        <v>141.21</v>
      </c>
      <c r="AE486" s="42">
        <v>148.55000000000001</v>
      </c>
      <c r="AF486" s="48"/>
      <c r="AG486" s="44"/>
      <c r="AH486" s="7">
        <f t="shared" si="7"/>
        <v>0</v>
      </c>
      <c r="AI486" s="18"/>
      <c r="AJ486" s="18"/>
    </row>
    <row r="487" spans="1:36" ht="26.65" customHeight="1" x14ac:dyDescent="0.25">
      <c r="A487" s="10" t="s">
        <v>10253</v>
      </c>
      <c r="B487" s="9" t="s">
        <v>57</v>
      </c>
      <c r="C487" s="9" t="s">
        <v>34</v>
      </c>
      <c r="D487" s="9" t="s">
        <v>59</v>
      </c>
      <c r="E487" s="9" t="s">
        <v>35</v>
      </c>
      <c r="F487" s="9" t="s">
        <v>36</v>
      </c>
      <c r="G487" s="9">
        <v>6</v>
      </c>
      <c r="H487" s="9">
        <v>84219999</v>
      </c>
      <c r="I487" s="11" t="s">
        <v>37</v>
      </c>
      <c r="J487" s="12">
        <v>1.6500000000000001E-2</v>
      </c>
      <c r="K487" s="12">
        <v>7.5999999999999998E-2</v>
      </c>
      <c r="L487" s="12">
        <v>5.1999999999999998E-2</v>
      </c>
      <c r="M487" s="13">
        <v>8003453807693</v>
      </c>
      <c r="N487" s="14">
        <v>0</v>
      </c>
      <c r="O487" s="14">
        <v>0</v>
      </c>
      <c r="P487" s="15">
        <v>45566</v>
      </c>
      <c r="Q487" s="16" t="s">
        <v>10093</v>
      </c>
      <c r="R487" s="17" t="s">
        <v>10254</v>
      </c>
      <c r="S487" s="17" t="s">
        <v>35</v>
      </c>
      <c r="T487" s="17" t="s">
        <v>35</v>
      </c>
      <c r="U487" s="17" t="s">
        <v>35</v>
      </c>
      <c r="V487" s="17" t="s">
        <v>35</v>
      </c>
      <c r="W487" s="17" t="s">
        <v>35</v>
      </c>
      <c r="X487" s="17" t="s">
        <v>35</v>
      </c>
      <c r="Y487" s="17" t="s">
        <v>35</v>
      </c>
      <c r="Z487" s="17" t="s">
        <v>35</v>
      </c>
      <c r="AA487" s="17" t="s">
        <v>35</v>
      </c>
      <c r="AB487" s="17" t="s">
        <v>10255</v>
      </c>
      <c r="AC487" s="17" t="s">
        <v>9539</v>
      </c>
      <c r="AD487" s="41">
        <v>56.88</v>
      </c>
      <c r="AE487" s="41">
        <v>59.84</v>
      </c>
      <c r="AF487" s="48"/>
      <c r="AG487" s="44"/>
      <c r="AH487" s="7">
        <f t="shared" si="7"/>
        <v>0</v>
      </c>
      <c r="AI487" s="18"/>
      <c r="AJ487" s="18"/>
    </row>
    <row r="488" spans="1:36" ht="26.65" customHeight="1" x14ac:dyDescent="0.25">
      <c r="A488" s="10" t="s">
        <v>10256</v>
      </c>
      <c r="B488" s="9" t="s">
        <v>57</v>
      </c>
      <c r="C488" s="9" t="s">
        <v>34</v>
      </c>
      <c r="D488" s="9" t="s">
        <v>59</v>
      </c>
      <c r="E488" s="9" t="s">
        <v>35</v>
      </c>
      <c r="F488" s="9" t="s">
        <v>36</v>
      </c>
      <c r="G488" s="9">
        <v>6</v>
      </c>
      <c r="H488" s="9">
        <v>84219999</v>
      </c>
      <c r="I488" s="11" t="s">
        <v>37</v>
      </c>
      <c r="J488" s="12">
        <v>1.6500000000000001E-2</v>
      </c>
      <c r="K488" s="12">
        <v>7.5999999999999998E-2</v>
      </c>
      <c r="L488" s="12">
        <v>5.1999999999999998E-2</v>
      </c>
      <c r="M488" s="13">
        <v>8003453807709</v>
      </c>
      <c r="N488" s="14">
        <v>0</v>
      </c>
      <c r="O488" s="14">
        <v>0</v>
      </c>
      <c r="P488" s="15">
        <v>45566</v>
      </c>
      <c r="Q488" s="16" t="s">
        <v>10257</v>
      </c>
      <c r="R488" s="17" t="s">
        <v>10258</v>
      </c>
      <c r="S488" s="17" t="s">
        <v>35</v>
      </c>
      <c r="T488" s="17" t="s">
        <v>35</v>
      </c>
      <c r="U488" s="17" t="s">
        <v>35</v>
      </c>
      <c r="V488" s="17" t="s">
        <v>35</v>
      </c>
      <c r="W488" s="17" t="s">
        <v>35</v>
      </c>
      <c r="X488" s="17" t="s">
        <v>35</v>
      </c>
      <c r="Y488" s="17" t="s">
        <v>35</v>
      </c>
      <c r="Z488" s="17" t="s">
        <v>35</v>
      </c>
      <c r="AA488" s="17" t="s">
        <v>35</v>
      </c>
      <c r="AB488" s="17" t="s">
        <v>10259</v>
      </c>
      <c r="AC488" s="17" t="s">
        <v>9539</v>
      </c>
      <c r="AD488" s="41">
        <v>27.81</v>
      </c>
      <c r="AE488" s="41">
        <v>29.26</v>
      </c>
      <c r="AF488" s="48"/>
      <c r="AG488" s="44"/>
      <c r="AH488" s="7">
        <f t="shared" si="7"/>
        <v>0</v>
      </c>
      <c r="AI488" s="18"/>
      <c r="AJ488" s="18"/>
    </row>
    <row r="489" spans="1:36" ht="26.65" customHeight="1" x14ac:dyDescent="0.25">
      <c r="A489" s="38" t="s">
        <v>2944</v>
      </c>
      <c r="B489" s="9" t="s">
        <v>57</v>
      </c>
      <c r="C489" s="9" t="s">
        <v>58</v>
      </c>
      <c r="D489" s="9" t="s">
        <v>59</v>
      </c>
      <c r="E489" s="9" t="s">
        <v>35</v>
      </c>
      <c r="F489" s="9" t="s">
        <v>2072</v>
      </c>
      <c r="G489" s="9">
        <v>6</v>
      </c>
      <c r="H489" s="9">
        <v>84219999</v>
      </c>
      <c r="I489" s="11" t="s">
        <v>2073</v>
      </c>
      <c r="J489" s="12">
        <v>1.6500000000000001E-2</v>
      </c>
      <c r="K489" s="12">
        <v>7.5999999999999998E-2</v>
      </c>
      <c r="L489" s="12">
        <v>5.1999999999999998E-2</v>
      </c>
      <c r="M489" s="13">
        <v>8003453808638</v>
      </c>
      <c r="N489" s="14" t="s">
        <v>35</v>
      </c>
      <c r="O489" s="14" t="s">
        <v>35</v>
      </c>
      <c r="P489" s="15">
        <v>45139</v>
      </c>
      <c r="Q489" s="16" t="s">
        <v>2945</v>
      </c>
      <c r="R489" s="17" t="s">
        <v>2946</v>
      </c>
      <c r="S489" s="17" t="s">
        <v>2947</v>
      </c>
      <c r="T489" s="17" t="s">
        <v>2948</v>
      </c>
      <c r="U489" s="17" t="s">
        <v>35</v>
      </c>
      <c r="V489" s="17" t="s">
        <v>2949</v>
      </c>
      <c r="W489" s="17" t="s">
        <v>35</v>
      </c>
      <c r="X489" s="17" t="s">
        <v>35</v>
      </c>
      <c r="Y489" s="17" t="s">
        <v>2950</v>
      </c>
      <c r="Z489" s="17" t="s">
        <v>2951</v>
      </c>
      <c r="AA489" s="17" t="s">
        <v>2952</v>
      </c>
      <c r="AB489" s="17" t="s">
        <v>35</v>
      </c>
      <c r="AC489" s="17" t="s">
        <v>9538</v>
      </c>
      <c r="AD489" s="41">
        <v>40.299999999999997</v>
      </c>
      <c r="AE489" s="41">
        <v>42.4</v>
      </c>
      <c r="AF489" s="48"/>
      <c r="AG489" s="44"/>
      <c r="AH489" s="7">
        <f t="shared" si="7"/>
        <v>0</v>
      </c>
      <c r="AI489" s="18"/>
      <c r="AJ489" s="18"/>
    </row>
    <row r="490" spans="1:36" ht="26.65" customHeight="1" x14ac:dyDescent="0.25">
      <c r="A490" s="10" t="s">
        <v>2953</v>
      </c>
      <c r="B490" s="9" t="s">
        <v>57</v>
      </c>
      <c r="C490" s="9" t="s">
        <v>58</v>
      </c>
      <c r="D490" s="9" t="s">
        <v>59</v>
      </c>
      <c r="E490" s="9" t="s">
        <v>35</v>
      </c>
      <c r="F490" s="9" t="s">
        <v>2072</v>
      </c>
      <c r="G490" s="9">
        <v>6</v>
      </c>
      <c r="H490" s="9">
        <v>84219999</v>
      </c>
      <c r="I490" s="11" t="s">
        <v>2073</v>
      </c>
      <c r="J490" s="12">
        <v>1.6500000000000001E-2</v>
      </c>
      <c r="K490" s="12">
        <v>7.5999999999999998E-2</v>
      </c>
      <c r="L490" s="12">
        <v>5.1999999999999998E-2</v>
      </c>
      <c r="M490" s="13">
        <v>8003453808645</v>
      </c>
      <c r="N490" s="14" t="s">
        <v>35</v>
      </c>
      <c r="O490" s="14" t="s">
        <v>35</v>
      </c>
      <c r="P490" s="15">
        <v>45139</v>
      </c>
      <c r="Q490" s="16" t="s">
        <v>2954</v>
      </c>
      <c r="R490" s="17" t="s">
        <v>2955</v>
      </c>
      <c r="S490" s="17" t="s">
        <v>2956</v>
      </c>
      <c r="T490" s="17" t="s">
        <v>2957</v>
      </c>
      <c r="U490" s="17" t="s">
        <v>35</v>
      </c>
      <c r="V490" s="17" t="s">
        <v>35</v>
      </c>
      <c r="W490" s="17" t="s">
        <v>35</v>
      </c>
      <c r="X490" s="17" t="s">
        <v>35</v>
      </c>
      <c r="Y490" s="17" t="s">
        <v>2958</v>
      </c>
      <c r="Z490" s="17" t="s">
        <v>2959</v>
      </c>
      <c r="AA490" s="17" t="s">
        <v>2960</v>
      </c>
      <c r="AB490" s="17" t="s">
        <v>35</v>
      </c>
      <c r="AC490" s="17" t="s">
        <v>9539</v>
      </c>
      <c r="AD490" s="41">
        <v>43.68</v>
      </c>
      <c r="AE490" s="41">
        <v>45.95</v>
      </c>
      <c r="AF490" s="48"/>
      <c r="AG490" s="44"/>
      <c r="AH490" s="7">
        <f t="shared" si="7"/>
        <v>0</v>
      </c>
      <c r="AI490" s="18"/>
      <c r="AJ490" s="18"/>
    </row>
    <row r="491" spans="1:36" ht="26.65" customHeight="1" x14ac:dyDescent="0.25">
      <c r="A491" s="38" t="s">
        <v>2961</v>
      </c>
      <c r="B491" s="9" t="s">
        <v>57</v>
      </c>
      <c r="C491" s="9" t="s">
        <v>58</v>
      </c>
      <c r="D491" s="9" t="s">
        <v>59</v>
      </c>
      <c r="E491" s="9" t="s">
        <v>35</v>
      </c>
      <c r="F491" s="9" t="s">
        <v>2072</v>
      </c>
      <c r="G491" s="9">
        <v>6</v>
      </c>
      <c r="H491" s="9">
        <v>84219999</v>
      </c>
      <c r="I491" s="11" t="s">
        <v>2073</v>
      </c>
      <c r="J491" s="12">
        <v>1.6500000000000001E-2</v>
      </c>
      <c r="K491" s="12">
        <v>7.5999999999999998E-2</v>
      </c>
      <c r="L491" s="12">
        <v>5.1999999999999998E-2</v>
      </c>
      <c r="M491" s="13">
        <v>8003453808652</v>
      </c>
      <c r="N491" s="14" t="s">
        <v>35</v>
      </c>
      <c r="O491" s="14" t="s">
        <v>35</v>
      </c>
      <c r="P491" s="15">
        <v>45139</v>
      </c>
      <c r="Q491" s="16" t="s">
        <v>2962</v>
      </c>
      <c r="R491" s="17" t="s">
        <v>2963</v>
      </c>
      <c r="S491" s="17" t="s">
        <v>2964</v>
      </c>
      <c r="T491" s="17" t="s">
        <v>2965</v>
      </c>
      <c r="U491" s="17" t="s">
        <v>35</v>
      </c>
      <c r="V491" s="17" t="s">
        <v>2966</v>
      </c>
      <c r="W491" s="17" t="s">
        <v>35</v>
      </c>
      <c r="X491" s="17" t="s">
        <v>35</v>
      </c>
      <c r="Y491" s="17" t="s">
        <v>2967</v>
      </c>
      <c r="Z491" s="17" t="s">
        <v>2968</v>
      </c>
      <c r="AA491" s="17" t="s">
        <v>2969</v>
      </c>
      <c r="AB491" s="17" t="s">
        <v>35</v>
      </c>
      <c r="AC491" s="17" t="s">
        <v>9538</v>
      </c>
      <c r="AD491" s="41">
        <v>44.73</v>
      </c>
      <c r="AE491" s="41">
        <v>47.06</v>
      </c>
      <c r="AF491" s="48"/>
      <c r="AG491" s="44"/>
      <c r="AH491" s="7">
        <f t="shared" si="7"/>
        <v>0</v>
      </c>
      <c r="AI491" s="18"/>
      <c r="AJ491" s="18"/>
    </row>
    <row r="492" spans="1:36" ht="26.65" customHeight="1" x14ac:dyDescent="0.25">
      <c r="A492" s="38" t="s">
        <v>2970</v>
      </c>
      <c r="B492" s="9" t="s">
        <v>57</v>
      </c>
      <c r="C492" s="9" t="s">
        <v>58</v>
      </c>
      <c r="D492" s="9" t="s">
        <v>59</v>
      </c>
      <c r="E492" s="9" t="s">
        <v>35</v>
      </c>
      <c r="F492" s="9" t="s">
        <v>2072</v>
      </c>
      <c r="G492" s="9">
        <v>6</v>
      </c>
      <c r="H492" s="9">
        <v>84219999</v>
      </c>
      <c r="I492" s="11" t="s">
        <v>2073</v>
      </c>
      <c r="J492" s="12">
        <v>1.6500000000000001E-2</v>
      </c>
      <c r="K492" s="12">
        <v>7.5999999999999998E-2</v>
      </c>
      <c r="L492" s="12">
        <v>5.1999999999999998E-2</v>
      </c>
      <c r="M492" s="13">
        <v>8003453808669</v>
      </c>
      <c r="N492" s="14" t="s">
        <v>35</v>
      </c>
      <c r="O492" s="14" t="s">
        <v>35</v>
      </c>
      <c r="P492" s="15">
        <v>45139</v>
      </c>
      <c r="Q492" s="16" t="s">
        <v>2971</v>
      </c>
      <c r="R492" s="17" t="s">
        <v>2972</v>
      </c>
      <c r="S492" s="17" t="s">
        <v>2973</v>
      </c>
      <c r="T492" s="17" t="s">
        <v>35</v>
      </c>
      <c r="U492" s="17" t="s">
        <v>35</v>
      </c>
      <c r="V492" s="17" t="s">
        <v>35</v>
      </c>
      <c r="W492" s="17" t="s">
        <v>35</v>
      </c>
      <c r="X492" s="17" t="s">
        <v>35</v>
      </c>
      <c r="Y492" s="17" t="s">
        <v>2974</v>
      </c>
      <c r="Z492" s="17" t="s">
        <v>35</v>
      </c>
      <c r="AA492" s="17" t="s">
        <v>2975</v>
      </c>
      <c r="AB492" s="17" t="s">
        <v>35</v>
      </c>
      <c r="AC492" s="17" t="s">
        <v>9538</v>
      </c>
      <c r="AD492" s="41">
        <v>30.3</v>
      </c>
      <c r="AE492" s="41">
        <v>31.88</v>
      </c>
      <c r="AF492" s="48"/>
      <c r="AG492" s="44"/>
      <c r="AH492" s="7">
        <f t="shared" si="7"/>
        <v>0</v>
      </c>
      <c r="AI492" s="18"/>
      <c r="AJ492" s="18"/>
    </row>
    <row r="493" spans="1:36" ht="26.65" customHeight="1" x14ac:dyDescent="0.25">
      <c r="A493" s="38" t="s">
        <v>2976</v>
      </c>
      <c r="B493" s="9" t="s">
        <v>57</v>
      </c>
      <c r="C493" s="9" t="s">
        <v>58</v>
      </c>
      <c r="D493" s="9" t="s">
        <v>59</v>
      </c>
      <c r="E493" s="9" t="s">
        <v>35</v>
      </c>
      <c r="F493" s="9" t="s">
        <v>2072</v>
      </c>
      <c r="G493" s="9">
        <v>6</v>
      </c>
      <c r="H493" s="9">
        <v>84219999</v>
      </c>
      <c r="I493" s="11" t="s">
        <v>2073</v>
      </c>
      <c r="J493" s="12">
        <v>1.6500000000000001E-2</v>
      </c>
      <c r="K493" s="12">
        <v>7.5999999999999998E-2</v>
      </c>
      <c r="L493" s="12">
        <v>5.1999999999999998E-2</v>
      </c>
      <c r="M493" s="13">
        <v>8003453808676</v>
      </c>
      <c r="N493" s="14" t="s">
        <v>35</v>
      </c>
      <c r="O493" s="14" t="s">
        <v>35</v>
      </c>
      <c r="P493" s="15">
        <v>45139</v>
      </c>
      <c r="Q493" s="16" t="s">
        <v>2977</v>
      </c>
      <c r="R493" s="17" t="s">
        <v>2978</v>
      </c>
      <c r="S493" s="17" t="s">
        <v>2979</v>
      </c>
      <c r="T493" s="17" t="s">
        <v>35</v>
      </c>
      <c r="U493" s="17" t="s">
        <v>35</v>
      </c>
      <c r="V493" s="17" t="s">
        <v>35</v>
      </c>
      <c r="W493" s="17" t="s">
        <v>35</v>
      </c>
      <c r="X493" s="17" t="s">
        <v>35</v>
      </c>
      <c r="Y493" s="17" t="s">
        <v>35</v>
      </c>
      <c r="Z493" s="17" t="s">
        <v>35</v>
      </c>
      <c r="AA493" s="17" t="s">
        <v>2980</v>
      </c>
      <c r="AB493" s="17" t="s">
        <v>35</v>
      </c>
      <c r="AC493" s="17" t="s">
        <v>9538</v>
      </c>
      <c r="AD493" s="41">
        <v>44.44</v>
      </c>
      <c r="AE493" s="41">
        <v>46.75</v>
      </c>
      <c r="AF493" s="48"/>
      <c r="AG493" s="44"/>
      <c r="AH493" s="7">
        <f t="shared" si="7"/>
        <v>0</v>
      </c>
      <c r="AI493" s="18"/>
      <c r="AJ493" s="18"/>
    </row>
    <row r="494" spans="1:36" ht="26.65" customHeight="1" x14ac:dyDescent="0.25">
      <c r="A494" s="10" t="s">
        <v>10260</v>
      </c>
      <c r="B494" s="9" t="s">
        <v>57</v>
      </c>
      <c r="C494" s="9" t="s">
        <v>34</v>
      </c>
      <c r="D494" s="9" t="s">
        <v>59</v>
      </c>
      <c r="E494" s="9" t="s">
        <v>35</v>
      </c>
      <c r="F494" s="9" t="s">
        <v>36</v>
      </c>
      <c r="G494" s="9">
        <v>6</v>
      </c>
      <c r="H494" s="9">
        <v>84219999</v>
      </c>
      <c r="I494" s="11" t="s">
        <v>37</v>
      </c>
      <c r="J494" s="12">
        <v>1.6500000000000001E-2</v>
      </c>
      <c r="K494" s="12">
        <v>7.5999999999999998E-2</v>
      </c>
      <c r="L494" s="12">
        <v>5.1999999999999998E-2</v>
      </c>
      <c r="M494" s="13">
        <v>8003453809178</v>
      </c>
      <c r="N494" s="14">
        <v>0</v>
      </c>
      <c r="O494" s="14">
        <v>0</v>
      </c>
      <c r="P494" s="15">
        <v>45566</v>
      </c>
      <c r="Q494" s="16" t="s">
        <v>10261</v>
      </c>
      <c r="R494" s="17" t="s">
        <v>10262</v>
      </c>
      <c r="S494" s="17" t="s">
        <v>35</v>
      </c>
      <c r="T494" s="17" t="s">
        <v>35</v>
      </c>
      <c r="U494" s="17" t="s">
        <v>35</v>
      </c>
      <c r="V494" s="17" t="s">
        <v>35</v>
      </c>
      <c r="W494" s="17" t="s">
        <v>35</v>
      </c>
      <c r="X494" s="17" t="s">
        <v>35</v>
      </c>
      <c r="Y494" s="17" t="s">
        <v>35</v>
      </c>
      <c r="Z494" s="17" t="s">
        <v>35</v>
      </c>
      <c r="AA494" s="17" t="s">
        <v>35</v>
      </c>
      <c r="AB494" s="17" t="s">
        <v>10263</v>
      </c>
      <c r="AC494" s="17" t="s">
        <v>9539</v>
      </c>
      <c r="AD494" s="41">
        <v>56.44</v>
      </c>
      <c r="AE494" s="41">
        <v>59.37</v>
      </c>
      <c r="AF494" s="48"/>
      <c r="AG494" s="44"/>
      <c r="AH494" s="7">
        <f t="shared" si="7"/>
        <v>0</v>
      </c>
      <c r="AI494" s="18"/>
      <c r="AJ494" s="18"/>
    </row>
    <row r="495" spans="1:36" ht="26.65" customHeight="1" x14ac:dyDescent="0.25">
      <c r="A495" s="10" t="s">
        <v>10264</v>
      </c>
      <c r="B495" s="9" t="s">
        <v>57</v>
      </c>
      <c r="C495" s="9" t="s">
        <v>58</v>
      </c>
      <c r="D495" s="9" t="s">
        <v>59</v>
      </c>
      <c r="E495" s="9" t="s">
        <v>35</v>
      </c>
      <c r="F495" s="9" t="s">
        <v>2072</v>
      </c>
      <c r="G495" s="9">
        <v>6</v>
      </c>
      <c r="H495" s="9">
        <v>84219999</v>
      </c>
      <c r="I495" s="11" t="s">
        <v>2073</v>
      </c>
      <c r="J495" s="12">
        <v>1.6500000000000001E-2</v>
      </c>
      <c r="K495" s="12">
        <v>7.5999999999999998E-2</v>
      </c>
      <c r="L495" s="12">
        <v>5.1999999999999998E-2</v>
      </c>
      <c r="M495" s="13" t="s">
        <v>35</v>
      </c>
      <c r="N495" s="14">
        <v>0</v>
      </c>
      <c r="O495" s="14">
        <v>0</v>
      </c>
      <c r="P495" s="15">
        <v>45566</v>
      </c>
      <c r="Q495" s="16" t="s">
        <v>10265</v>
      </c>
      <c r="R495" s="17" t="s">
        <v>10266</v>
      </c>
      <c r="S495" s="17" t="s">
        <v>35</v>
      </c>
      <c r="T495" s="17" t="s">
        <v>35</v>
      </c>
      <c r="U495" s="17" t="s">
        <v>35</v>
      </c>
      <c r="V495" s="17" t="s">
        <v>35</v>
      </c>
      <c r="W495" s="17" t="s">
        <v>35</v>
      </c>
      <c r="X495" s="17" t="s">
        <v>35</v>
      </c>
      <c r="Y495" s="17" t="s">
        <v>35</v>
      </c>
      <c r="Z495" s="17" t="s">
        <v>10267</v>
      </c>
      <c r="AA495" s="17" t="s">
        <v>35</v>
      </c>
      <c r="AB495" s="17" t="s">
        <v>10268</v>
      </c>
      <c r="AC495" s="17" t="s">
        <v>9539</v>
      </c>
      <c r="AD495" s="41">
        <v>107.76</v>
      </c>
      <c r="AE495" s="41">
        <v>113.36</v>
      </c>
      <c r="AF495" s="48"/>
      <c r="AG495" s="44"/>
      <c r="AH495" s="7">
        <f t="shared" si="7"/>
        <v>0</v>
      </c>
      <c r="AI495" s="18"/>
      <c r="AJ495" s="18"/>
    </row>
    <row r="496" spans="1:36" ht="26.65" customHeight="1" x14ac:dyDescent="0.25">
      <c r="A496" s="10" t="s">
        <v>10583</v>
      </c>
      <c r="B496" s="9" t="s">
        <v>57</v>
      </c>
      <c r="C496" s="9" t="s">
        <v>58</v>
      </c>
      <c r="D496" s="9" t="s">
        <v>904</v>
      </c>
      <c r="E496" s="9">
        <v>0</v>
      </c>
      <c r="F496" s="9" t="s">
        <v>2072</v>
      </c>
      <c r="G496" s="9">
        <v>6</v>
      </c>
      <c r="H496" s="9">
        <v>84219999</v>
      </c>
      <c r="I496" s="11" t="s">
        <v>2073</v>
      </c>
      <c r="J496" s="12">
        <v>1.6500000000000001E-2</v>
      </c>
      <c r="K496" s="12">
        <v>7.5999999999999998E-2</v>
      </c>
      <c r="L496" s="12">
        <v>5.1999999999999998E-2</v>
      </c>
      <c r="M496" s="13" t="s">
        <v>35</v>
      </c>
      <c r="N496" s="14" t="s">
        <v>35</v>
      </c>
      <c r="O496" s="14" t="s">
        <v>35</v>
      </c>
      <c r="P496" s="15">
        <v>45597</v>
      </c>
      <c r="Q496" s="16" t="s">
        <v>10584</v>
      </c>
      <c r="R496" s="17" t="s">
        <v>10585</v>
      </c>
      <c r="S496" s="17" t="s">
        <v>35</v>
      </c>
      <c r="T496" s="17" t="s">
        <v>35</v>
      </c>
      <c r="U496" s="17" t="s">
        <v>35</v>
      </c>
      <c r="V496" s="17" t="s">
        <v>35</v>
      </c>
      <c r="W496" s="17" t="s">
        <v>35</v>
      </c>
      <c r="X496" s="17" t="s">
        <v>35</v>
      </c>
      <c r="Y496" s="17" t="s">
        <v>10586</v>
      </c>
      <c r="Z496" s="17" t="s">
        <v>35</v>
      </c>
      <c r="AA496" s="17" t="s">
        <v>10587</v>
      </c>
      <c r="AB496" s="17" t="s">
        <v>35</v>
      </c>
      <c r="AC496" s="17" t="s">
        <v>9539</v>
      </c>
      <c r="AD496" s="41">
        <v>27.62</v>
      </c>
      <c r="AE496" s="41">
        <v>29.06</v>
      </c>
      <c r="AF496" s="48"/>
      <c r="AG496" s="44"/>
      <c r="AH496" s="7">
        <f t="shared" si="7"/>
        <v>0</v>
      </c>
      <c r="AI496" s="18"/>
      <c r="AJ496" s="18"/>
    </row>
    <row r="497" spans="1:38" ht="26.65" customHeight="1" x14ac:dyDescent="0.25">
      <c r="A497" s="10" t="s">
        <v>2981</v>
      </c>
      <c r="B497" s="9" t="s">
        <v>57</v>
      </c>
      <c r="C497" s="9" t="s">
        <v>34</v>
      </c>
      <c r="D497" s="9" t="s">
        <v>59</v>
      </c>
      <c r="E497" s="9" t="s">
        <v>35</v>
      </c>
      <c r="F497" s="9" t="s">
        <v>36</v>
      </c>
      <c r="G497" s="9">
        <v>6</v>
      </c>
      <c r="H497" s="9">
        <v>84219999</v>
      </c>
      <c r="I497" s="11" t="s">
        <v>37</v>
      </c>
      <c r="J497" s="12">
        <v>1.6500000000000001E-2</v>
      </c>
      <c r="K497" s="12">
        <v>7.5999999999999998E-2</v>
      </c>
      <c r="L497" s="12">
        <v>5.1999999999999998E-2</v>
      </c>
      <c r="M497" s="13">
        <v>8003453080010</v>
      </c>
      <c r="N497" s="14">
        <v>0.10100000000000001</v>
      </c>
      <c r="O497" s="14">
        <v>0.124</v>
      </c>
      <c r="P497" s="15">
        <v>45200</v>
      </c>
      <c r="Q497" s="16" t="s">
        <v>2982</v>
      </c>
      <c r="R497" s="17" t="s">
        <v>2983</v>
      </c>
      <c r="S497" s="17" t="s">
        <v>2984</v>
      </c>
      <c r="T497" s="17" t="s">
        <v>2985</v>
      </c>
      <c r="U497" s="17" t="s">
        <v>2986</v>
      </c>
      <c r="V497" s="17" t="s">
        <v>35</v>
      </c>
      <c r="W497" s="17" t="s">
        <v>35</v>
      </c>
      <c r="X497" s="17" t="s">
        <v>2987</v>
      </c>
      <c r="Y497" s="17" t="s">
        <v>35</v>
      </c>
      <c r="Z497" s="17" t="s">
        <v>2988</v>
      </c>
      <c r="AA497" s="17" t="s">
        <v>35</v>
      </c>
      <c r="AB497" s="17" t="s">
        <v>2989</v>
      </c>
      <c r="AC497" s="17" t="s">
        <v>9539</v>
      </c>
      <c r="AD497" s="42">
        <v>11.09</v>
      </c>
      <c r="AE497" s="42">
        <v>11.67</v>
      </c>
      <c r="AF497" s="48"/>
      <c r="AG497" s="44"/>
      <c r="AH497" s="7">
        <f t="shared" si="7"/>
        <v>0</v>
      </c>
      <c r="AI497" s="18"/>
      <c r="AJ497" s="18"/>
    </row>
    <row r="498" spans="1:38" ht="26.65" customHeight="1" x14ac:dyDescent="0.25">
      <c r="A498" s="10" t="s">
        <v>9580</v>
      </c>
      <c r="B498" s="9" t="s">
        <v>57</v>
      </c>
      <c r="C498" s="9" t="s">
        <v>34</v>
      </c>
      <c r="D498" s="9" t="s">
        <v>904</v>
      </c>
      <c r="E498" s="9" t="s">
        <v>35</v>
      </c>
      <c r="F498" s="9" t="s">
        <v>36</v>
      </c>
      <c r="G498" s="9">
        <v>10</v>
      </c>
      <c r="H498" s="9">
        <v>84219999</v>
      </c>
      <c r="I498" s="11" t="s">
        <v>37</v>
      </c>
      <c r="J498" s="12">
        <v>1.6500000000000001E-2</v>
      </c>
      <c r="K498" s="12">
        <v>7.5999999999999998E-2</v>
      </c>
      <c r="L498" s="12">
        <v>5.1999999999999998E-2</v>
      </c>
      <c r="M498" s="13">
        <v>8003453080140</v>
      </c>
      <c r="N498" s="14">
        <v>0.109</v>
      </c>
      <c r="O498" s="14">
        <v>0.17399999999999999</v>
      </c>
      <c r="P498" s="15">
        <v>45474</v>
      </c>
      <c r="Q498" s="16" t="s">
        <v>9581</v>
      </c>
      <c r="R498" s="17" t="s">
        <v>35</v>
      </c>
      <c r="S498" s="17" t="s">
        <v>9582</v>
      </c>
      <c r="T498" s="17" t="s">
        <v>9583</v>
      </c>
      <c r="U498" s="17" t="s">
        <v>9584</v>
      </c>
      <c r="V498" s="17" t="s">
        <v>35</v>
      </c>
      <c r="W498" s="17" t="s">
        <v>35</v>
      </c>
      <c r="X498" s="17" t="s">
        <v>9585</v>
      </c>
      <c r="Y498" s="17" t="s">
        <v>35</v>
      </c>
      <c r="Z498" s="17" t="s">
        <v>9586</v>
      </c>
      <c r="AA498" s="17" t="s">
        <v>35</v>
      </c>
      <c r="AB498" s="17" t="s">
        <v>9587</v>
      </c>
      <c r="AC498" s="17" t="s">
        <v>9539</v>
      </c>
      <c r="AD498" s="42">
        <v>16.920000000000002</v>
      </c>
      <c r="AE498" s="42">
        <v>17.8</v>
      </c>
      <c r="AF498" s="48"/>
      <c r="AG498" s="44"/>
      <c r="AH498" s="7">
        <f t="shared" si="7"/>
        <v>0</v>
      </c>
      <c r="AI498" s="18"/>
      <c r="AJ498" s="18"/>
    </row>
    <row r="499" spans="1:38" ht="26.65" customHeight="1" x14ac:dyDescent="0.25">
      <c r="A499" s="10" t="s">
        <v>2990</v>
      </c>
      <c r="B499" s="9" t="s">
        <v>2890</v>
      </c>
      <c r="C499" s="9" t="s">
        <v>34</v>
      </c>
      <c r="D499" s="9" t="s">
        <v>59</v>
      </c>
      <c r="E499" s="9" t="s">
        <v>35</v>
      </c>
      <c r="F499" s="9" t="s">
        <v>36</v>
      </c>
      <c r="G499" s="9">
        <v>6</v>
      </c>
      <c r="H499" s="9">
        <v>84219999</v>
      </c>
      <c r="I499" s="11" t="s">
        <v>37</v>
      </c>
      <c r="J499" s="12">
        <v>1.6500000000000001E-2</v>
      </c>
      <c r="K499" s="12">
        <v>7.5999999999999998E-2</v>
      </c>
      <c r="L499" s="12">
        <v>5.1999999999999998E-2</v>
      </c>
      <c r="M499" s="13">
        <v>8003453080669</v>
      </c>
      <c r="N499" s="14">
        <v>0.26400000000000001</v>
      </c>
      <c r="O499" s="14">
        <v>0.32100000000000001</v>
      </c>
      <c r="P499" s="15">
        <v>45170</v>
      </c>
      <c r="Q499" s="16" t="s">
        <v>2991</v>
      </c>
      <c r="R499" s="17" t="s">
        <v>2992</v>
      </c>
      <c r="S499" s="17" t="s">
        <v>2993</v>
      </c>
      <c r="T499" s="17" t="s">
        <v>2994</v>
      </c>
      <c r="U499" s="17" t="s">
        <v>2995</v>
      </c>
      <c r="V499" s="17" t="s">
        <v>35</v>
      </c>
      <c r="W499" s="17" t="s">
        <v>35</v>
      </c>
      <c r="X499" s="17" t="s">
        <v>2996</v>
      </c>
      <c r="Y499" s="17" t="s">
        <v>35</v>
      </c>
      <c r="Z499" s="17" t="s">
        <v>2997</v>
      </c>
      <c r="AA499" s="17" t="s">
        <v>35</v>
      </c>
      <c r="AB499" s="17" t="s">
        <v>2998</v>
      </c>
      <c r="AC499" s="17" t="s">
        <v>9539</v>
      </c>
      <c r="AD499" s="42">
        <v>28.34</v>
      </c>
      <c r="AE499" s="42">
        <v>29.81</v>
      </c>
      <c r="AF499" s="48"/>
      <c r="AG499" s="44"/>
      <c r="AH499" s="7">
        <f t="shared" si="7"/>
        <v>0</v>
      </c>
      <c r="AI499" s="18"/>
      <c r="AJ499" s="18"/>
    </row>
    <row r="500" spans="1:38" ht="26.65" customHeight="1" x14ac:dyDescent="0.25">
      <c r="A500" s="10" t="s">
        <v>8659</v>
      </c>
      <c r="B500" s="9" t="s">
        <v>57</v>
      </c>
      <c r="C500" s="9" t="s">
        <v>34</v>
      </c>
      <c r="D500" s="9" t="s">
        <v>59</v>
      </c>
      <c r="E500" s="9" t="s">
        <v>35</v>
      </c>
      <c r="F500" s="9" t="s">
        <v>36</v>
      </c>
      <c r="G500" s="9">
        <v>10</v>
      </c>
      <c r="H500" s="9">
        <v>84219999</v>
      </c>
      <c r="I500" s="11" t="s">
        <v>37</v>
      </c>
      <c r="J500" s="12">
        <v>1.6500000000000001E-2</v>
      </c>
      <c r="K500" s="12">
        <v>7.5999999999999998E-2</v>
      </c>
      <c r="L500" s="12">
        <v>5.1999999999999998E-2</v>
      </c>
      <c r="M500" s="13">
        <v>8003453080812</v>
      </c>
      <c r="N500" s="14">
        <v>4.9000000000000002E-2</v>
      </c>
      <c r="O500" s="14">
        <v>6.3E-2</v>
      </c>
      <c r="P500" s="15">
        <v>45292</v>
      </c>
      <c r="Q500" s="16" t="s">
        <v>8660</v>
      </c>
      <c r="R500" s="17" t="s">
        <v>35</v>
      </c>
      <c r="S500" s="17" t="s">
        <v>8661</v>
      </c>
      <c r="T500" s="17" t="s">
        <v>35</v>
      </c>
      <c r="U500" s="17" t="s">
        <v>8662</v>
      </c>
      <c r="V500" s="17" t="s">
        <v>35</v>
      </c>
      <c r="W500" s="17" t="s">
        <v>35</v>
      </c>
      <c r="X500" s="17" t="s">
        <v>35</v>
      </c>
      <c r="Y500" s="17" t="s">
        <v>35</v>
      </c>
      <c r="Z500" s="17" t="s">
        <v>8663</v>
      </c>
      <c r="AA500" s="17" t="s">
        <v>35</v>
      </c>
      <c r="AB500" s="17" t="s">
        <v>8664</v>
      </c>
      <c r="AC500" s="17" t="s">
        <v>9539</v>
      </c>
      <c r="AD500" s="42">
        <v>16.670000000000002</v>
      </c>
      <c r="AE500" s="42">
        <v>17.54</v>
      </c>
      <c r="AF500" s="48"/>
      <c r="AG500" s="44"/>
      <c r="AH500" s="7">
        <f t="shared" si="7"/>
        <v>0</v>
      </c>
      <c r="AI500" s="18"/>
      <c r="AJ500" s="18"/>
    </row>
    <row r="501" spans="1:38" ht="26.65" customHeight="1" x14ac:dyDescent="0.25">
      <c r="A501" s="10" t="s">
        <v>2999</v>
      </c>
      <c r="B501" s="9" t="s">
        <v>57</v>
      </c>
      <c r="C501" s="9" t="s">
        <v>43</v>
      </c>
      <c r="D501" s="9" t="s">
        <v>904</v>
      </c>
      <c r="E501" s="9" t="s">
        <v>35</v>
      </c>
      <c r="F501" s="9" t="s">
        <v>36</v>
      </c>
      <c r="G501" s="9">
        <v>6</v>
      </c>
      <c r="H501" s="9">
        <v>84219999</v>
      </c>
      <c r="I501" s="11" t="s">
        <v>37</v>
      </c>
      <c r="J501" s="12">
        <v>1.6500000000000001E-2</v>
      </c>
      <c r="K501" s="12">
        <v>7.5999999999999998E-2</v>
      </c>
      <c r="L501" s="12">
        <v>5.1999999999999998E-2</v>
      </c>
      <c r="M501" s="13">
        <v>8003453080850</v>
      </c>
      <c r="N501" s="14">
        <v>8.7999999999999995E-2</v>
      </c>
      <c r="O501" s="14">
        <v>9.8000000000000004E-2</v>
      </c>
      <c r="P501" s="15" t="s">
        <v>35</v>
      </c>
      <c r="Q501" s="16" t="s">
        <v>3000</v>
      </c>
      <c r="R501" s="17" t="s">
        <v>35</v>
      </c>
      <c r="S501" s="17" t="s">
        <v>3001</v>
      </c>
      <c r="T501" s="17" t="s">
        <v>3002</v>
      </c>
      <c r="U501" s="17" t="s">
        <v>3003</v>
      </c>
      <c r="V501" s="17" t="s">
        <v>3004</v>
      </c>
      <c r="W501" s="17" t="s">
        <v>3005</v>
      </c>
      <c r="X501" s="17" t="s">
        <v>3006</v>
      </c>
      <c r="Y501" s="17" t="s">
        <v>3007</v>
      </c>
      <c r="Z501" s="17" t="s">
        <v>35</v>
      </c>
      <c r="AA501" s="17" t="s">
        <v>35</v>
      </c>
      <c r="AB501" s="17" t="s">
        <v>35</v>
      </c>
      <c r="AC501" s="17" t="s">
        <v>9539</v>
      </c>
      <c r="AD501" s="42">
        <v>12.19</v>
      </c>
      <c r="AE501" s="42">
        <v>12.82</v>
      </c>
      <c r="AF501" s="48"/>
      <c r="AG501" s="44"/>
      <c r="AH501" s="7">
        <f t="shared" si="7"/>
        <v>0</v>
      </c>
      <c r="AI501" s="18"/>
      <c r="AJ501" s="18"/>
    </row>
    <row r="502" spans="1:38" ht="26.65" customHeight="1" x14ac:dyDescent="0.25">
      <c r="A502" s="10" t="s">
        <v>10269</v>
      </c>
      <c r="B502" s="9" t="s">
        <v>57</v>
      </c>
      <c r="C502" s="9" t="s">
        <v>43</v>
      </c>
      <c r="D502" s="9" t="s">
        <v>59</v>
      </c>
      <c r="E502" s="9" t="s">
        <v>35</v>
      </c>
      <c r="F502" s="9" t="s">
        <v>36</v>
      </c>
      <c r="G502" s="9">
        <v>6</v>
      </c>
      <c r="H502" s="9">
        <v>84219999</v>
      </c>
      <c r="I502" s="11" t="s">
        <v>37</v>
      </c>
      <c r="J502" s="12">
        <v>1.6500000000000001E-2</v>
      </c>
      <c r="K502" s="12">
        <v>7.5999999999999998E-2</v>
      </c>
      <c r="L502" s="12">
        <v>5.1999999999999998E-2</v>
      </c>
      <c r="M502" s="13">
        <v>8003453088894</v>
      </c>
      <c r="N502" s="14">
        <v>0</v>
      </c>
      <c r="O502" s="14">
        <v>0</v>
      </c>
      <c r="P502" s="15">
        <v>45566</v>
      </c>
      <c r="Q502" s="16" t="s">
        <v>10270</v>
      </c>
      <c r="R502" s="17" t="s">
        <v>35</v>
      </c>
      <c r="S502" s="17" t="s">
        <v>10271</v>
      </c>
      <c r="T502" s="17" t="s">
        <v>10272</v>
      </c>
      <c r="U502" s="17" t="s">
        <v>10273</v>
      </c>
      <c r="V502" s="17" t="s">
        <v>35</v>
      </c>
      <c r="W502" s="17" t="s">
        <v>35</v>
      </c>
      <c r="X502" s="17" t="s">
        <v>10274</v>
      </c>
      <c r="Y502" s="17" t="s">
        <v>35</v>
      </c>
      <c r="Z502" s="17" t="s">
        <v>35</v>
      </c>
      <c r="AA502" s="17" t="s">
        <v>35</v>
      </c>
      <c r="AB502" s="17" t="s">
        <v>35</v>
      </c>
      <c r="AC502" s="17" t="s">
        <v>9539</v>
      </c>
      <c r="AD502" s="41">
        <v>23.17</v>
      </c>
      <c r="AE502" s="41">
        <v>24.37</v>
      </c>
      <c r="AF502" s="48"/>
      <c r="AG502" s="44"/>
      <c r="AH502" s="7">
        <f t="shared" si="7"/>
        <v>0</v>
      </c>
      <c r="AI502" s="18"/>
      <c r="AJ502" s="18"/>
    </row>
    <row r="503" spans="1:38" ht="26.65" customHeight="1" x14ac:dyDescent="0.25">
      <c r="A503" s="38" t="s">
        <v>3008</v>
      </c>
      <c r="B503" s="9" t="s">
        <v>57</v>
      </c>
      <c r="C503" s="9" t="s">
        <v>43</v>
      </c>
      <c r="D503" s="9" t="s">
        <v>904</v>
      </c>
      <c r="E503" s="9" t="s">
        <v>35</v>
      </c>
      <c r="F503" s="9" t="s">
        <v>36</v>
      </c>
      <c r="G503" s="9">
        <v>6</v>
      </c>
      <c r="H503" s="9">
        <v>84219999</v>
      </c>
      <c r="I503" s="11" t="s">
        <v>37</v>
      </c>
      <c r="J503" s="12">
        <v>1.6500000000000001E-2</v>
      </c>
      <c r="K503" s="12">
        <v>7.5999999999999998E-2</v>
      </c>
      <c r="L503" s="12">
        <v>5.1999999999999998E-2</v>
      </c>
      <c r="M503" s="13">
        <v>8003453089068</v>
      </c>
      <c r="N503" s="14">
        <v>7.8E-2</v>
      </c>
      <c r="O503" s="14">
        <v>8.7999999999999995E-2</v>
      </c>
      <c r="P503" s="15" t="s">
        <v>35</v>
      </c>
      <c r="Q503" s="16" t="s">
        <v>3009</v>
      </c>
      <c r="R503" s="17" t="s">
        <v>35</v>
      </c>
      <c r="S503" s="17" t="s">
        <v>3010</v>
      </c>
      <c r="T503" s="17" t="s">
        <v>3011</v>
      </c>
      <c r="U503" s="17" t="s">
        <v>3012</v>
      </c>
      <c r="V503" s="17" t="s">
        <v>3013</v>
      </c>
      <c r="W503" s="17" t="s">
        <v>3014</v>
      </c>
      <c r="X503" s="17" t="s">
        <v>3015</v>
      </c>
      <c r="Y503" s="17" t="s">
        <v>3016</v>
      </c>
      <c r="Z503" s="17" t="s">
        <v>35</v>
      </c>
      <c r="AA503" s="17" t="s">
        <v>35</v>
      </c>
      <c r="AB503" s="17" t="s">
        <v>35</v>
      </c>
      <c r="AC503" s="17" t="s">
        <v>9538</v>
      </c>
      <c r="AD503" s="42">
        <v>13.41</v>
      </c>
      <c r="AE503" s="42">
        <v>14.11</v>
      </c>
      <c r="AF503" s="48"/>
      <c r="AG503" s="44"/>
      <c r="AH503" s="7">
        <f t="shared" si="7"/>
        <v>0</v>
      </c>
      <c r="AI503" s="18"/>
      <c r="AJ503" s="18"/>
    </row>
    <row r="504" spans="1:38" ht="26.65" customHeight="1" x14ac:dyDescent="0.25">
      <c r="A504" s="10" t="s">
        <v>9588</v>
      </c>
      <c r="B504" s="9" t="s">
        <v>57</v>
      </c>
      <c r="C504" s="9" t="s">
        <v>34</v>
      </c>
      <c r="D504" s="9" t="s">
        <v>904</v>
      </c>
      <c r="E504" s="9" t="s">
        <v>35</v>
      </c>
      <c r="F504" s="9" t="s">
        <v>36</v>
      </c>
      <c r="G504" s="9">
        <v>10</v>
      </c>
      <c r="H504" s="9">
        <v>84219999</v>
      </c>
      <c r="I504" s="11" t="s">
        <v>37</v>
      </c>
      <c r="J504" s="12">
        <v>1.6500000000000001E-2</v>
      </c>
      <c r="K504" s="12">
        <v>7.5999999999999998E-2</v>
      </c>
      <c r="L504" s="12">
        <v>5.1999999999999998E-2</v>
      </c>
      <c r="M504" s="13">
        <v>8003453089860</v>
      </c>
      <c r="N504" s="14">
        <v>0.05</v>
      </c>
      <c r="O504" s="14">
        <v>6.5000000000000002E-2</v>
      </c>
      <c r="P504" s="15">
        <v>45474</v>
      </c>
      <c r="Q504" s="16" t="s">
        <v>9589</v>
      </c>
      <c r="R504" s="17" t="s">
        <v>9590</v>
      </c>
      <c r="S504" s="17" t="s">
        <v>35</v>
      </c>
      <c r="T504" s="17" t="s">
        <v>35</v>
      </c>
      <c r="U504" s="17" t="s">
        <v>35</v>
      </c>
      <c r="V504" s="17" t="s">
        <v>35</v>
      </c>
      <c r="W504" s="17" t="s">
        <v>35</v>
      </c>
      <c r="X504" s="17" t="s">
        <v>35</v>
      </c>
      <c r="Y504" s="17" t="s">
        <v>35</v>
      </c>
      <c r="Z504" s="17" t="s">
        <v>9591</v>
      </c>
      <c r="AA504" s="17" t="s">
        <v>35</v>
      </c>
      <c r="AB504" s="17" t="s">
        <v>9592</v>
      </c>
      <c r="AC504" s="17" t="s">
        <v>9539</v>
      </c>
      <c r="AD504" s="42">
        <v>8.8699999999999992</v>
      </c>
      <c r="AE504" s="42">
        <v>9.33</v>
      </c>
      <c r="AF504" s="48"/>
      <c r="AG504" s="44"/>
      <c r="AH504" s="7">
        <f t="shared" si="7"/>
        <v>0</v>
      </c>
      <c r="AI504" s="18"/>
      <c r="AJ504" s="18"/>
    </row>
    <row r="505" spans="1:38" ht="26.65" customHeight="1" x14ac:dyDescent="0.25">
      <c r="A505" s="10" t="s">
        <v>9244</v>
      </c>
      <c r="B505" s="9" t="s">
        <v>57</v>
      </c>
      <c r="C505" s="9" t="s">
        <v>34</v>
      </c>
      <c r="D505" s="9" t="s">
        <v>904</v>
      </c>
      <c r="E505" s="9" t="s">
        <v>35</v>
      </c>
      <c r="F505" s="9" t="s">
        <v>36</v>
      </c>
      <c r="G505" s="9">
        <v>6</v>
      </c>
      <c r="H505" s="9">
        <v>84219999</v>
      </c>
      <c r="I505" s="11" t="s">
        <v>37</v>
      </c>
      <c r="J505" s="12">
        <v>1.6500000000000001E-2</v>
      </c>
      <c r="K505" s="12">
        <v>7.5999999999999998E-2</v>
      </c>
      <c r="L505" s="12">
        <v>5.1999999999999998E-2</v>
      </c>
      <c r="M505" s="13">
        <v>8003453089884</v>
      </c>
      <c r="N505" s="14">
        <v>0.1</v>
      </c>
      <c r="O505" s="14">
        <v>0.122</v>
      </c>
      <c r="P505" s="15">
        <v>45413</v>
      </c>
      <c r="Q505" s="16" t="s">
        <v>9245</v>
      </c>
      <c r="R505" s="17" t="s">
        <v>35</v>
      </c>
      <c r="S505" s="17" t="s">
        <v>35</v>
      </c>
      <c r="T505" s="17" t="s">
        <v>35</v>
      </c>
      <c r="U505" s="17" t="s">
        <v>35</v>
      </c>
      <c r="V505" s="17" t="s">
        <v>35</v>
      </c>
      <c r="W505" s="17" t="s">
        <v>35</v>
      </c>
      <c r="X505" s="17" t="s">
        <v>35</v>
      </c>
      <c r="Y505" s="17" t="s">
        <v>35</v>
      </c>
      <c r="Z505" s="17" t="s">
        <v>9246</v>
      </c>
      <c r="AA505" s="17" t="s">
        <v>35</v>
      </c>
      <c r="AB505" s="17" t="s">
        <v>9247</v>
      </c>
      <c r="AC505" s="17" t="s">
        <v>9539</v>
      </c>
      <c r="AD505" s="42">
        <v>65.45</v>
      </c>
      <c r="AE505" s="42">
        <v>68.849999999999994</v>
      </c>
      <c r="AF505" s="48"/>
      <c r="AG505" s="44"/>
      <c r="AH505" s="7">
        <f t="shared" si="7"/>
        <v>0</v>
      </c>
      <c r="AI505" s="18"/>
      <c r="AJ505" s="18"/>
    </row>
    <row r="506" spans="1:38" ht="26.65" customHeight="1" x14ac:dyDescent="0.25">
      <c r="A506" s="10" t="s">
        <v>3017</v>
      </c>
      <c r="B506" s="9" t="s">
        <v>57</v>
      </c>
      <c r="C506" s="9" t="s">
        <v>154</v>
      </c>
      <c r="D506" s="9" t="s">
        <v>904</v>
      </c>
      <c r="E506" s="9" t="s">
        <v>35</v>
      </c>
      <c r="F506" s="9" t="s">
        <v>36</v>
      </c>
      <c r="G506" s="9">
        <v>6</v>
      </c>
      <c r="H506" s="9">
        <v>84219999</v>
      </c>
      <c r="I506" s="11" t="s">
        <v>37</v>
      </c>
      <c r="J506" s="12">
        <v>1.6500000000000001E-2</v>
      </c>
      <c r="K506" s="12">
        <v>7.5999999999999998E-2</v>
      </c>
      <c r="L506" s="12">
        <v>5.1999999999999998E-2</v>
      </c>
      <c r="M506" s="13">
        <v>8003453089938</v>
      </c>
      <c r="N506" s="14">
        <v>0.3</v>
      </c>
      <c r="O506" s="14">
        <v>0.35699999999999998</v>
      </c>
      <c r="P506" s="15">
        <v>44927</v>
      </c>
      <c r="Q506" s="16" t="s">
        <v>3018</v>
      </c>
      <c r="R506" s="17" t="s">
        <v>3019</v>
      </c>
      <c r="S506" s="17" t="s">
        <v>35</v>
      </c>
      <c r="T506" s="17" t="s">
        <v>35</v>
      </c>
      <c r="U506" s="17" t="s">
        <v>35</v>
      </c>
      <c r="V506" s="17" t="s">
        <v>3020</v>
      </c>
      <c r="W506" s="17" t="s">
        <v>35</v>
      </c>
      <c r="X506" s="17" t="s">
        <v>3021</v>
      </c>
      <c r="Y506" s="17" t="s">
        <v>3022</v>
      </c>
      <c r="Z506" s="17" t="s">
        <v>3023</v>
      </c>
      <c r="AA506" s="17" t="s">
        <v>35</v>
      </c>
      <c r="AB506" s="17" t="s">
        <v>3024</v>
      </c>
      <c r="AC506" s="17" t="s">
        <v>9539</v>
      </c>
      <c r="AD506" s="41">
        <v>56.83</v>
      </c>
      <c r="AE506" s="41">
        <v>59.79</v>
      </c>
      <c r="AF506" s="48"/>
      <c r="AG506" s="44"/>
      <c r="AH506" s="7">
        <f t="shared" si="7"/>
        <v>0</v>
      </c>
      <c r="AI506" s="18"/>
      <c r="AJ506" s="18"/>
      <c r="AL506" s="18"/>
    </row>
    <row r="507" spans="1:38" ht="26.65" customHeight="1" x14ac:dyDescent="0.25">
      <c r="A507" s="10" t="s">
        <v>3025</v>
      </c>
      <c r="B507" s="9" t="s">
        <v>57</v>
      </c>
      <c r="C507" s="9" t="s">
        <v>43</v>
      </c>
      <c r="D507" s="9" t="s">
        <v>59</v>
      </c>
      <c r="E507" s="9" t="s">
        <v>122</v>
      </c>
      <c r="F507" s="9" t="s">
        <v>36</v>
      </c>
      <c r="G507" s="9">
        <v>6</v>
      </c>
      <c r="H507" s="9">
        <v>84219999</v>
      </c>
      <c r="I507" s="11" t="s">
        <v>37</v>
      </c>
      <c r="J507" s="12">
        <v>1.6500000000000001E-2</v>
      </c>
      <c r="K507" s="12">
        <v>7.5999999999999998E-2</v>
      </c>
      <c r="L507" s="12">
        <v>5.1999999999999998E-2</v>
      </c>
      <c r="M507" s="13">
        <v>8003453089808</v>
      </c>
      <c r="N507" s="14">
        <v>0.14499999999999999</v>
      </c>
      <c r="O507" s="14">
        <v>0.245</v>
      </c>
      <c r="P507" s="15">
        <v>44774</v>
      </c>
      <c r="Q507" s="16" t="s">
        <v>3026</v>
      </c>
      <c r="R507" s="17" t="s">
        <v>3027</v>
      </c>
      <c r="S507" s="17" t="s">
        <v>35</v>
      </c>
      <c r="T507" s="17" t="s">
        <v>35</v>
      </c>
      <c r="U507" s="17" t="s">
        <v>35</v>
      </c>
      <c r="V507" s="17" t="s">
        <v>35</v>
      </c>
      <c r="W507" s="17" t="s">
        <v>35</v>
      </c>
      <c r="X507" s="17" t="s">
        <v>35</v>
      </c>
      <c r="Y507" s="17" t="s">
        <v>3028</v>
      </c>
      <c r="Z507" s="17" t="s">
        <v>35</v>
      </c>
      <c r="AA507" s="17" t="s">
        <v>35</v>
      </c>
      <c r="AB507" s="17" t="s">
        <v>35</v>
      </c>
      <c r="AC507" s="17" t="s">
        <v>9539</v>
      </c>
      <c r="AD507" s="42">
        <v>100.9</v>
      </c>
      <c r="AE507" s="42">
        <v>106.15</v>
      </c>
      <c r="AF507" s="48"/>
      <c r="AG507" s="44"/>
      <c r="AH507" s="7">
        <f t="shared" si="7"/>
        <v>0</v>
      </c>
      <c r="AI507" s="18"/>
      <c r="AJ507" s="18"/>
    </row>
    <row r="508" spans="1:38" ht="26.65" customHeight="1" x14ac:dyDescent="0.25">
      <c r="A508" s="10" t="s">
        <v>8919</v>
      </c>
      <c r="B508" s="9" t="s">
        <v>57</v>
      </c>
      <c r="C508" s="9" t="s">
        <v>8920</v>
      </c>
      <c r="D508" s="9" t="s">
        <v>59</v>
      </c>
      <c r="E508" s="9" t="s">
        <v>35</v>
      </c>
      <c r="F508" s="9" t="s">
        <v>36</v>
      </c>
      <c r="G508" s="9">
        <v>6</v>
      </c>
      <c r="H508" s="9">
        <v>84219999</v>
      </c>
      <c r="I508" s="11" t="s">
        <v>37</v>
      </c>
      <c r="J508" s="12">
        <v>1.6500000000000001E-2</v>
      </c>
      <c r="K508" s="12">
        <v>7.5999999999999998E-2</v>
      </c>
      <c r="L508" s="12">
        <v>5.1999999999999998E-2</v>
      </c>
      <c r="M508" s="13">
        <v>8003453089945</v>
      </c>
      <c r="N508" s="14">
        <v>0.14499999999999999</v>
      </c>
      <c r="O508" s="14">
        <v>0.245</v>
      </c>
      <c r="P508" s="15">
        <v>45323</v>
      </c>
      <c r="Q508" s="16" t="s">
        <v>8921</v>
      </c>
      <c r="R508" s="17">
        <v>77369138</v>
      </c>
      <c r="S508" s="17" t="s">
        <v>35</v>
      </c>
      <c r="T508" s="17" t="s">
        <v>2864</v>
      </c>
      <c r="U508" s="17" t="s">
        <v>35</v>
      </c>
      <c r="V508" s="17" t="s">
        <v>35</v>
      </c>
      <c r="W508" s="17" t="s">
        <v>35</v>
      </c>
      <c r="X508" s="17" t="s">
        <v>35</v>
      </c>
      <c r="Y508" s="17" t="s">
        <v>35</v>
      </c>
      <c r="Z508" s="17" t="s">
        <v>35</v>
      </c>
      <c r="AA508" s="17" t="s">
        <v>35</v>
      </c>
      <c r="AB508" s="17" t="s">
        <v>35</v>
      </c>
      <c r="AC508" s="17" t="s">
        <v>9539</v>
      </c>
      <c r="AD508" s="42">
        <v>93.85</v>
      </c>
      <c r="AE508" s="42">
        <v>98.73</v>
      </c>
      <c r="AF508" s="48"/>
      <c r="AG508" s="44"/>
      <c r="AH508" s="7">
        <f t="shared" si="7"/>
        <v>0</v>
      </c>
      <c r="AI508" s="18"/>
      <c r="AJ508" s="18"/>
    </row>
    <row r="509" spans="1:38" ht="26.65" customHeight="1" x14ac:dyDescent="0.25">
      <c r="A509" s="10" t="s">
        <v>10588</v>
      </c>
      <c r="B509" s="9" t="s">
        <v>57</v>
      </c>
      <c r="C509" s="9" t="s">
        <v>43</v>
      </c>
      <c r="D509" s="9" t="s">
        <v>59</v>
      </c>
      <c r="E509" s="9" t="s">
        <v>122</v>
      </c>
      <c r="F509" s="9" t="s">
        <v>36</v>
      </c>
      <c r="G509" s="9">
        <v>4</v>
      </c>
      <c r="H509" s="9">
        <v>84219999</v>
      </c>
      <c r="I509" s="11" t="s">
        <v>37</v>
      </c>
      <c r="J509" s="12">
        <v>1.6500000000000001E-2</v>
      </c>
      <c r="K509" s="12">
        <v>7.5999999999999998E-2</v>
      </c>
      <c r="L509" s="12">
        <v>5.1999999999999998E-2</v>
      </c>
      <c r="M509" s="13" t="s">
        <v>35</v>
      </c>
      <c r="N509" s="14" t="s">
        <v>35</v>
      </c>
      <c r="O509" s="14" t="s">
        <v>35</v>
      </c>
      <c r="P509" s="15">
        <v>45597</v>
      </c>
      <c r="Q509" s="16" t="s">
        <v>10589</v>
      </c>
      <c r="R509" s="17" t="s">
        <v>35</v>
      </c>
      <c r="S509" s="17" t="s">
        <v>35</v>
      </c>
      <c r="T509" s="17" t="s">
        <v>35</v>
      </c>
      <c r="U509" s="17" t="s">
        <v>35</v>
      </c>
      <c r="V509" s="17" t="s">
        <v>35</v>
      </c>
      <c r="W509" s="17" t="s">
        <v>35</v>
      </c>
      <c r="X509" s="17" t="s">
        <v>35</v>
      </c>
      <c r="Y509" s="17" t="s">
        <v>35</v>
      </c>
      <c r="Z509" s="17" t="s">
        <v>35</v>
      </c>
      <c r="AA509" s="17" t="s">
        <v>35</v>
      </c>
      <c r="AB509" s="17" t="s">
        <v>35</v>
      </c>
      <c r="AC509" s="17" t="s">
        <v>9539</v>
      </c>
      <c r="AD509" s="41">
        <v>93.09</v>
      </c>
      <c r="AE509" s="41">
        <v>97.93</v>
      </c>
      <c r="AF509" s="48"/>
      <c r="AG509" s="44"/>
      <c r="AH509" s="7">
        <f t="shared" si="7"/>
        <v>0</v>
      </c>
      <c r="AI509" s="18"/>
      <c r="AJ509" s="18"/>
    </row>
    <row r="510" spans="1:38" ht="26.65" customHeight="1" x14ac:dyDescent="0.25">
      <c r="A510" s="10" t="s">
        <v>3029</v>
      </c>
      <c r="B510" s="9" t="s">
        <v>3030</v>
      </c>
      <c r="C510" s="9" t="s">
        <v>34</v>
      </c>
      <c r="D510" s="9" t="s">
        <v>3031</v>
      </c>
      <c r="E510" s="9" t="s">
        <v>35</v>
      </c>
      <c r="F510" s="9" t="s">
        <v>36</v>
      </c>
      <c r="G510" s="9">
        <v>1</v>
      </c>
      <c r="H510" s="9">
        <v>84219999</v>
      </c>
      <c r="I510" s="11" t="s">
        <v>37</v>
      </c>
      <c r="J510" s="12">
        <v>1.6500000000000001E-2</v>
      </c>
      <c r="K510" s="12">
        <v>7.5999999999999998E-2</v>
      </c>
      <c r="L510" s="12">
        <v>5.1999999999999998E-2</v>
      </c>
      <c r="M510" s="13">
        <v>8003453095069</v>
      </c>
      <c r="N510" s="14">
        <v>2.548</v>
      </c>
      <c r="O510" s="14">
        <v>2.8940000000000001</v>
      </c>
      <c r="P510" s="15" t="s">
        <v>35</v>
      </c>
      <c r="Q510" s="16" t="s">
        <v>3032</v>
      </c>
      <c r="R510" s="17" t="s">
        <v>3033</v>
      </c>
      <c r="S510" s="17" t="s">
        <v>3034</v>
      </c>
      <c r="T510" s="17" t="s">
        <v>3035</v>
      </c>
      <c r="U510" s="17" t="s">
        <v>35</v>
      </c>
      <c r="V510" s="17" t="s">
        <v>3036</v>
      </c>
      <c r="W510" s="17" t="s">
        <v>3037</v>
      </c>
      <c r="X510" s="17" t="s">
        <v>3038</v>
      </c>
      <c r="Y510" s="17" t="s">
        <v>3039</v>
      </c>
      <c r="Z510" s="17" t="s">
        <v>3040</v>
      </c>
      <c r="AA510" s="17" t="s">
        <v>3041</v>
      </c>
      <c r="AB510" s="17" t="s">
        <v>3042</v>
      </c>
      <c r="AC510" s="17" t="s">
        <v>9539</v>
      </c>
      <c r="AD510" s="41">
        <v>149.85</v>
      </c>
      <c r="AE510" s="41">
        <v>157.63999999999999</v>
      </c>
      <c r="AF510" s="48"/>
      <c r="AG510" s="44"/>
      <c r="AH510" s="7">
        <f t="shared" si="7"/>
        <v>0</v>
      </c>
      <c r="AI510" s="18"/>
      <c r="AJ510" s="18"/>
      <c r="AL510" s="18"/>
    </row>
    <row r="511" spans="1:38" ht="26.65" customHeight="1" x14ac:dyDescent="0.25">
      <c r="A511" s="10" t="s">
        <v>3043</v>
      </c>
      <c r="B511" s="9" t="s">
        <v>3030</v>
      </c>
      <c r="C511" s="9" t="s">
        <v>58</v>
      </c>
      <c r="D511" s="9" t="s">
        <v>3031</v>
      </c>
      <c r="E511" s="9" t="s">
        <v>35</v>
      </c>
      <c r="F511" s="9" t="s">
        <v>2072</v>
      </c>
      <c r="G511" s="9">
        <v>1</v>
      </c>
      <c r="H511" s="9">
        <v>84219999</v>
      </c>
      <c r="I511" s="11" t="s">
        <v>2073</v>
      </c>
      <c r="J511" s="12">
        <v>1.6500000000000001E-2</v>
      </c>
      <c r="K511" s="12">
        <v>7.5999999999999998E-2</v>
      </c>
      <c r="L511" s="12">
        <v>0</v>
      </c>
      <c r="M511" s="13">
        <v>8003453095076</v>
      </c>
      <c r="N511" s="14">
        <v>3.65</v>
      </c>
      <c r="O511" s="14">
        <v>4.0250000000000004</v>
      </c>
      <c r="P511" s="15" t="s">
        <v>35</v>
      </c>
      <c r="Q511" s="16" t="s">
        <v>3044</v>
      </c>
      <c r="R511" s="17" t="s">
        <v>3045</v>
      </c>
      <c r="S511" s="17" t="s">
        <v>3046</v>
      </c>
      <c r="T511" s="17" t="s">
        <v>3047</v>
      </c>
      <c r="U511" s="17" t="s">
        <v>3048</v>
      </c>
      <c r="V511" s="17" t="s">
        <v>3049</v>
      </c>
      <c r="W511" s="17" t="s">
        <v>3050</v>
      </c>
      <c r="X511" s="17" t="s">
        <v>3051</v>
      </c>
      <c r="Y511" s="17" t="s">
        <v>3052</v>
      </c>
      <c r="Z511" s="17" t="s">
        <v>3053</v>
      </c>
      <c r="AA511" s="17" t="s">
        <v>35</v>
      </c>
      <c r="AB511" s="17" t="s">
        <v>3054</v>
      </c>
      <c r="AC511" s="17" t="s">
        <v>9539</v>
      </c>
      <c r="AD511" s="41">
        <v>136.93</v>
      </c>
      <c r="AE511" s="41">
        <v>136.93</v>
      </c>
      <c r="AF511" s="48"/>
      <c r="AG511" s="44"/>
      <c r="AH511" s="7">
        <f t="shared" si="7"/>
        <v>0</v>
      </c>
      <c r="AI511" s="18"/>
      <c r="AJ511" s="18"/>
    </row>
    <row r="512" spans="1:38" ht="26.65" customHeight="1" x14ac:dyDescent="0.25">
      <c r="A512" s="10" t="s">
        <v>3055</v>
      </c>
      <c r="B512" s="9" t="s">
        <v>3056</v>
      </c>
      <c r="C512" s="9" t="s">
        <v>34</v>
      </c>
      <c r="D512" s="9" t="s">
        <v>3031</v>
      </c>
      <c r="E512" s="9" t="s">
        <v>35</v>
      </c>
      <c r="F512" s="9" t="s">
        <v>36</v>
      </c>
      <c r="G512" s="9">
        <v>1</v>
      </c>
      <c r="H512" s="9">
        <v>84219999</v>
      </c>
      <c r="I512" s="11" t="s">
        <v>37</v>
      </c>
      <c r="J512" s="12">
        <v>1.6500000000000001E-2</v>
      </c>
      <c r="K512" s="12">
        <v>7.5999999999999998E-2</v>
      </c>
      <c r="L512" s="12">
        <v>5.1999999999999998E-2</v>
      </c>
      <c r="M512" s="13">
        <v>8003453095083</v>
      </c>
      <c r="N512" s="14">
        <v>5.2290000000000001</v>
      </c>
      <c r="O512" s="14">
        <v>5.6740000000000004</v>
      </c>
      <c r="P512" s="15">
        <v>45139</v>
      </c>
      <c r="Q512" s="16" t="s">
        <v>3057</v>
      </c>
      <c r="R512" s="17" t="s">
        <v>3058</v>
      </c>
      <c r="S512" s="17" t="s">
        <v>35</v>
      </c>
      <c r="T512" s="17" t="s">
        <v>35</v>
      </c>
      <c r="U512" s="17" t="s">
        <v>35</v>
      </c>
      <c r="V512" s="17" t="s">
        <v>35</v>
      </c>
      <c r="W512" s="17" t="s">
        <v>35</v>
      </c>
      <c r="X512" s="17" t="s">
        <v>3059</v>
      </c>
      <c r="Y512" s="17" t="s">
        <v>35</v>
      </c>
      <c r="Z512" s="17" t="s">
        <v>3060</v>
      </c>
      <c r="AA512" s="17" t="s">
        <v>35</v>
      </c>
      <c r="AB512" s="17" t="s">
        <v>3061</v>
      </c>
      <c r="AC512" s="17" t="s">
        <v>9539</v>
      </c>
      <c r="AD512" s="42">
        <v>211.73</v>
      </c>
      <c r="AE512" s="42">
        <v>222.74</v>
      </c>
      <c r="AF512" s="48"/>
      <c r="AG512" s="44"/>
      <c r="AH512" s="7">
        <f t="shared" si="7"/>
        <v>0</v>
      </c>
      <c r="AI512" s="18"/>
      <c r="AJ512" s="18"/>
    </row>
    <row r="513" spans="1:38" ht="26.65" customHeight="1" x14ac:dyDescent="0.25">
      <c r="A513" s="10" t="s">
        <v>9593</v>
      </c>
      <c r="B513" s="9" t="s">
        <v>3030</v>
      </c>
      <c r="C513" s="9" t="s">
        <v>34</v>
      </c>
      <c r="D513" s="9" t="s">
        <v>3207</v>
      </c>
      <c r="E513" s="9" t="s">
        <v>35</v>
      </c>
      <c r="F513" s="9" t="s">
        <v>36</v>
      </c>
      <c r="G513" s="9">
        <v>1</v>
      </c>
      <c r="H513" s="9">
        <v>84219999</v>
      </c>
      <c r="I513" s="11" t="s">
        <v>37</v>
      </c>
      <c r="J513" s="12">
        <v>1.6500000000000001E-2</v>
      </c>
      <c r="K513" s="12">
        <v>7.5999999999999998E-2</v>
      </c>
      <c r="L513" s="12">
        <v>5.1999999999999998E-2</v>
      </c>
      <c r="M513" s="13">
        <v>8003453095205</v>
      </c>
      <c r="N513" s="14">
        <v>4.8</v>
      </c>
      <c r="O513" s="14">
        <v>5.2850000000000001</v>
      </c>
      <c r="P513" s="15">
        <v>45474</v>
      </c>
      <c r="Q513" s="16" t="s">
        <v>9594</v>
      </c>
      <c r="R513" s="17" t="s">
        <v>9595</v>
      </c>
      <c r="S513" s="17" t="s">
        <v>35</v>
      </c>
      <c r="T513" s="17" t="s">
        <v>35</v>
      </c>
      <c r="U513" s="17" t="s">
        <v>35</v>
      </c>
      <c r="V513" s="17" t="s">
        <v>35</v>
      </c>
      <c r="W513" s="17" t="s">
        <v>35</v>
      </c>
      <c r="X513" s="17" t="s">
        <v>9596</v>
      </c>
      <c r="Y513" s="17" t="s">
        <v>35</v>
      </c>
      <c r="Z513" s="17" t="s">
        <v>9597</v>
      </c>
      <c r="AA513" s="17" t="s">
        <v>35</v>
      </c>
      <c r="AB513" s="17" t="s">
        <v>9598</v>
      </c>
      <c r="AC513" s="17" t="s">
        <v>9539</v>
      </c>
      <c r="AD513" s="42">
        <v>212.2</v>
      </c>
      <c r="AE513" s="42">
        <v>223.23</v>
      </c>
      <c r="AF513" s="48"/>
      <c r="AG513" s="44"/>
      <c r="AH513" s="7">
        <f t="shared" si="7"/>
        <v>0</v>
      </c>
      <c r="AI513" s="18"/>
      <c r="AJ513" s="18"/>
    </row>
    <row r="514" spans="1:38" ht="26.65" customHeight="1" x14ac:dyDescent="0.25">
      <c r="A514" s="10" t="s">
        <v>9599</v>
      </c>
      <c r="B514" s="9" t="s">
        <v>3030</v>
      </c>
      <c r="C514" s="9" t="s">
        <v>34</v>
      </c>
      <c r="D514" s="9" t="s">
        <v>3064</v>
      </c>
      <c r="E514" s="9" t="s">
        <v>35</v>
      </c>
      <c r="F514" s="9" t="s">
        <v>36</v>
      </c>
      <c r="G514" s="9">
        <v>1</v>
      </c>
      <c r="H514" s="9">
        <v>84219999</v>
      </c>
      <c r="I514" s="11" t="s">
        <v>37</v>
      </c>
      <c r="J514" s="12">
        <v>1.6500000000000001E-2</v>
      </c>
      <c r="K514" s="12">
        <v>7.5999999999999998E-2</v>
      </c>
      <c r="L514" s="12">
        <v>5.1999999999999998E-2</v>
      </c>
      <c r="M514" s="13">
        <v>8003453095212</v>
      </c>
      <c r="N514" s="14">
        <v>1.4410000000000001</v>
      </c>
      <c r="O514" s="14">
        <v>1.788</v>
      </c>
      <c r="P514" s="15">
        <v>45474</v>
      </c>
      <c r="Q514" s="16" t="s">
        <v>9594</v>
      </c>
      <c r="R514" s="17" t="s">
        <v>35</v>
      </c>
      <c r="S514" s="17" t="s">
        <v>35</v>
      </c>
      <c r="T514" s="17" t="s">
        <v>35</v>
      </c>
      <c r="U514" s="17" t="s">
        <v>35</v>
      </c>
      <c r="V514" s="17" t="s">
        <v>35</v>
      </c>
      <c r="W514" s="17" t="s">
        <v>35</v>
      </c>
      <c r="X514" s="17" t="s">
        <v>9600</v>
      </c>
      <c r="Y514" s="17" t="s">
        <v>35</v>
      </c>
      <c r="Z514" s="17" t="s">
        <v>9601</v>
      </c>
      <c r="AA514" s="17" t="s">
        <v>35</v>
      </c>
      <c r="AB514" s="17" t="s">
        <v>9602</v>
      </c>
      <c r="AC514" s="17" t="s">
        <v>9539</v>
      </c>
      <c r="AD514" s="42">
        <v>111.36</v>
      </c>
      <c r="AE514" s="42">
        <v>117.15</v>
      </c>
      <c r="AF514" s="48"/>
      <c r="AG514" s="44"/>
      <c r="AH514" s="7">
        <f t="shared" si="7"/>
        <v>0</v>
      </c>
      <c r="AI514" s="18"/>
      <c r="AJ514" s="18"/>
    </row>
    <row r="515" spans="1:38" ht="26.65" customHeight="1" x14ac:dyDescent="0.25">
      <c r="A515" s="10" t="s">
        <v>3062</v>
      </c>
      <c r="B515" s="9" t="s">
        <v>3063</v>
      </c>
      <c r="C515" s="9" t="s">
        <v>34</v>
      </c>
      <c r="D515" s="9" t="s">
        <v>3064</v>
      </c>
      <c r="E515" s="9" t="s">
        <v>35</v>
      </c>
      <c r="F515" s="9" t="s">
        <v>36</v>
      </c>
      <c r="G515" s="9">
        <v>1</v>
      </c>
      <c r="H515" s="9">
        <v>84219999</v>
      </c>
      <c r="I515" s="11" t="s">
        <v>37</v>
      </c>
      <c r="J515" s="12">
        <v>1.6500000000000001E-2</v>
      </c>
      <c r="K515" s="12">
        <v>7.5999999999999998E-2</v>
      </c>
      <c r="L515" s="12">
        <v>5.1999999999999998E-2</v>
      </c>
      <c r="M515" s="13">
        <v>8003453095243</v>
      </c>
      <c r="N515" s="14">
        <v>1.272</v>
      </c>
      <c r="O515" s="14">
        <v>1.6279999999999999</v>
      </c>
      <c r="P515" s="15">
        <v>44896</v>
      </c>
      <c r="Q515" s="16" t="s">
        <v>3065</v>
      </c>
      <c r="R515" s="17" t="s">
        <v>3066</v>
      </c>
      <c r="S515" s="17" t="s">
        <v>3067</v>
      </c>
      <c r="T515" s="17" t="s">
        <v>3068</v>
      </c>
      <c r="U515" s="17" t="s">
        <v>3069</v>
      </c>
      <c r="V515" s="17" t="s">
        <v>35</v>
      </c>
      <c r="W515" s="17" t="s">
        <v>35</v>
      </c>
      <c r="X515" s="17" t="s">
        <v>3070</v>
      </c>
      <c r="Y515" s="17" t="s">
        <v>35</v>
      </c>
      <c r="Z515" s="17" t="s">
        <v>3071</v>
      </c>
      <c r="AA515" s="17" t="s">
        <v>35</v>
      </c>
      <c r="AB515" s="17" t="s">
        <v>3072</v>
      </c>
      <c r="AC515" s="17" t="s">
        <v>9539</v>
      </c>
      <c r="AD515" s="42">
        <v>115.4</v>
      </c>
      <c r="AE515" s="42">
        <v>121.4</v>
      </c>
      <c r="AF515" s="48"/>
      <c r="AG515" s="44"/>
      <c r="AH515" s="7">
        <f t="shared" si="7"/>
        <v>0</v>
      </c>
      <c r="AI515" s="18"/>
      <c r="AJ515" s="18"/>
    </row>
    <row r="516" spans="1:38" ht="26.65" customHeight="1" x14ac:dyDescent="0.25">
      <c r="A516" s="10" t="s">
        <v>9603</v>
      </c>
      <c r="B516" s="9" t="s">
        <v>3030</v>
      </c>
      <c r="C516" s="9" t="s">
        <v>34</v>
      </c>
      <c r="D516" s="9" t="s">
        <v>3031</v>
      </c>
      <c r="E516" s="9" t="s">
        <v>35</v>
      </c>
      <c r="F516" s="9" t="s">
        <v>36</v>
      </c>
      <c r="G516" s="9">
        <v>1</v>
      </c>
      <c r="H516" s="9">
        <v>84219999</v>
      </c>
      <c r="I516" s="11" t="s">
        <v>37</v>
      </c>
      <c r="J516" s="12">
        <v>1.6500000000000001E-2</v>
      </c>
      <c r="K516" s="12">
        <v>7.5999999999999998E-2</v>
      </c>
      <c r="L516" s="12">
        <v>5.1999999999999998E-2</v>
      </c>
      <c r="M516" s="13">
        <v>8003453095250</v>
      </c>
      <c r="N516" s="14">
        <v>0.88600000000000001</v>
      </c>
      <c r="O516" s="14">
        <v>1.075</v>
      </c>
      <c r="P516" s="15">
        <v>45474</v>
      </c>
      <c r="Q516" s="16" t="s">
        <v>9604</v>
      </c>
      <c r="R516" s="17" t="s">
        <v>35</v>
      </c>
      <c r="S516" s="17" t="s">
        <v>35</v>
      </c>
      <c r="T516" s="17" t="s">
        <v>35</v>
      </c>
      <c r="U516" s="17" t="s">
        <v>35</v>
      </c>
      <c r="V516" s="17" t="s">
        <v>35</v>
      </c>
      <c r="W516" s="17" t="s">
        <v>35</v>
      </c>
      <c r="X516" s="17" t="s">
        <v>9605</v>
      </c>
      <c r="Y516" s="17" t="s">
        <v>35</v>
      </c>
      <c r="Z516" s="17" t="s">
        <v>9606</v>
      </c>
      <c r="AA516" s="17" t="s">
        <v>35</v>
      </c>
      <c r="AB516" s="17" t="s">
        <v>9607</v>
      </c>
      <c r="AC516" s="17" t="s">
        <v>9539</v>
      </c>
      <c r="AD516" s="42">
        <v>100.49</v>
      </c>
      <c r="AE516" s="42">
        <v>105.72</v>
      </c>
      <c r="AF516" s="48"/>
      <c r="AG516" s="44"/>
      <c r="AH516" s="7">
        <f t="shared" ref="AH516:AH579" si="8">AG516*AE516</f>
        <v>0</v>
      </c>
      <c r="AI516" s="18"/>
      <c r="AJ516" s="18"/>
    </row>
    <row r="517" spans="1:38" ht="26.65" customHeight="1" x14ac:dyDescent="0.25">
      <c r="A517" s="10" t="s">
        <v>3073</v>
      </c>
      <c r="B517" s="9" t="s">
        <v>3056</v>
      </c>
      <c r="C517" s="9" t="s">
        <v>34</v>
      </c>
      <c r="D517" s="9" t="s">
        <v>3031</v>
      </c>
      <c r="E517" s="9" t="s">
        <v>35</v>
      </c>
      <c r="F517" s="9" t="s">
        <v>36</v>
      </c>
      <c r="G517" s="9">
        <v>1</v>
      </c>
      <c r="H517" s="9">
        <v>84219999</v>
      </c>
      <c r="I517" s="11" t="s">
        <v>37</v>
      </c>
      <c r="J517" s="12">
        <v>1.6500000000000001E-2</v>
      </c>
      <c r="K517" s="12">
        <v>7.5999999999999998E-2</v>
      </c>
      <c r="L517" s="12">
        <v>5.1999999999999998E-2</v>
      </c>
      <c r="M517" s="13">
        <v>8003453095335</v>
      </c>
      <c r="N517" s="14">
        <v>0.36</v>
      </c>
      <c r="O517" s="14">
        <v>0.4</v>
      </c>
      <c r="P517" s="15">
        <v>45139</v>
      </c>
      <c r="Q517" s="16" t="s">
        <v>3074</v>
      </c>
      <c r="R517" s="17" t="s">
        <v>3075</v>
      </c>
      <c r="S517" s="17" t="s">
        <v>3076</v>
      </c>
      <c r="T517" s="17" t="s">
        <v>3077</v>
      </c>
      <c r="U517" s="17" t="s">
        <v>3078</v>
      </c>
      <c r="V517" s="17" t="s">
        <v>3079</v>
      </c>
      <c r="W517" s="17" t="s">
        <v>3080</v>
      </c>
      <c r="X517" s="17" t="s">
        <v>3081</v>
      </c>
      <c r="Y517" s="17" t="s">
        <v>35</v>
      </c>
      <c r="Z517" s="17" t="s">
        <v>3082</v>
      </c>
      <c r="AA517" s="17" t="s">
        <v>3083</v>
      </c>
      <c r="AB517" s="17" t="s">
        <v>3084</v>
      </c>
      <c r="AC517" s="17" t="s">
        <v>9539</v>
      </c>
      <c r="AD517" s="41">
        <v>158.15</v>
      </c>
      <c r="AE517" s="41">
        <v>166.37</v>
      </c>
      <c r="AF517" s="48"/>
      <c r="AG517" s="44"/>
      <c r="AH517" s="7">
        <f t="shared" si="8"/>
        <v>0</v>
      </c>
      <c r="AI517" s="18"/>
      <c r="AJ517" s="18"/>
    </row>
    <row r="518" spans="1:38" ht="26.65" customHeight="1" x14ac:dyDescent="0.25">
      <c r="A518" s="10" t="s">
        <v>3085</v>
      </c>
      <c r="B518" s="9" t="s">
        <v>3086</v>
      </c>
      <c r="C518" s="9" t="s">
        <v>34</v>
      </c>
      <c r="D518" s="9" t="s">
        <v>3064</v>
      </c>
      <c r="E518" s="9" t="s">
        <v>35</v>
      </c>
      <c r="F518" s="9" t="s">
        <v>36</v>
      </c>
      <c r="G518" s="9">
        <v>1</v>
      </c>
      <c r="H518" s="9">
        <v>84219999</v>
      </c>
      <c r="I518" s="11" t="s">
        <v>37</v>
      </c>
      <c r="J518" s="12">
        <v>1.6500000000000001E-2</v>
      </c>
      <c r="K518" s="12">
        <v>7.5999999999999998E-2</v>
      </c>
      <c r="L518" s="12">
        <v>5.1999999999999998E-2</v>
      </c>
      <c r="M518" s="13">
        <v>8003453095342</v>
      </c>
      <c r="N518" s="14">
        <v>3.0880000000000001</v>
      </c>
      <c r="O518" s="14">
        <v>3.395</v>
      </c>
      <c r="P518" s="15">
        <v>45139</v>
      </c>
      <c r="Q518" s="16" t="s">
        <v>3087</v>
      </c>
      <c r="R518" s="17" t="s">
        <v>3088</v>
      </c>
      <c r="S518" s="17" t="s">
        <v>3089</v>
      </c>
      <c r="T518" s="17" t="s">
        <v>35</v>
      </c>
      <c r="U518" s="17" t="s">
        <v>3090</v>
      </c>
      <c r="V518" s="17" t="s">
        <v>3091</v>
      </c>
      <c r="W518" s="17" t="s">
        <v>3092</v>
      </c>
      <c r="X518" s="17" t="s">
        <v>3093</v>
      </c>
      <c r="Y518" s="17" t="s">
        <v>35</v>
      </c>
      <c r="Z518" s="17" t="s">
        <v>3094</v>
      </c>
      <c r="AA518" s="17" t="s">
        <v>3095</v>
      </c>
      <c r="AB518" s="17" t="s">
        <v>3096</v>
      </c>
      <c r="AC518" s="17" t="s">
        <v>9539</v>
      </c>
      <c r="AD518" s="42">
        <v>137.44999999999999</v>
      </c>
      <c r="AE518" s="42">
        <v>144.6</v>
      </c>
      <c r="AF518" s="48"/>
      <c r="AG518" s="44"/>
      <c r="AH518" s="7">
        <f t="shared" si="8"/>
        <v>0</v>
      </c>
      <c r="AI518" s="18"/>
      <c r="AJ518" s="18"/>
    </row>
    <row r="519" spans="1:38" ht="26.65" customHeight="1" x14ac:dyDescent="0.25">
      <c r="A519" s="10" t="s">
        <v>3097</v>
      </c>
      <c r="B519" s="9" t="s">
        <v>3086</v>
      </c>
      <c r="C519" s="9" t="s">
        <v>34</v>
      </c>
      <c r="D519" s="9" t="s">
        <v>3064</v>
      </c>
      <c r="E519" s="9" t="s">
        <v>35</v>
      </c>
      <c r="F519" s="9" t="s">
        <v>36</v>
      </c>
      <c r="G519" s="9">
        <v>1</v>
      </c>
      <c r="H519" s="9">
        <v>84219999</v>
      </c>
      <c r="I519" s="11" t="s">
        <v>37</v>
      </c>
      <c r="J519" s="12">
        <v>1.6500000000000001E-2</v>
      </c>
      <c r="K519" s="12">
        <v>7.5999999999999998E-2</v>
      </c>
      <c r="L519" s="12">
        <v>5.1999999999999998E-2</v>
      </c>
      <c r="M519" s="13">
        <v>8003453095410</v>
      </c>
      <c r="N519" s="14">
        <v>2.073</v>
      </c>
      <c r="O519" s="14">
        <v>2.7370000000000001</v>
      </c>
      <c r="P519" s="15">
        <v>45139</v>
      </c>
      <c r="Q519" s="16" t="s">
        <v>3057</v>
      </c>
      <c r="R519" s="17" t="s">
        <v>3098</v>
      </c>
      <c r="S519" s="17" t="s">
        <v>3099</v>
      </c>
      <c r="T519" s="17" t="s">
        <v>35</v>
      </c>
      <c r="U519" s="17" t="s">
        <v>35</v>
      </c>
      <c r="V519" s="17" t="s">
        <v>35</v>
      </c>
      <c r="W519" s="17" t="s">
        <v>35</v>
      </c>
      <c r="X519" s="17" t="s">
        <v>3100</v>
      </c>
      <c r="Y519" s="17" t="s">
        <v>35</v>
      </c>
      <c r="Z519" s="17" t="s">
        <v>3101</v>
      </c>
      <c r="AA519" s="17" t="s">
        <v>3102</v>
      </c>
      <c r="AB519" s="17" t="s">
        <v>3103</v>
      </c>
      <c r="AC519" s="17" t="s">
        <v>9539</v>
      </c>
      <c r="AD519" s="42">
        <v>154.12</v>
      </c>
      <c r="AE519" s="42">
        <v>162.13</v>
      </c>
      <c r="AF519" s="48"/>
      <c r="AG519" s="44"/>
      <c r="AH519" s="7">
        <f t="shared" si="8"/>
        <v>0</v>
      </c>
      <c r="AI519" s="18"/>
      <c r="AJ519" s="18"/>
    </row>
    <row r="520" spans="1:38" ht="26.65" customHeight="1" x14ac:dyDescent="0.25">
      <c r="A520" s="10" t="s">
        <v>3104</v>
      </c>
      <c r="B520" s="9" t="s">
        <v>3063</v>
      </c>
      <c r="C520" s="9" t="s">
        <v>154</v>
      </c>
      <c r="D520" s="9" t="s">
        <v>3064</v>
      </c>
      <c r="E520" s="9" t="s">
        <v>35</v>
      </c>
      <c r="F520" s="9" t="s">
        <v>36</v>
      </c>
      <c r="G520" s="9">
        <v>1</v>
      </c>
      <c r="H520" s="9">
        <v>84219999</v>
      </c>
      <c r="I520" s="11" t="s">
        <v>37</v>
      </c>
      <c r="J520" s="12">
        <v>1.6500000000000001E-2</v>
      </c>
      <c r="K520" s="12">
        <v>7.5999999999999998E-2</v>
      </c>
      <c r="L520" s="12">
        <v>5.1999999999999998E-2</v>
      </c>
      <c r="M520" s="13">
        <v>8003453095540</v>
      </c>
      <c r="N520" s="14">
        <v>0.54</v>
      </c>
      <c r="O520" s="14">
        <v>0.62</v>
      </c>
      <c r="P520" s="15">
        <v>44927</v>
      </c>
      <c r="Q520" s="16" t="s">
        <v>8665</v>
      </c>
      <c r="R520" s="17" t="s">
        <v>3105</v>
      </c>
      <c r="S520" s="17" t="s">
        <v>3106</v>
      </c>
      <c r="T520" s="17" t="s">
        <v>3107</v>
      </c>
      <c r="U520" s="17" t="s">
        <v>3108</v>
      </c>
      <c r="V520" s="17" t="s">
        <v>3109</v>
      </c>
      <c r="W520" s="17" t="s">
        <v>3110</v>
      </c>
      <c r="X520" s="17" t="s">
        <v>3111</v>
      </c>
      <c r="Y520" s="17" t="s">
        <v>3112</v>
      </c>
      <c r="Z520" s="17" t="s">
        <v>3113</v>
      </c>
      <c r="AA520" s="17" t="s">
        <v>35</v>
      </c>
      <c r="AB520" s="17" t="s">
        <v>3114</v>
      </c>
      <c r="AC520" s="17" t="s">
        <v>9539</v>
      </c>
      <c r="AD520" s="42">
        <v>46.51</v>
      </c>
      <c r="AE520" s="42">
        <v>48.93</v>
      </c>
      <c r="AF520" s="48"/>
      <c r="AG520" s="44"/>
      <c r="AH520" s="7">
        <f t="shared" si="8"/>
        <v>0</v>
      </c>
      <c r="AI520" s="18"/>
      <c r="AJ520" s="18"/>
    </row>
    <row r="521" spans="1:38" ht="26.65" customHeight="1" x14ac:dyDescent="0.25">
      <c r="A521" s="10" t="s">
        <v>3115</v>
      </c>
      <c r="B521" s="9" t="s">
        <v>3063</v>
      </c>
      <c r="C521" s="9" t="s">
        <v>154</v>
      </c>
      <c r="D521" s="9" t="s">
        <v>3064</v>
      </c>
      <c r="E521" s="9" t="s">
        <v>35</v>
      </c>
      <c r="F521" s="9" t="s">
        <v>36</v>
      </c>
      <c r="G521" s="9">
        <v>1</v>
      </c>
      <c r="H521" s="9">
        <v>84219999</v>
      </c>
      <c r="I521" s="11" t="s">
        <v>37</v>
      </c>
      <c r="J521" s="12">
        <v>1.6500000000000001E-2</v>
      </c>
      <c r="K521" s="12">
        <v>7.5999999999999998E-2</v>
      </c>
      <c r="L521" s="12">
        <v>5.1999999999999998E-2</v>
      </c>
      <c r="M521" s="13">
        <v>8003453095557</v>
      </c>
      <c r="N521" s="14">
        <v>0.45</v>
      </c>
      <c r="O521" s="14">
        <v>0.52</v>
      </c>
      <c r="P521" s="15">
        <v>44927</v>
      </c>
      <c r="Q521" s="16" t="s">
        <v>3116</v>
      </c>
      <c r="R521" s="17" t="s">
        <v>3117</v>
      </c>
      <c r="S521" s="17" t="s">
        <v>3118</v>
      </c>
      <c r="T521" s="17" t="s">
        <v>3119</v>
      </c>
      <c r="U521" s="17" t="s">
        <v>3120</v>
      </c>
      <c r="V521" s="17" t="s">
        <v>3121</v>
      </c>
      <c r="W521" s="17" t="s">
        <v>3122</v>
      </c>
      <c r="X521" s="17" t="s">
        <v>3123</v>
      </c>
      <c r="Y521" s="17" t="s">
        <v>3124</v>
      </c>
      <c r="Z521" s="17" t="s">
        <v>3125</v>
      </c>
      <c r="AA521" s="17" t="s">
        <v>35</v>
      </c>
      <c r="AB521" s="17" t="s">
        <v>3126</v>
      </c>
      <c r="AC521" s="17" t="s">
        <v>9539</v>
      </c>
      <c r="AD521" s="42">
        <v>40.369999999999997</v>
      </c>
      <c r="AE521" s="42">
        <v>42.47</v>
      </c>
      <c r="AF521" s="48"/>
      <c r="AG521" s="44"/>
      <c r="AH521" s="7">
        <f t="shared" si="8"/>
        <v>0</v>
      </c>
      <c r="AI521" s="18"/>
      <c r="AJ521" s="18"/>
    </row>
    <row r="522" spans="1:38" ht="26.65" customHeight="1" x14ac:dyDescent="0.25">
      <c r="A522" s="10" t="s">
        <v>3127</v>
      </c>
      <c r="B522" s="9" t="s">
        <v>3030</v>
      </c>
      <c r="C522" s="9" t="s">
        <v>43</v>
      </c>
      <c r="D522" s="9" t="s">
        <v>3031</v>
      </c>
      <c r="E522" s="9" t="s">
        <v>35</v>
      </c>
      <c r="F522" s="9" t="s">
        <v>36</v>
      </c>
      <c r="G522" s="9">
        <v>5</v>
      </c>
      <c r="H522" s="9">
        <v>84219999</v>
      </c>
      <c r="I522" s="11" t="s">
        <v>37</v>
      </c>
      <c r="J522" s="12">
        <v>1.6500000000000001E-2</v>
      </c>
      <c r="K522" s="12">
        <v>7.5999999999999998E-2</v>
      </c>
      <c r="L522" s="12">
        <v>5.1999999999999998E-2</v>
      </c>
      <c r="M522" s="13">
        <v>8003453098572</v>
      </c>
      <c r="N522" s="14">
        <v>0.3</v>
      </c>
      <c r="O522" s="14">
        <v>0.38400000000000001</v>
      </c>
      <c r="P522" s="15" t="s">
        <v>35</v>
      </c>
      <c r="Q522" s="16" t="s">
        <v>3128</v>
      </c>
      <c r="R522" s="17" t="s">
        <v>35</v>
      </c>
      <c r="S522" s="17" t="s">
        <v>3129</v>
      </c>
      <c r="T522" s="17" t="s">
        <v>3130</v>
      </c>
      <c r="U522" s="17" t="s">
        <v>3131</v>
      </c>
      <c r="V522" s="17" t="s">
        <v>3132</v>
      </c>
      <c r="W522" s="17" t="s">
        <v>3133</v>
      </c>
      <c r="X522" s="17" t="s">
        <v>3134</v>
      </c>
      <c r="Y522" s="17" t="s">
        <v>3135</v>
      </c>
      <c r="Z522" s="17" t="s">
        <v>3136</v>
      </c>
      <c r="AA522" s="17" t="s">
        <v>35</v>
      </c>
      <c r="AB522" s="17" t="s">
        <v>35</v>
      </c>
      <c r="AC522" s="17" t="s">
        <v>9539</v>
      </c>
      <c r="AD522" s="41">
        <v>24.68</v>
      </c>
      <c r="AE522" s="41">
        <v>25.96</v>
      </c>
      <c r="AF522" s="48"/>
      <c r="AG522" s="44"/>
      <c r="AH522" s="7">
        <f t="shared" si="8"/>
        <v>0</v>
      </c>
      <c r="AI522" s="18"/>
      <c r="AJ522" s="18"/>
      <c r="AL522" s="18"/>
    </row>
    <row r="523" spans="1:38" ht="26.65" customHeight="1" x14ac:dyDescent="0.25">
      <c r="A523" s="10" t="s">
        <v>3137</v>
      </c>
      <c r="B523" s="9" t="s">
        <v>3030</v>
      </c>
      <c r="C523" s="9" t="s">
        <v>58</v>
      </c>
      <c r="D523" s="9" t="s">
        <v>3031</v>
      </c>
      <c r="E523" s="9" t="s">
        <v>35</v>
      </c>
      <c r="F523" s="9" t="s">
        <v>36</v>
      </c>
      <c r="G523" s="9">
        <v>1</v>
      </c>
      <c r="H523" s="9">
        <v>84219999</v>
      </c>
      <c r="I523" s="11" t="s">
        <v>37</v>
      </c>
      <c r="J523" s="12">
        <v>1.6500000000000001E-2</v>
      </c>
      <c r="K523" s="12">
        <v>7.5999999999999998E-2</v>
      </c>
      <c r="L523" s="12">
        <v>5.1999999999999998E-2</v>
      </c>
      <c r="M523" s="13">
        <v>8003453098657</v>
      </c>
      <c r="N523" s="14">
        <v>3.1019999999999999</v>
      </c>
      <c r="O523" s="14">
        <v>3.5030000000000001</v>
      </c>
      <c r="P523" s="15" t="s">
        <v>35</v>
      </c>
      <c r="Q523" s="16" t="s">
        <v>3138</v>
      </c>
      <c r="R523" s="17" t="s">
        <v>35</v>
      </c>
      <c r="S523" s="17" t="s">
        <v>3139</v>
      </c>
      <c r="T523" s="17" t="s">
        <v>3140</v>
      </c>
      <c r="U523" s="17" t="s">
        <v>3141</v>
      </c>
      <c r="V523" s="17" t="s">
        <v>3142</v>
      </c>
      <c r="W523" s="17" t="s">
        <v>3143</v>
      </c>
      <c r="X523" s="17" t="s">
        <v>3144</v>
      </c>
      <c r="Y523" s="17" t="s">
        <v>3145</v>
      </c>
      <c r="Z523" s="17" t="s">
        <v>3146</v>
      </c>
      <c r="AA523" s="17" t="s">
        <v>35</v>
      </c>
      <c r="AB523" s="17" t="s">
        <v>3147</v>
      </c>
      <c r="AC523" s="17" t="s">
        <v>9539</v>
      </c>
      <c r="AD523" s="41">
        <v>160.85</v>
      </c>
      <c r="AE523" s="41">
        <v>169.21</v>
      </c>
      <c r="AF523" s="48"/>
      <c r="AG523" s="44"/>
      <c r="AH523" s="7">
        <f t="shared" si="8"/>
        <v>0</v>
      </c>
      <c r="AI523" s="18"/>
      <c r="AJ523" s="18"/>
      <c r="AL523" s="18"/>
    </row>
    <row r="524" spans="1:38" ht="26.65" customHeight="1" x14ac:dyDescent="0.25">
      <c r="A524" s="10" t="s">
        <v>3148</v>
      </c>
      <c r="B524" s="9" t="s">
        <v>3056</v>
      </c>
      <c r="C524" s="9" t="s">
        <v>34</v>
      </c>
      <c r="D524" s="9" t="s">
        <v>3031</v>
      </c>
      <c r="E524" s="9" t="s">
        <v>35</v>
      </c>
      <c r="F524" s="9" t="s">
        <v>36</v>
      </c>
      <c r="G524" s="9">
        <v>6</v>
      </c>
      <c r="H524" s="9">
        <v>84219999</v>
      </c>
      <c r="I524" s="11" t="s">
        <v>37</v>
      </c>
      <c r="J524" s="12">
        <v>1.6500000000000001E-2</v>
      </c>
      <c r="K524" s="12">
        <v>7.5999999999999998E-2</v>
      </c>
      <c r="L524" s="12">
        <v>5.1999999999999998E-2</v>
      </c>
      <c r="M524" s="13">
        <v>8003453098800</v>
      </c>
      <c r="N524" s="14">
        <v>0.14000000000000001</v>
      </c>
      <c r="O524" s="14">
        <v>0.17199999999999999</v>
      </c>
      <c r="P524" s="15">
        <v>45170</v>
      </c>
      <c r="Q524" s="16" t="s">
        <v>3149</v>
      </c>
      <c r="R524" s="17" t="s">
        <v>3150</v>
      </c>
      <c r="S524" s="17" t="s">
        <v>3151</v>
      </c>
      <c r="T524" s="17" t="s">
        <v>3152</v>
      </c>
      <c r="U524" s="17" t="s">
        <v>35</v>
      </c>
      <c r="V524" s="17" t="s">
        <v>35</v>
      </c>
      <c r="W524" s="17" t="s">
        <v>35</v>
      </c>
      <c r="X524" s="17" t="s">
        <v>3153</v>
      </c>
      <c r="Y524" s="17" t="s">
        <v>35</v>
      </c>
      <c r="Z524" s="17" t="s">
        <v>3154</v>
      </c>
      <c r="AA524" s="17" t="s">
        <v>35</v>
      </c>
      <c r="AB524" s="17" t="s">
        <v>3155</v>
      </c>
      <c r="AC524" s="17" t="s">
        <v>9539</v>
      </c>
      <c r="AD524" s="42">
        <v>59.68</v>
      </c>
      <c r="AE524" s="42">
        <v>62.78</v>
      </c>
      <c r="AF524" s="48"/>
      <c r="AG524" s="44"/>
      <c r="AH524" s="7">
        <f t="shared" si="8"/>
        <v>0</v>
      </c>
      <c r="AI524" s="18"/>
      <c r="AJ524" s="18"/>
    </row>
    <row r="525" spans="1:38" ht="26.65" customHeight="1" x14ac:dyDescent="0.25">
      <c r="A525" s="10" t="s">
        <v>3156</v>
      </c>
      <c r="B525" s="9" t="s">
        <v>3063</v>
      </c>
      <c r="C525" s="9" t="s">
        <v>34</v>
      </c>
      <c r="D525" s="9" t="s">
        <v>3064</v>
      </c>
      <c r="E525" s="9" t="s">
        <v>35</v>
      </c>
      <c r="F525" s="9" t="s">
        <v>36</v>
      </c>
      <c r="G525" s="9">
        <v>1</v>
      </c>
      <c r="H525" s="9">
        <v>84219999</v>
      </c>
      <c r="I525" s="11" t="s">
        <v>37</v>
      </c>
      <c r="J525" s="12">
        <v>1.6500000000000001E-2</v>
      </c>
      <c r="K525" s="12">
        <v>7.5999999999999998E-2</v>
      </c>
      <c r="L525" s="12">
        <v>5.1999999999999998E-2</v>
      </c>
      <c r="M525" s="13">
        <v>8003453099029</v>
      </c>
      <c r="N525" s="14">
        <v>0.6</v>
      </c>
      <c r="O525" s="14">
        <v>0.68</v>
      </c>
      <c r="P525" s="15" t="s">
        <v>35</v>
      </c>
      <c r="Q525" s="16" t="s">
        <v>3157</v>
      </c>
      <c r="R525" s="17" t="s">
        <v>35</v>
      </c>
      <c r="S525" s="17" t="s">
        <v>3158</v>
      </c>
      <c r="T525" s="17" t="s">
        <v>3159</v>
      </c>
      <c r="U525" s="17" t="s">
        <v>3160</v>
      </c>
      <c r="V525" s="17" t="s">
        <v>3161</v>
      </c>
      <c r="W525" s="17" t="s">
        <v>3162</v>
      </c>
      <c r="X525" s="17" t="s">
        <v>3163</v>
      </c>
      <c r="Y525" s="17" t="s">
        <v>3164</v>
      </c>
      <c r="Z525" s="17" t="s">
        <v>3165</v>
      </c>
      <c r="AA525" s="17" t="s">
        <v>35</v>
      </c>
      <c r="AB525" s="17" t="s">
        <v>3166</v>
      </c>
      <c r="AC525" s="17" t="s">
        <v>9539</v>
      </c>
      <c r="AD525" s="41">
        <v>57.42</v>
      </c>
      <c r="AE525" s="41">
        <v>60.41</v>
      </c>
      <c r="AF525" s="48"/>
      <c r="AG525" s="44"/>
      <c r="AH525" s="7">
        <f t="shared" si="8"/>
        <v>0</v>
      </c>
      <c r="AI525" s="18"/>
      <c r="AJ525" s="18"/>
      <c r="AL525" s="18"/>
    </row>
    <row r="526" spans="1:38" ht="26.65" customHeight="1" x14ac:dyDescent="0.25">
      <c r="A526" s="10" t="s">
        <v>3167</v>
      </c>
      <c r="B526" s="9" t="s">
        <v>3063</v>
      </c>
      <c r="C526" s="9" t="s">
        <v>58</v>
      </c>
      <c r="D526" s="9" t="s">
        <v>3064</v>
      </c>
      <c r="E526" s="9" t="s">
        <v>35</v>
      </c>
      <c r="F526" s="9" t="s">
        <v>36</v>
      </c>
      <c r="G526" s="9">
        <v>1</v>
      </c>
      <c r="H526" s="9">
        <v>84219999</v>
      </c>
      <c r="I526" s="11" t="s">
        <v>37</v>
      </c>
      <c r="J526" s="12">
        <v>1.6500000000000001E-2</v>
      </c>
      <c r="K526" s="12">
        <v>7.5999999999999998E-2</v>
      </c>
      <c r="L526" s="12">
        <v>5.1999999999999998E-2</v>
      </c>
      <c r="M526" s="13">
        <v>8003453099036</v>
      </c>
      <c r="N526" s="14">
        <v>1.02</v>
      </c>
      <c r="O526" s="14">
        <v>1.19</v>
      </c>
      <c r="P526" s="15" t="s">
        <v>35</v>
      </c>
      <c r="Q526" s="16" t="s">
        <v>3168</v>
      </c>
      <c r="R526" s="17" t="s">
        <v>35</v>
      </c>
      <c r="S526" s="17" t="s">
        <v>3169</v>
      </c>
      <c r="T526" s="17" t="s">
        <v>3170</v>
      </c>
      <c r="U526" s="17" t="s">
        <v>3171</v>
      </c>
      <c r="V526" s="17" t="s">
        <v>3172</v>
      </c>
      <c r="W526" s="17" t="s">
        <v>3173</v>
      </c>
      <c r="X526" s="17" t="s">
        <v>3174</v>
      </c>
      <c r="Y526" s="17" t="s">
        <v>3175</v>
      </c>
      <c r="Z526" s="17" t="s">
        <v>3176</v>
      </c>
      <c r="AA526" s="17" t="s">
        <v>35</v>
      </c>
      <c r="AB526" s="17" t="s">
        <v>3177</v>
      </c>
      <c r="AC526" s="17" t="s">
        <v>9539</v>
      </c>
      <c r="AD526" s="42">
        <v>81.7</v>
      </c>
      <c r="AE526" s="42">
        <v>85.95</v>
      </c>
      <c r="AF526" s="48"/>
      <c r="AG526" s="44"/>
      <c r="AH526" s="7">
        <f t="shared" si="8"/>
        <v>0</v>
      </c>
      <c r="AI526" s="18"/>
      <c r="AJ526" s="18"/>
    </row>
    <row r="527" spans="1:38" ht="26.65" customHeight="1" x14ac:dyDescent="0.25">
      <c r="A527" s="10" t="s">
        <v>3178</v>
      </c>
      <c r="B527" s="9" t="s">
        <v>3030</v>
      </c>
      <c r="C527" s="9" t="s">
        <v>43</v>
      </c>
      <c r="D527" s="9" t="s">
        <v>3031</v>
      </c>
      <c r="E527" s="9" t="s">
        <v>35</v>
      </c>
      <c r="F527" s="9" t="s">
        <v>36</v>
      </c>
      <c r="G527" s="9">
        <v>1</v>
      </c>
      <c r="H527" s="9">
        <v>84219999</v>
      </c>
      <c r="I527" s="11" t="s">
        <v>37</v>
      </c>
      <c r="J527" s="12">
        <v>1.6500000000000001E-2</v>
      </c>
      <c r="K527" s="12">
        <v>7.5999999999999998E-2</v>
      </c>
      <c r="L527" s="12">
        <v>5.1999999999999998E-2</v>
      </c>
      <c r="M527" s="13">
        <v>8003453099135</v>
      </c>
      <c r="N527" s="14">
        <v>0.89800000000000002</v>
      </c>
      <c r="O527" s="14">
        <v>0.91400000000000003</v>
      </c>
      <c r="P527" s="15" t="s">
        <v>35</v>
      </c>
      <c r="Q527" s="16" t="s">
        <v>3179</v>
      </c>
      <c r="R527" s="17" t="s">
        <v>35</v>
      </c>
      <c r="S527" s="17" t="s">
        <v>3180</v>
      </c>
      <c r="T527" s="17" t="s">
        <v>35</v>
      </c>
      <c r="U527" s="17" t="s">
        <v>3181</v>
      </c>
      <c r="V527" s="17" t="s">
        <v>3182</v>
      </c>
      <c r="W527" s="17" t="s">
        <v>3183</v>
      </c>
      <c r="X527" s="17" t="s">
        <v>3184</v>
      </c>
      <c r="Y527" s="17" t="s">
        <v>3185</v>
      </c>
      <c r="Z527" s="17" t="s">
        <v>3186</v>
      </c>
      <c r="AA527" s="17" t="s">
        <v>35</v>
      </c>
      <c r="AB527" s="17" t="s">
        <v>35</v>
      </c>
      <c r="AC527" s="17" t="s">
        <v>9539</v>
      </c>
      <c r="AD527" s="42">
        <v>46.14</v>
      </c>
      <c r="AE527" s="42">
        <v>48.54</v>
      </c>
      <c r="AF527" s="48"/>
      <c r="AG527" s="44"/>
      <c r="AH527" s="7">
        <f t="shared" si="8"/>
        <v>0</v>
      </c>
      <c r="AI527" s="18"/>
      <c r="AJ527" s="18"/>
    </row>
    <row r="528" spans="1:38" ht="26.65" customHeight="1" x14ac:dyDescent="0.25">
      <c r="A528" s="10" t="s">
        <v>9608</v>
      </c>
      <c r="B528" s="9" t="s">
        <v>3030</v>
      </c>
      <c r="C528" s="9" t="s">
        <v>34</v>
      </c>
      <c r="D528" s="9" t="s">
        <v>3207</v>
      </c>
      <c r="E528" s="9" t="s">
        <v>35</v>
      </c>
      <c r="F528" s="9" t="s">
        <v>36</v>
      </c>
      <c r="G528" s="9">
        <v>1</v>
      </c>
      <c r="H528" s="9">
        <v>84219999</v>
      </c>
      <c r="I528" s="11" t="s">
        <v>37</v>
      </c>
      <c r="J528" s="12">
        <v>1.6500000000000001E-2</v>
      </c>
      <c r="K528" s="12">
        <v>7.5999999999999998E-2</v>
      </c>
      <c r="L528" s="12">
        <v>5.1999999999999998E-2</v>
      </c>
      <c r="M528" s="13">
        <v>8003453099166</v>
      </c>
      <c r="N528" s="14">
        <v>3.4449999999999998</v>
      </c>
      <c r="O528" s="14">
        <v>3.8</v>
      </c>
      <c r="P528" s="15">
        <v>45474</v>
      </c>
      <c r="Q528" s="16" t="s">
        <v>9609</v>
      </c>
      <c r="R528" s="17" t="s">
        <v>9610</v>
      </c>
      <c r="S528" s="17" t="s">
        <v>9611</v>
      </c>
      <c r="T528" s="17" t="s">
        <v>35</v>
      </c>
      <c r="U528" s="17" t="s">
        <v>35</v>
      </c>
      <c r="V528" s="17" t="s">
        <v>35</v>
      </c>
      <c r="W528" s="17" t="s">
        <v>35</v>
      </c>
      <c r="X528" s="17" t="s">
        <v>9612</v>
      </c>
      <c r="Y528" s="17" t="s">
        <v>35</v>
      </c>
      <c r="Z528" s="17" t="s">
        <v>9613</v>
      </c>
      <c r="AA528" s="17" t="s">
        <v>35</v>
      </c>
      <c r="AB528" s="17" t="s">
        <v>9614</v>
      </c>
      <c r="AC528" s="17" t="s">
        <v>9539</v>
      </c>
      <c r="AD528" s="42">
        <v>209.94</v>
      </c>
      <c r="AE528" s="42">
        <v>220.86</v>
      </c>
      <c r="AF528" s="48"/>
      <c r="AG528" s="44"/>
      <c r="AH528" s="7">
        <f t="shared" si="8"/>
        <v>0</v>
      </c>
      <c r="AI528" s="18"/>
      <c r="AJ528" s="18"/>
    </row>
    <row r="529" spans="1:38" ht="26.65" customHeight="1" x14ac:dyDescent="0.25">
      <c r="A529" s="10" t="s">
        <v>9615</v>
      </c>
      <c r="B529" s="9" t="s">
        <v>3030</v>
      </c>
      <c r="C529" s="9" t="s">
        <v>34</v>
      </c>
      <c r="D529" s="9" t="s">
        <v>3064</v>
      </c>
      <c r="E529" s="9" t="s">
        <v>35</v>
      </c>
      <c r="F529" s="9" t="s">
        <v>36</v>
      </c>
      <c r="G529" s="9">
        <v>1</v>
      </c>
      <c r="H529" s="9">
        <v>84219999</v>
      </c>
      <c r="I529" s="11" t="s">
        <v>37</v>
      </c>
      <c r="J529" s="12">
        <v>1.6500000000000001E-2</v>
      </c>
      <c r="K529" s="12">
        <v>7.5999999999999998E-2</v>
      </c>
      <c r="L529" s="12">
        <v>5.1999999999999998E-2</v>
      </c>
      <c r="M529" s="13">
        <v>8003453099173</v>
      </c>
      <c r="N529" s="14">
        <v>0.73</v>
      </c>
      <c r="O529" s="14">
        <v>0.9</v>
      </c>
      <c r="P529" s="15">
        <v>45474</v>
      </c>
      <c r="Q529" s="16" t="s">
        <v>9609</v>
      </c>
      <c r="R529" s="17" t="s">
        <v>9616</v>
      </c>
      <c r="S529" s="17" t="s">
        <v>9617</v>
      </c>
      <c r="T529" s="17" t="s">
        <v>35</v>
      </c>
      <c r="U529" s="17" t="s">
        <v>35</v>
      </c>
      <c r="V529" s="17" t="s">
        <v>35</v>
      </c>
      <c r="W529" s="17" t="s">
        <v>35</v>
      </c>
      <c r="X529" s="17" t="s">
        <v>9618</v>
      </c>
      <c r="Y529" s="17" t="s">
        <v>35</v>
      </c>
      <c r="Z529" s="17" t="s">
        <v>9619</v>
      </c>
      <c r="AA529" s="17" t="s">
        <v>35</v>
      </c>
      <c r="AB529" s="17" t="s">
        <v>9620</v>
      </c>
      <c r="AC529" s="17" t="s">
        <v>9539</v>
      </c>
      <c r="AD529" s="42">
        <v>100.93</v>
      </c>
      <c r="AE529" s="42">
        <v>106.18</v>
      </c>
      <c r="AF529" s="48"/>
      <c r="AG529" s="44"/>
      <c r="AH529" s="7">
        <f t="shared" si="8"/>
        <v>0</v>
      </c>
      <c r="AI529" s="18"/>
      <c r="AJ529" s="18"/>
    </row>
    <row r="530" spans="1:38" ht="26.65" customHeight="1" x14ac:dyDescent="0.25">
      <c r="A530" s="10" t="s">
        <v>3187</v>
      </c>
      <c r="B530" s="9" t="s">
        <v>3086</v>
      </c>
      <c r="C530" s="9" t="s">
        <v>34</v>
      </c>
      <c r="D530" s="9" t="s">
        <v>3064</v>
      </c>
      <c r="E530" s="9" t="s">
        <v>35</v>
      </c>
      <c r="F530" s="9" t="s">
        <v>36</v>
      </c>
      <c r="G530" s="9">
        <v>1</v>
      </c>
      <c r="H530" s="9">
        <v>84219999</v>
      </c>
      <c r="I530" s="11" t="s">
        <v>37</v>
      </c>
      <c r="J530" s="12">
        <v>1.6500000000000001E-2</v>
      </c>
      <c r="K530" s="12">
        <v>7.5999999999999998E-2</v>
      </c>
      <c r="L530" s="12">
        <v>5.1999999999999998E-2</v>
      </c>
      <c r="M530" s="13">
        <v>8003453099203</v>
      </c>
      <c r="N530" s="14">
        <v>1.56</v>
      </c>
      <c r="O530" s="14">
        <v>1.8</v>
      </c>
      <c r="P530" s="15">
        <v>45139</v>
      </c>
      <c r="Q530" s="16" t="s">
        <v>3188</v>
      </c>
      <c r="R530" s="17" t="s">
        <v>3189</v>
      </c>
      <c r="S530" s="17" t="s">
        <v>3190</v>
      </c>
      <c r="T530" s="17" t="s">
        <v>35</v>
      </c>
      <c r="U530" s="17" t="s">
        <v>3191</v>
      </c>
      <c r="V530" s="17" t="s">
        <v>35</v>
      </c>
      <c r="W530" s="17" t="s">
        <v>35</v>
      </c>
      <c r="X530" s="17" t="s">
        <v>3192</v>
      </c>
      <c r="Y530" s="17" t="s">
        <v>35</v>
      </c>
      <c r="Z530" s="17" t="s">
        <v>3193</v>
      </c>
      <c r="AA530" s="17" t="s">
        <v>35</v>
      </c>
      <c r="AB530" s="17" t="s">
        <v>3194</v>
      </c>
      <c r="AC530" s="17" t="s">
        <v>9539</v>
      </c>
      <c r="AD530" s="42">
        <v>169.51</v>
      </c>
      <c r="AE530" s="42">
        <v>178.32</v>
      </c>
      <c r="AF530" s="48"/>
      <c r="AG530" s="44"/>
      <c r="AH530" s="7">
        <f t="shared" si="8"/>
        <v>0</v>
      </c>
      <c r="AI530" s="18"/>
      <c r="AJ530" s="18"/>
    </row>
    <row r="531" spans="1:38" ht="26.65" customHeight="1" x14ac:dyDescent="0.25">
      <c r="A531" s="10" t="s">
        <v>3195</v>
      </c>
      <c r="B531" s="9" t="s">
        <v>3030</v>
      </c>
      <c r="C531" s="9" t="s">
        <v>34</v>
      </c>
      <c r="D531" s="9" t="s">
        <v>3031</v>
      </c>
      <c r="E531" s="9" t="s">
        <v>35</v>
      </c>
      <c r="F531" s="9" t="s">
        <v>36</v>
      </c>
      <c r="G531" s="9">
        <v>1</v>
      </c>
      <c r="H531" s="9">
        <v>84219999</v>
      </c>
      <c r="I531" s="11" t="s">
        <v>37</v>
      </c>
      <c r="J531" s="12">
        <v>1.6500000000000001E-2</v>
      </c>
      <c r="K531" s="12">
        <v>7.5999999999999998E-2</v>
      </c>
      <c r="L531" s="12">
        <v>5.1999999999999998E-2</v>
      </c>
      <c r="M531" s="13">
        <v>8003453099319</v>
      </c>
      <c r="N531" s="14">
        <v>0.28999999999999998</v>
      </c>
      <c r="O531" s="14">
        <v>0.35299999999999998</v>
      </c>
      <c r="P531" s="15" t="s">
        <v>35</v>
      </c>
      <c r="Q531" s="16" t="s">
        <v>3196</v>
      </c>
      <c r="R531" s="17" t="s">
        <v>35</v>
      </c>
      <c r="S531" s="17" t="s">
        <v>3197</v>
      </c>
      <c r="T531" s="17" t="s">
        <v>3198</v>
      </c>
      <c r="U531" s="17" t="s">
        <v>3199</v>
      </c>
      <c r="V531" s="17" t="s">
        <v>3200</v>
      </c>
      <c r="W531" s="17" t="s">
        <v>35</v>
      </c>
      <c r="X531" s="17" t="s">
        <v>3201</v>
      </c>
      <c r="Y531" s="17" t="s">
        <v>3202</v>
      </c>
      <c r="Z531" s="17" t="s">
        <v>3203</v>
      </c>
      <c r="AA531" s="17" t="s">
        <v>35</v>
      </c>
      <c r="AB531" s="17" t="s">
        <v>3204</v>
      </c>
      <c r="AC531" s="17" t="s">
        <v>9539</v>
      </c>
      <c r="AD531" s="42">
        <v>184.16</v>
      </c>
      <c r="AE531" s="42">
        <v>193.74</v>
      </c>
      <c r="AF531" s="48"/>
      <c r="AG531" s="44"/>
      <c r="AH531" s="7">
        <f t="shared" si="8"/>
        <v>0</v>
      </c>
      <c r="AI531" s="18"/>
      <c r="AJ531" s="18"/>
    </row>
    <row r="532" spans="1:38" ht="26.65" customHeight="1" x14ac:dyDescent="0.25">
      <c r="A532" s="10" t="s">
        <v>3205</v>
      </c>
      <c r="B532" s="9" t="s">
        <v>3206</v>
      </c>
      <c r="C532" s="9" t="s">
        <v>58</v>
      </c>
      <c r="D532" s="9" t="s">
        <v>3207</v>
      </c>
      <c r="E532" s="9" t="s">
        <v>122</v>
      </c>
      <c r="F532" s="9" t="s">
        <v>36</v>
      </c>
      <c r="G532" s="9">
        <v>1</v>
      </c>
      <c r="H532" s="9">
        <v>84219999</v>
      </c>
      <c r="I532" s="11" t="s">
        <v>37</v>
      </c>
      <c r="J532" s="12">
        <v>1.6500000000000001E-2</v>
      </c>
      <c r="K532" s="12">
        <v>7.5999999999999998E-2</v>
      </c>
      <c r="L532" s="12">
        <v>5.1999999999999998E-2</v>
      </c>
      <c r="M532" s="13">
        <v>8003453099340</v>
      </c>
      <c r="N532" s="14">
        <v>0.49</v>
      </c>
      <c r="O532" s="14">
        <v>0.55000000000000004</v>
      </c>
      <c r="P532" s="15">
        <v>45078</v>
      </c>
      <c r="Q532" s="16" t="s">
        <v>3208</v>
      </c>
      <c r="R532" s="17" t="s">
        <v>3209</v>
      </c>
      <c r="S532" s="17" t="s">
        <v>3210</v>
      </c>
      <c r="T532" s="17" t="s">
        <v>3211</v>
      </c>
      <c r="U532" s="17" t="s">
        <v>3212</v>
      </c>
      <c r="V532" s="17" t="s">
        <v>3213</v>
      </c>
      <c r="W532" s="17" t="s">
        <v>35</v>
      </c>
      <c r="X532" s="17" t="s">
        <v>3214</v>
      </c>
      <c r="Y532" s="17" t="s">
        <v>35</v>
      </c>
      <c r="Z532" s="17" t="s">
        <v>3215</v>
      </c>
      <c r="AA532" s="17" t="s">
        <v>35</v>
      </c>
      <c r="AB532" s="17" t="s">
        <v>3216</v>
      </c>
      <c r="AC532" s="17" t="s">
        <v>9539</v>
      </c>
      <c r="AD532" s="42">
        <v>274.64</v>
      </c>
      <c r="AE532" s="42">
        <v>288.92</v>
      </c>
      <c r="AF532" s="48"/>
      <c r="AG532" s="44"/>
      <c r="AH532" s="7">
        <f t="shared" si="8"/>
        <v>0</v>
      </c>
      <c r="AI532" s="18"/>
      <c r="AJ532" s="18"/>
    </row>
    <row r="533" spans="1:38" ht="26.65" customHeight="1" x14ac:dyDescent="0.25">
      <c r="A533" s="10" t="s">
        <v>3217</v>
      </c>
      <c r="B533" s="9" t="s">
        <v>3063</v>
      </c>
      <c r="C533" s="9" t="s">
        <v>58</v>
      </c>
      <c r="D533" s="9" t="s">
        <v>3064</v>
      </c>
      <c r="E533" s="9" t="s">
        <v>35</v>
      </c>
      <c r="F533" s="9" t="s">
        <v>36</v>
      </c>
      <c r="G533" s="9">
        <v>1</v>
      </c>
      <c r="H533" s="9">
        <v>84219999</v>
      </c>
      <c r="I533" s="11" t="s">
        <v>37</v>
      </c>
      <c r="J533" s="12">
        <v>1.6500000000000001E-2</v>
      </c>
      <c r="K533" s="12">
        <v>7.5999999999999998E-2</v>
      </c>
      <c r="L533" s="12">
        <v>5.1999999999999998E-2</v>
      </c>
      <c r="M533" s="13">
        <v>8003453099388</v>
      </c>
      <c r="N533" s="14">
        <v>0.28100000000000003</v>
      </c>
      <c r="O533" s="14">
        <v>0.35599999999999998</v>
      </c>
      <c r="P533" s="15">
        <v>44805</v>
      </c>
      <c r="Q533" s="16" t="s">
        <v>3218</v>
      </c>
      <c r="R533" s="17" t="s">
        <v>3219</v>
      </c>
      <c r="S533" s="17" t="s">
        <v>3220</v>
      </c>
      <c r="T533" s="17" t="s">
        <v>3221</v>
      </c>
      <c r="U533" s="17" t="s">
        <v>3222</v>
      </c>
      <c r="V533" s="17" t="s">
        <v>3223</v>
      </c>
      <c r="W533" s="17" t="s">
        <v>3224</v>
      </c>
      <c r="X533" s="17" t="s">
        <v>3225</v>
      </c>
      <c r="Y533" s="17" t="s">
        <v>3226</v>
      </c>
      <c r="Z533" s="17" t="s">
        <v>3227</v>
      </c>
      <c r="AA533" s="17" t="s">
        <v>3228</v>
      </c>
      <c r="AB533" s="17" t="s">
        <v>3229</v>
      </c>
      <c r="AC533" s="17" t="s">
        <v>9539</v>
      </c>
      <c r="AD533" s="42">
        <v>35.5</v>
      </c>
      <c r="AE533" s="42">
        <v>37.35</v>
      </c>
      <c r="AF533" s="48"/>
      <c r="AG533" s="44"/>
      <c r="AH533" s="7">
        <f t="shared" si="8"/>
        <v>0</v>
      </c>
      <c r="AI533" s="18"/>
      <c r="AJ533" s="18"/>
    </row>
    <row r="534" spans="1:38" ht="26.65" customHeight="1" x14ac:dyDescent="0.25">
      <c r="A534" s="10" t="s">
        <v>3230</v>
      </c>
      <c r="B534" s="9" t="s">
        <v>3030</v>
      </c>
      <c r="C534" s="9" t="s">
        <v>43</v>
      </c>
      <c r="D534" s="9" t="s">
        <v>3031</v>
      </c>
      <c r="E534" s="9" t="s">
        <v>35</v>
      </c>
      <c r="F534" s="9" t="s">
        <v>36</v>
      </c>
      <c r="G534" s="9">
        <v>5</v>
      </c>
      <c r="H534" s="9">
        <v>84219999</v>
      </c>
      <c r="I534" s="11" t="s">
        <v>37</v>
      </c>
      <c r="J534" s="12">
        <v>1.6500000000000001E-2</v>
      </c>
      <c r="K534" s="12">
        <v>7.5999999999999998E-2</v>
      </c>
      <c r="L534" s="12">
        <v>5.1999999999999998E-2</v>
      </c>
      <c r="M534" s="13">
        <v>8003453099500</v>
      </c>
      <c r="N534" s="14">
        <v>0.17499999999999999</v>
      </c>
      <c r="O534" s="14">
        <v>0.27500000000000002</v>
      </c>
      <c r="P534" s="15" t="s">
        <v>35</v>
      </c>
      <c r="Q534" s="16" t="s">
        <v>3231</v>
      </c>
      <c r="R534" s="17" t="s">
        <v>35</v>
      </c>
      <c r="S534" s="17" t="s">
        <v>3232</v>
      </c>
      <c r="T534" s="17" t="s">
        <v>3233</v>
      </c>
      <c r="U534" s="17" t="s">
        <v>3234</v>
      </c>
      <c r="V534" s="17" t="s">
        <v>35</v>
      </c>
      <c r="W534" s="17" t="s">
        <v>3235</v>
      </c>
      <c r="X534" s="17" t="s">
        <v>3236</v>
      </c>
      <c r="Y534" s="17" t="s">
        <v>3237</v>
      </c>
      <c r="Z534" s="17" t="s">
        <v>35</v>
      </c>
      <c r="AA534" s="17" t="s">
        <v>35</v>
      </c>
      <c r="AB534" s="17" t="s">
        <v>35</v>
      </c>
      <c r="AC534" s="17" t="s">
        <v>9539</v>
      </c>
      <c r="AD534" s="41">
        <v>19.05</v>
      </c>
      <c r="AE534" s="41">
        <v>20.04</v>
      </c>
      <c r="AF534" s="48"/>
      <c r="AG534" s="44"/>
      <c r="AH534" s="7">
        <f t="shared" si="8"/>
        <v>0</v>
      </c>
      <c r="AI534" s="18"/>
      <c r="AJ534" s="18"/>
      <c r="AL534" s="18"/>
    </row>
    <row r="535" spans="1:38" ht="26.65" customHeight="1" x14ac:dyDescent="0.25">
      <c r="A535" s="10" t="s">
        <v>3238</v>
      </c>
      <c r="B535" s="9" t="s">
        <v>3030</v>
      </c>
      <c r="C535" s="9" t="s">
        <v>34</v>
      </c>
      <c r="D535" s="9" t="s">
        <v>3031</v>
      </c>
      <c r="E535" s="9" t="s">
        <v>35</v>
      </c>
      <c r="F535" s="9" t="s">
        <v>36</v>
      </c>
      <c r="G535" s="9">
        <v>1</v>
      </c>
      <c r="H535" s="9">
        <v>84219999</v>
      </c>
      <c r="I535" s="11" t="s">
        <v>37</v>
      </c>
      <c r="J535" s="12">
        <v>1.6500000000000001E-2</v>
      </c>
      <c r="K535" s="12">
        <v>7.5999999999999998E-2</v>
      </c>
      <c r="L535" s="12">
        <v>5.1999999999999998E-2</v>
      </c>
      <c r="M535" s="13">
        <v>8003453099609</v>
      </c>
      <c r="N535" s="14">
        <v>2.5070000000000001</v>
      </c>
      <c r="O535" s="14">
        <v>2.8260000000000001</v>
      </c>
      <c r="P535" s="15" t="s">
        <v>35</v>
      </c>
      <c r="Q535" s="16" t="s">
        <v>3239</v>
      </c>
      <c r="R535" s="17">
        <v>1907553</v>
      </c>
      <c r="S535" s="17" t="s">
        <v>3240</v>
      </c>
      <c r="T535" s="17" t="s">
        <v>3241</v>
      </c>
      <c r="U535" s="17" t="s">
        <v>35</v>
      </c>
      <c r="V535" s="17" t="s">
        <v>3242</v>
      </c>
      <c r="W535" s="17" t="s">
        <v>35</v>
      </c>
      <c r="X535" s="17" t="s">
        <v>35</v>
      </c>
      <c r="Y535" s="17" t="s">
        <v>35</v>
      </c>
      <c r="Z535" s="17" t="s">
        <v>3243</v>
      </c>
      <c r="AA535" s="17" t="s">
        <v>35</v>
      </c>
      <c r="AB535" s="17" t="s">
        <v>3244</v>
      </c>
      <c r="AC535" s="17" t="s">
        <v>9539</v>
      </c>
      <c r="AD535" s="41">
        <v>131.88999999999999</v>
      </c>
      <c r="AE535" s="41">
        <v>138.75</v>
      </c>
      <c r="AF535" s="48"/>
      <c r="AG535" s="44"/>
      <c r="AH535" s="7">
        <f t="shared" si="8"/>
        <v>0</v>
      </c>
      <c r="AI535" s="18"/>
      <c r="AJ535" s="18"/>
    </row>
    <row r="536" spans="1:38" ht="26.65" customHeight="1" x14ac:dyDescent="0.25">
      <c r="A536" s="10" t="s">
        <v>3245</v>
      </c>
      <c r="B536" s="9" t="s">
        <v>3030</v>
      </c>
      <c r="C536" s="9" t="s">
        <v>43</v>
      </c>
      <c r="D536" s="9" t="s">
        <v>3031</v>
      </c>
      <c r="E536" s="9" t="s">
        <v>35</v>
      </c>
      <c r="F536" s="9" t="s">
        <v>36</v>
      </c>
      <c r="G536" s="9">
        <v>5</v>
      </c>
      <c r="H536" s="9">
        <v>84219999</v>
      </c>
      <c r="I536" s="11" t="s">
        <v>37</v>
      </c>
      <c r="J536" s="12">
        <v>1.6500000000000001E-2</v>
      </c>
      <c r="K536" s="12">
        <v>7.5999999999999998E-2</v>
      </c>
      <c r="L536" s="12">
        <v>5.1999999999999998E-2</v>
      </c>
      <c r="M536" s="13">
        <v>8003453099678</v>
      </c>
      <c r="N536" s="14">
        <v>0.29099999999999998</v>
      </c>
      <c r="O536" s="14">
        <v>0.37</v>
      </c>
      <c r="P536" s="15" t="s">
        <v>35</v>
      </c>
      <c r="Q536" s="16" t="s">
        <v>3246</v>
      </c>
      <c r="R536" s="17" t="s">
        <v>35</v>
      </c>
      <c r="S536" s="17" t="s">
        <v>3247</v>
      </c>
      <c r="T536" s="17" t="s">
        <v>3248</v>
      </c>
      <c r="U536" s="17" t="s">
        <v>3249</v>
      </c>
      <c r="V536" s="17" t="s">
        <v>3250</v>
      </c>
      <c r="W536" s="17" t="s">
        <v>3251</v>
      </c>
      <c r="X536" s="17" t="s">
        <v>3252</v>
      </c>
      <c r="Y536" s="17" t="s">
        <v>3253</v>
      </c>
      <c r="Z536" s="17" t="s">
        <v>35</v>
      </c>
      <c r="AA536" s="17" t="s">
        <v>35</v>
      </c>
      <c r="AB536" s="17" t="s">
        <v>35</v>
      </c>
      <c r="AC536" s="17" t="s">
        <v>9539</v>
      </c>
      <c r="AD536" s="41">
        <v>23.9</v>
      </c>
      <c r="AE536" s="41">
        <v>25.14</v>
      </c>
      <c r="AF536" s="48"/>
      <c r="AG536" s="44"/>
      <c r="AH536" s="7">
        <f t="shared" si="8"/>
        <v>0</v>
      </c>
      <c r="AI536" s="18"/>
      <c r="AJ536" s="18"/>
    </row>
    <row r="537" spans="1:38" ht="26.65" customHeight="1" x14ac:dyDescent="0.25">
      <c r="A537" s="10" t="s">
        <v>3254</v>
      </c>
      <c r="B537" s="9" t="s">
        <v>3030</v>
      </c>
      <c r="C537" s="9" t="s">
        <v>58</v>
      </c>
      <c r="D537" s="9" t="s">
        <v>3031</v>
      </c>
      <c r="E537" s="9" t="s">
        <v>35</v>
      </c>
      <c r="F537" s="9" t="s">
        <v>36</v>
      </c>
      <c r="G537" s="9">
        <v>1</v>
      </c>
      <c r="H537" s="9">
        <v>84219999</v>
      </c>
      <c r="I537" s="11" t="s">
        <v>37</v>
      </c>
      <c r="J537" s="12">
        <v>1.6500000000000001E-2</v>
      </c>
      <c r="K537" s="12">
        <v>7.5999999999999998E-2</v>
      </c>
      <c r="L537" s="12">
        <v>5.1999999999999998E-2</v>
      </c>
      <c r="M537" s="13">
        <v>8003453099869</v>
      </c>
      <c r="N537" s="14">
        <v>5.8019999999999996</v>
      </c>
      <c r="O537" s="14">
        <v>6.25</v>
      </c>
      <c r="P537" s="15" t="s">
        <v>35</v>
      </c>
      <c r="Q537" s="16" t="s">
        <v>3255</v>
      </c>
      <c r="R537" s="17" t="s">
        <v>35</v>
      </c>
      <c r="S537" s="17" t="s">
        <v>3256</v>
      </c>
      <c r="T537" s="17" t="s">
        <v>3257</v>
      </c>
      <c r="U537" s="17" t="s">
        <v>3258</v>
      </c>
      <c r="V537" s="17" t="s">
        <v>35</v>
      </c>
      <c r="W537" s="17" t="s">
        <v>35</v>
      </c>
      <c r="X537" s="17" t="s">
        <v>3259</v>
      </c>
      <c r="Y537" s="17" t="s">
        <v>3260</v>
      </c>
      <c r="Z537" s="17" t="s">
        <v>3261</v>
      </c>
      <c r="AA537" s="17" t="s">
        <v>35</v>
      </c>
      <c r="AB537" s="17" t="s">
        <v>3262</v>
      </c>
      <c r="AC537" s="17" t="s">
        <v>9539</v>
      </c>
      <c r="AD537" s="42">
        <v>246.43</v>
      </c>
      <c r="AE537" s="42">
        <v>259.24</v>
      </c>
      <c r="AF537" s="48"/>
      <c r="AG537" s="44"/>
      <c r="AH537" s="7">
        <f t="shared" si="8"/>
        <v>0</v>
      </c>
      <c r="AI537" s="18"/>
      <c r="AJ537" s="18"/>
    </row>
    <row r="538" spans="1:38" ht="26.65" customHeight="1" x14ac:dyDescent="0.25">
      <c r="A538" s="10" t="s">
        <v>9621</v>
      </c>
      <c r="B538" s="9" t="s">
        <v>3030</v>
      </c>
      <c r="C538" s="9" t="s">
        <v>34</v>
      </c>
      <c r="D538" s="9" t="s">
        <v>3031</v>
      </c>
      <c r="E538" s="9" t="s">
        <v>35</v>
      </c>
      <c r="F538" s="9" t="s">
        <v>36</v>
      </c>
      <c r="G538" s="9">
        <v>1</v>
      </c>
      <c r="H538" s="9">
        <v>84219999</v>
      </c>
      <c r="I538" s="11" t="s">
        <v>37</v>
      </c>
      <c r="J538" s="12">
        <v>1.6500000000000001E-2</v>
      </c>
      <c r="K538" s="12">
        <v>7.5999999999999998E-2</v>
      </c>
      <c r="L538" s="12">
        <v>5.1999999999999998E-2</v>
      </c>
      <c r="M538" s="13">
        <v>8003453099982</v>
      </c>
      <c r="N538" s="14">
        <v>3.617</v>
      </c>
      <c r="O538" s="14">
        <v>4</v>
      </c>
      <c r="P538" s="15">
        <v>45474</v>
      </c>
      <c r="Q538" s="16" t="s">
        <v>9622</v>
      </c>
      <c r="R538" s="17" t="s">
        <v>9623</v>
      </c>
      <c r="S538" s="17" t="s">
        <v>35</v>
      </c>
      <c r="T538" s="17" t="s">
        <v>35</v>
      </c>
      <c r="U538" s="17" t="s">
        <v>35</v>
      </c>
      <c r="V538" s="17" t="s">
        <v>35</v>
      </c>
      <c r="W538" s="17" t="s">
        <v>35</v>
      </c>
      <c r="X538" s="17" t="s">
        <v>35</v>
      </c>
      <c r="Y538" s="17" t="s">
        <v>35</v>
      </c>
      <c r="Z538" s="17" t="s">
        <v>9624</v>
      </c>
      <c r="AA538" s="17" t="s">
        <v>35</v>
      </c>
      <c r="AB538" s="17" t="s">
        <v>9625</v>
      </c>
      <c r="AC538" s="17" t="s">
        <v>9539</v>
      </c>
      <c r="AD538" s="42">
        <v>211.47</v>
      </c>
      <c r="AE538" s="42">
        <v>222.47</v>
      </c>
      <c r="AF538" s="48"/>
      <c r="AG538" s="44"/>
      <c r="AH538" s="7">
        <f t="shared" si="8"/>
        <v>0</v>
      </c>
      <c r="AI538" s="18"/>
      <c r="AJ538" s="18"/>
    </row>
    <row r="539" spans="1:38" ht="26.65" customHeight="1" x14ac:dyDescent="0.25">
      <c r="A539" s="10" t="s">
        <v>9626</v>
      </c>
      <c r="B539" s="9" t="s">
        <v>3030</v>
      </c>
      <c r="C539" s="9" t="s">
        <v>34</v>
      </c>
      <c r="D539" s="9" t="s">
        <v>3064</v>
      </c>
      <c r="E539" s="9" t="s">
        <v>35</v>
      </c>
      <c r="F539" s="9" t="s">
        <v>36</v>
      </c>
      <c r="G539" s="9">
        <v>1</v>
      </c>
      <c r="H539" s="9">
        <v>84219999</v>
      </c>
      <c r="I539" s="11" t="s">
        <v>37</v>
      </c>
      <c r="J539" s="12">
        <v>1.6500000000000001E-2</v>
      </c>
      <c r="K539" s="12">
        <v>7.5999999999999998E-2</v>
      </c>
      <c r="L539" s="12">
        <v>5.1999999999999998E-2</v>
      </c>
      <c r="M539" s="13">
        <v>8003453099999</v>
      </c>
      <c r="N539" s="14">
        <v>1.044</v>
      </c>
      <c r="O539" s="14">
        <v>1.21</v>
      </c>
      <c r="P539" s="15">
        <v>45474</v>
      </c>
      <c r="Q539" s="16" t="s">
        <v>3275</v>
      </c>
      <c r="R539" s="17" t="s">
        <v>35</v>
      </c>
      <c r="S539" s="17" t="s">
        <v>35</v>
      </c>
      <c r="T539" s="17" t="s">
        <v>35</v>
      </c>
      <c r="U539" s="17" t="s">
        <v>35</v>
      </c>
      <c r="V539" s="17" t="s">
        <v>35</v>
      </c>
      <c r="W539" s="17" t="s">
        <v>35</v>
      </c>
      <c r="X539" s="17" t="s">
        <v>35</v>
      </c>
      <c r="Y539" s="17" t="s">
        <v>35</v>
      </c>
      <c r="Z539" s="17" t="s">
        <v>9627</v>
      </c>
      <c r="AA539" s="17" t="s">
        <v>35</v>
      </c>
      <c r="AB539" s="17" t="s">
        <v>9628</v>
      </c>
      <c r="AC539" s="17" t="s">
        <v>9539</v>
      </c>
      <c r="AD539" s="42">
        <v>109.23</v>
      </c>
      <c r="AE539" s="42">
        <v>114.91</v>
      </c>
      <c r="AF539" s="48"/>
      <c r="AG539" s="44"/>
      <c r="AH539" s="7">
        <f t="shared" si="8"/>
        <v>0</v>
      </c>
      <c r="AI539" s="18"/>
      <c r="AJ539" s="18"/>
    </row>
    <row r="540" spans="1:38" ht="26.65" customHeight="1" x14ac:dyDescent="0.25">
      <c r="A540" s="10" t="s">
        <v>3263</v>
      </c>
      <c r="B540" s="9" t="s">
        <v>3056</v>
      </c>
      <c r="C540" s="9" t="s">
        <v>43</v>
      </c>
      <c r="D540" s="9" t="s">
        <v>3031</v>
      </c>
      <c r="E540" s="9" t="s">
        <v>35</v>
      </c>
      <c r="F540" s="9" t="s">
        <v>36</v>
      </c>
      <c r="G540" s="9">
        <v>6</v>
      </c>
      <c r="H540" s="9">
        <v>84219999</v>
      </c>
      <c r="I540" s="11" t="s">
        <v>37</v>
      </c>
      <c r="J540" s="12">
        <v>1.6500000000000001E-2</v>
      </c>
      <c r="K540" s="12">
        <v>7.5999999999999998E-2</v>
      </c>
      <c r="L540" s="12">
        <v>5.1999999999999998E-2</v>
      </c>
      <c r="M540" s="13">
        <v>8003453100015</v>
      </c>
      <c r="N540" s="14">
        <v>0.72699999999999998</v>
      </c>
      <c r="O540" s="14">
        <v>0.92400000000000004</v>
      </c>
      <c r="P540" s="15">
        <v>45170</v>
      </c>
      <c r="Q540" s="16" t="s">
        <v>3264</v>
      </c>
      <c r="R540" s="17" t="s">
        <v>35</v>
      </c>
      <c r="S540" s="17" t="s">
        <v>3265</v>
      </c>
      <c r="T540" s="17" t="s">
        <v>3266</v>
      </c>
      <c r="U540" s="17" t="s">
        <v>3267</v>
      </c>
      <c r="V540" s="17" t="s">
        <v>3268</v>
      </c>
      <c r="W540" s="17" t="s">
        <v>3269</v>
      </c>
      <c r="X540" s="17" t="s">
        <v>3270</v>
      </c>
      <c r="Y540" s="17" t="s">
        <v>3271</v>
      </c>
      <c r="Z540" s="17" t="s">
        <v>3272</v>
      </c>
      <c r="AA540" s="17" t="s">
        <v>35</v>
      </c>
      <c r="AB540" s="17" t="s">
        <v>3273</v>
      </c>
      <c r="AC540" s="17" t="s">
        <v>9539</v>
      </c>
      <c r="AD540" s="42">
        <v>32.090000000000003</v>
      </c>
      <c r="AE540" s="42">
        <v>33.76</v>
      </c>
      <c r="AF540" s="48"/>
      <c r="AG540" s="44"/>
      <c r="AH540" s="7">
        <f t="shared" si="8"/>
        <v>0</v>
      </c>
      <c r="AI540" s="18"/>
      <c r="AJ540" s="18"/>
    </row>
    <row r="541" spans="1:38" ht="26.65" customHeight="1" x14ac:dyDescent="0.25">
      <c r="A541" s="10" t="s">
        <v>3274</v>
      </c>
      <c r="B541" s="9" t="s">
        <v>3030</v>
      </c>
      <c r="C541" s="9" t="s">
        <v>34</v>
      </c>
      <c r="D541" s="9" t="s">
        <v>3207</v>
      </c>
      <c r="E541" s="9" t="s">
        <v>35</v>
      </c>
      <c r="F541" s="9" t="s">
        <v>36</v>
      </c>
      <c r="G541" s="9">
        <v>1</v>
      </c>
      <c r="H541" s="9">
        <v>84219999</v>
      </c>
      <c r="I541" s="11" t="s">
        <v>37</v>
      </c>
      <c r="J541" s="12">
        <v>1.6500000000000001E-2</v>
      </c>
      <c r="K541" s="12">
        <v>7.5999999999999998E-2</v>
      </c>
      <c r="L541" s="12">
        <v>5.1999999999999998E-2</v>
      </c>
      <c r="M541" s="13">
        <v>8003453100022</v>
      </c>
      <c r="N541" s="14">
        <v>3.4470000000000001</v>
      </c>
      <c r="O541" s="14">
        <v>3.83</v>
      </c>
      <c r="P541" s="15">
        <v>44896</v>
      </c>
      <c r="Q541" s="16" t="s">
        <v>3275</v>
      </c>
      <c r="R541" s="17" t="s">
        <v>3276</v>
      </c>
      <c r="S541" s="17" t="s">
        <v>35</v>
      </c>
      <c r="T541" s="17" t="s">
        <v>35</v>
      </c>
      <c r="U541" s="17" t="s">
        <v>35</v>
      </c>
      <c r="V541" s="17" t="s">
        <v>35</v>
      </c>
      <c r="W541" s="17" t="s">
        <v>35</v>
      </c>
      <c r="X541" s="17" t="s">
        <v>35</v>
      </c>
      <c r="Y541" s="17" t="s">
        <v>35</v>
      </c>
      <c r="Z541" s="17" t="s">
        <v>3277</v>
      </c>
      <c r="AA541" s="17" t="s">
        <v>35</v>
      </c>
      <c r="AB541" s="17" t="s">
        <v>3278</v>
      </c>
      <c r="AC541" s="17" t="s">
        <v>9539</v>
      </c>
      <c r="AD541" s="42">
        <v>199.99</v>
      </c>
      <c r="AE541" s="42">
        <v>210.39</v>
      </c>
      <c r="AF541" s="48"/>
      <c r="AG541" s="44"/>
      <c r="AH541" s="7">
        <f t="shared" si="8"/>
        <v>0</v>
      </c>
      <c r="AI541" s="18"/>
      <c r="AJ541" s="18"/>
    </row>
    <row r="542" spans="1:38" ht="26.65" customHeight="1" x14ac:dyDescent="0.25">
      <c r="A542" s="10" t="s">
        <v>3279</v>
      </c>
      <c r="B542" s="9" t="s">
        <v>3030</v>
      </c>
      <c r="C542" s="9" t="s">
        <v>58</v>
      </c>
      <c r="D542" s="9" t="s">
        <v>3031</v>
      </c>
      <c r="E542" s="9" t="s">
        <v>35</v>
      </c>
      <c r="F542" s="9" t="s">
        <v>36</v>
      </c>
      <c r="G542" s="9">
        <v>1</v>
      </c>
      <c r="H542" s="9">
        <v>84219999</v>
      </c>
      <c r="I542" s="11" t="s">
        <v>37</v>
      </c>
      <c r="J542" s="12">
        <v>1.6500000000000001E-2</v>
      </c>
      <c r="K542" s="12">
        <v>7.5999999999999998E-2</v>
      </c>
      <c r="L542" s="12">
        <v>0</v>
      </c>
      <c r="M542" s="13">
        <v>8003453100053</v>
      </c>
      <c r="N542" s="14">
        <v>0.745</v>
      </c>
      <c r="O542" s="14">
        <v>0.91</v>
      </c>
      <c r="P542" s="15" t="s">
        <v>35</v>
      </c>
      <c r="Q542" s="16" t="s">
        <v>3280</v>
      </c>
      <c r="R542" s="17" t="s">
        <v>3281</v>
      </c>
      <c r="S542" s="17" t="s">
        <v>3282</v>
      </c>
      <c r="T542" s="17" t="s">
        <v>3283</v>
      </c>
      <c r="U542" s="17" t="s">
        <v>3284</v>
      </c>
      <c r="V542" s="17" t="s">
        <v>3285</v>
      </c>
      <c r="W542" s="17" t="s">
        <v>3286</v>
      </c>
      <c r="X542" s="17" t="s">
        <v>3287</v>
      </c>
      <c r="Y542" s="17" t="s">
        <v>3288</v>
      </c>
      <c r="Z542" s="17" t="s">
        <v>3289</v>
      </c>
      <c r="AA542" s="17" t="s">
        <v>35</v>
      </c>
      <c r="AB542" s="17" t="s">
        <v>3290</v>
      </c>
      <c r="AC542" s="17" t="s">
        <v>9539</v>
      </c>
      <c r="AD542" s="42">
        <v>45.75</v>
      </c>
      <c r="AE542" s="42">
        <v>45.75</v>
      </c>
      <c r="AF542" s="48"/>
      <c r="AG542" s="44"/>
      <c r="AH542" s="7">
        <f t="shared" si="8"/>
        <v>0</v>
      </c>
      <c r="AI542" s="18"/>
      <c r="AJ542" s="18"/>
    </row>
    <row r="543" spans="1:38" ht="26.65" customHeight="1" x14ac:dyDescent="0.25">
      <c r="A543" s="38" t="s">
        <v>3291</v>
      </c>
      <c r="B543" s="9" t="s">
        <v>8666</v>
      </c>
      <c r="C543" s="9" t="s">
        <v>58</v>
      </c>
      <c r="D543" s="9" t="s">
        <v>5121</v>
      </c>
      <c r="E543" s="9" t="s">
        <v>35</v>
      </c>
      <c r="F543" s="9" t="s">
        <v>36</v>
      </c>
      <c r="G543" s="9">
        <v>4</v>
      </c>
      <c r="H543" s="9">
        <v>84213990</v>
      </c>
      <c r="I543" s="11" t="s">
        <v>37</v>
      </c>
      <c r="J543" s="12">
        <v>1.6500000000000001E-2</v>
      </c>
      <c r="K543" s="12">
        <v>7.5999999999999998E-2</v>
      </c>
      <c r="L543" s="12">
        <v>0</v>
      </c>
      <c r="M543" s="13">
        <v>8003453808089</v>
      </c>
      <c r="N543" s="14">
        <v>2.36</v>
      </c>
      <c r="O543" s="14">
        <v>2.4500000000000002</v>
      </c>
      <c r="P543" s="15">
        <v>45017</v>
      </c>
      <c r="Q543" s="16" t="s">
        <v>3293</v>
      </c>
      <c r="R543" s="17" t="s">
        <v>3294</v>
      </c>
      <c r="S543" s="17" t="s">
        <v>3295</v>
      </c>
      <c r="T543" s="17" t="s">
        <v>3296</v>
      </c>
      <c r="U543" s="17" t="s">
        <v>3297</v>
      </c>
      <c r="V543" s="17" t="s">
        <v>3298</v>
      </c>
      <c r="W543" s="17" t="s">
        <v>3299</v>
      </c>
      <c r="X543" s="17" t="s">
        <v>3300</v>
      </c>
      <c r="Y543" s="17" t="s">
        <v>3301</v>
      </c>
      <c r="Z543" s="17" t="s">
        <v>3302</v>
      </c>
      <c r="AA543" s="17" t="s">
        <v>35</v>
      </c>
      <c r="AB543" s="17" t="s">
        <v>3303</v>
      </c>
      <c r="AC543" s="17" t="s">
        <v>9538</v>
      </c>
      <c r="AD543" s="42">
        <v>55.91</v>
      </c>
      <c r="AE543" s="42">
        <v>55.91</v>
      </c>
      <c r="AF543" s="48"/>
      <c r="AG543" s="44"/>
      <c r="AH543" s="7">
        <f t="shared" si="8"/>
        <v>0</v>
      </c>
      <c r="AI543" s="18"/>
      <c r="AJ543" s="18"/>
    </row>
    <row r="544" spans="1:38" ht="26.65" customHeight="1" x14ac:dyDescent="0.25">
      <c r="A544" s="10" t="s">
        <v>3304</v>
      </c>
      <c r="B544" s="9" t="s">
        <v>3305</v>
      </c>
      <c r="C544" s="9" t="s">
        <v>58</v>
      </c>
      <c r="D544" s="9" t="s">
        <v>3306</v>
      </c>
      <c r="E544" s="9" t="s">
        <v>122</v>
      </c>
      <c r="F544" s="9" t="s">
        <v>36</v>
      </c>
      <c r="G544" s="9">
        <v>6</v>
      </c>
      <c r="H544" s="9">
        <v>84219999</v>
      </c>
      <c r="I544" s="11" t="s">
        <v>37</v>
      </c>
      <c r="J544" s="12">
        <v>1.6500000000000001E-2</v>
      </c>
      <c r="K544" s="12">
        <v>7.5999999999999998E-2</v>
      </c>
      <c r="L544" s="12">
        <v>5.1999999999999998E-2</v>
      </c>
      <c r="M544" s="13">
        <v>8003453103429</v>
      </c>
      <c r="N544" s="14">
        <v>0.29599999999999999</v>
      </c>
      <c r="O544" s="14">
        <v>0.33900000000000002</v>
      </c>
      <c r="P544" s="15">
        <v>44348</v>
      </c>
      <c r="Q544" s="16" t="s">
        <v>3307</v>
      </c>
      <c r="R544" s="17" t="s">
        <v>3308</v>
      </c>
      <c r="S544" s="17" t="s">
        <v>35</v>
      </c>
      <c r="T544" s="17" t="s">
        <v>3309</v>
      </c>
      <c r="U544" s="17" t="s">
        <v>35</v>
      </c>
      <c r="V544" s="17" t="s">
        <v>35</v>
      </c>
      <c r="W544" s="17" t="s">
        <v>35</v>
      </c>
      <c r="X544" s="17" t="s">
        <v>35</v>
      </c>
      <c r="Y544" s="17" t="s">
        <v>3310</v>
      </c>
      <c r="Z544" s="17" t="s">
        <v>3311</v>
      </c>
      <c r="AA544" s="17" t="s">
        <v>35</v>
      </c>
      <c r="AB544" s="17" t="s">
        <v>35</v>
      </c>
      <c r="AC544" s="17" t="s">
        <v>9539</v>
      </c>
      <c r="AD544" s="42">
        <v>77.069999999999993</v>
      </c>
      <c r="AE544" s="42">
        <v>81.08</v>
      </c>
      <c r="AF544" s="48"/>
      <c r="AG544" s="44"/>
      <c r="AH544" s="7">
        <f t="shared" si="8"/>
        <v>0</v>
      </c>
      <c r="AI544" s="18"/>
      <c r="AJ544" s="18"/>
    </row>
    <row r="545" spans="1:38" ht="26.65" customHeight="1" x14ac:dyDescent="0.25">
      <c r="A545" s="10" t="s">
        <v>3312</v>
      </c>
      <c r="B545" s="9" t="s">
        <v>3030</v>
      </c>
      <c r="C545" s="9" t="s">
        <v>43</v>
      </c>
      <c r="D545" s="9" t="s">
        <v>3031</v>
      </c>
      <c r="E545" s="9" t="s">
        <v>35</v>
      </c>
      <c r="F545" s="9" t="s">
        <v>36</v>
      </c>
      <c r="G545" s="9">
        <v>6</v>
      </c>
      <c r="H545" s="9">
        <v>84219999</v>
      </c>
      <c r="I545" s="11" t="s">
        <v>37</v>
      </c>
      <c r="J545" s="12">
        <v>1.6500000000000001E-2</v>
      </c>
      <c r="K545" s="12">
        <v>7.5999999999999998E-2</v>
      </c>
      <c r="L545" s="12">
        <v>5.1999999999999998E-2</v>
      </c>
      <c r="M545" s="13">
        <v>8003453100350</v>
      </c>
      <c r="N545" s="14">
        <v>0.1</v>
      </c>
      <c r="O545" s="14">
        <v>0.115</v>
      </c>
      <c r="P545" s="15" t="s">
        <v>35</v>
      </c>
      <c r="Q545" s="16" t="s">
        <v>3313</v>
      </c>
      <c r="R545" s="17" t="s">
        <v>35</v>
      </c>
      <c r="S545" s="17" t="s">
        <v>3314</v>
      </c>
      <c r="T545" s="17" t="s">
        <v>3315</v>
      </c>
      <c r="U545" s="17" t="s">
        <v>3316</v>
      </c>
      <c r="V545" s="17" t="s">
        <v>3317</v>
      </c>
      <c r="W545" s="17" t="s">
        <v>3318</v>
      </c>
      <c r="X545" s="17" t="s">
        <v>3319</v>
      </c>
      <c r="Y545" s="17" t="s">
        <v>3320</v>
      </c>
      <c r="Z545" s="17" t="s">
        <v>35</v>
      </c>
      <c r="AA545" s="17" t="s">
        <v>35</v>
      </c>
      <c r="AB545" s="17" t="s">
        <v>35</v>
      </c>
      <c r="AC545" s="17" t="s">
        <v>9539</v>
      </c>
      <c r="AD545" s="42">
        <v>32.049999999999997</v>
      </c>
      <c r="AE545" s="42">
        <v>33.72</v>
      </c>
      <c r="AF545" s="48"/>
      <c r="AG545" s="44"/>
      <c r="AH545" s="7">
        <f t="shared" si="8"/>
        <v>0</v>
      </c>
      <c r="AI545" s="18"/>
      <c r="AJ545" s="18"/>
    </row>
    <row r="546" spans="1:38" ht="26.65" customHeight="1" x14ac:dyDescent="0.25">
      <c r="A546" s="10" t="s">
        <v>3321</v>
      </c>
      <c r="B546" s="9" t="s">
        <v>3056</v>
      </c>
      <c r="C546" s="9" t="s">
        <v>58</v>
      </c>
      <c r="D546" s="9" t="s">
        <v>3031</v>
      </c>
      <c r="E546" s="9" t="s">
        <v>35</v>
      </c>
      <c r="F546" s="9" t="s">
        <v>36</v>
      </c>
      <c r="G546" s="9">
        <v>1</v>
      </c>
      <c r="H546" s="9">
        <v>84219999</v>
      </c>
      <c r="I546" s="11" t="s">
        <v>37</v>
      </c>
      <c r="J546" s="12">
        <v>1.6500000000000001E-2</v>
      </c>
      <c r="K546" s="12">
        <v>7.5999999999999998E-2</v>
      </c>
      <c r="L546" s="12">
        <v>5.1999999999999998E-2</v>
      </c>
      <c r="M546" s="13">
        <v>8003453100503</v>
      </c>
      <c r="N546" s="14">
        <v>0.86</v>
      </c>
      <c r="O546" s="14">
        <v>0.9</v>
      </c>
      <c r="P546" s="15">
        <v>45139</v>
      </c>
      <c r="Q546" s="16" t="s">
        <v>3322</v>
      </c>
      <c r="R546" s="17" t="s">
        <v>3323</v>
      </c>
      <c r="S546" s="17" t="s">
        <v>3324</v>
      </c>
      <c r="T546" s="17" t="s">
        <v>3325</v>
      </c>
      <c r="U546" s="17" t="s">
        <v>35</v>
      </c>
      <c r="V546" s="17" t="s">
        <v>35</v>
      </c>
      <c r="W546" s="17" t="s">
        <v>35</v>
      </c>
      <c r="X546" s="17" t="s">
        <v>3326</v>
      </c>
      <c r="Y546" s="17" t="s">
        <v>35</v>
      </c>
      <c r="Z546" s="17" t="s">
        <v>3327</v>
      </c>
      <c r="AA546" s="17" t="s">
        <v>35</v>
      </c>
      <c r="AB546" s="17" t="s">
        <v>3328</v>
      </c>
      <c r="AC546" s="17" t="s">
        <v>9539</v>
      </c>
      <c r="AD546" s="42">
        <v>357.5</v>
      </c>
      <c r="AE546" s="42">
        <v>376.09</v>
      </c>
      <c r="AF546" s="48"/>
      <c r="AG546" s="44"/>
      <c r="AH546" s="7">
        <f t="shared" si="8"/>
        <v>0</v>
      </c>
      <c r="AI546" s="18"/>
      <c r="AJ546" s="18"/>
    </row>
    <row r="547" spans="1:38" ht="26.65" customHeight="1" x14ac:dyDescent="0.25">
      <c r="A547" s="10" t="s">
        <v>3329</v>
      </c>
      <c r="B547" s="9" t="s">
        <v>3030</v>
      </c>
      <c r="C547" s="9" t="s">
        <v>58</v>
      </c>
      <c r="D547" s="9" t="s">
        <v>3031</v>
      </c>
      <c r="E547" s="9" t="s">
        <v>35</v>
      </c>
      <c r="F547" s="9" t="s">
        <v>36</v>
      </c>
      <c r="G547" s="9">
        <v>1</v>
      </c>
      <c r="H547" s="9">
        <v>84219999</v>
      </c>
      <c r="I547" s="11" t="s">
        <v>37</v>
      </c>
      <c r="J547" s="12">
        <v>1.6500000000000001E-2</v>
      </c>
      <c r="K547" s="12">
        <v>7.5999999999999998E-2</v>
      </c>
      <c r="L547" s="12">
        <v>5.1999999999999998E-2</v>
      </c>
      <c r="M547" s="13">
        <v>8003453100558</v>
      </c>
      <c r="N547" s="14">
        <v>0.54</v>
      </c>
      <c r="O547" s="14">
        <v>0.6</v>
      </c>
      <c r="P547" s="15" t="s">
        <v>35</v>
      </c>
      <c r="Q547" s="16" t="s">
        <v>3330</v>
      </c>
      <c r="R547" s="17" t="s">
        <v>35</v>
      </c>
      <c r="S547" s="17" t="s">
        <v>3331</v>
      </c>
      <c r="T547" s="17" t="s">
        <v>3332</v>
      </c>
      <c r="U547" s="17" t="s">
        <v>3333</v>
      </c>
      <c r="V547" s="17" t="s">
        <v>35</v>
      </c>
      <c r="W547" s="17" t="s">
        <v>35</v>
      </c>
      <c r="X547" s="17" t="s">
        <v>3334</v>
      </c>
      <c r="Y547" s="17" t="s">
        <v>35</v>
      </c>
      <c r="Z547" s="17" t="s">
        <v>3335</v>
      </c>
      <c r="AA547" s="17" t="s">
        <v>35</v>
      </c>
      <c r="AB547" s="17" t="s">
        <v>3336</v>
      </c>
      <c r="AC547" s="17" t="s">
        <v>9539</v>
      </c>
      <c r="AD547" s="42">
        <v>296.69</v>
      </c>
      <c r="AE547" s="42">
        <v>312.12</v>
      </c>
      <c r="AF547" s="48"/>
      <c r="AG547" s="44"/>
      <c r="AH547" s="7">
        <f t="shared" si="8"/>
        <v>0</v>
      </c>
      <c r="AI547" s="18"/>
      <c r="AJ547" s="18"/>
    </row>
    <row r="548" spans="1:38" ht="26.65" customHeight="1" x14ac:dyDescent="0.25">
      <c r="A548" s="10" t="s">
        <v>3337</v>
      </c>
      <c r="B548" s="9" t="s">
        <v>3030</v>
      </c>
      <c r="C548" s="9" t="s">
        <v>58</v>
      </c>
      <c r="D548" s="9" t="s">
        <v>3031</v>
      </c>
      <c r="E548" s="9" t="s">
        <v>35</v>
      </c>
      <c r="F548" s="9" t="s">
        <v>36</v>
      </c>
      <c r="G548" s="9">
        <v>1</v>
      </c>
      <c r="H548" s="9">
        <v>84219999</v>
      </c>
      <c r="I548" s="11" t="s">
        <v>37</v>
      </c>
      <c r="J548" s="12">
        <v>1.6500000000000001E-2</v>
      </c>
      <c r="K548" s="12">
        <v>7.5999999999999998E-2</v>
      </c>
      <c r="L548" s="12">
        <v>5.1999999999999998E-2</v>
      </c>
      <c r="M548" s="13">
        <v>8003453101418</v>
      </c>
      <c r="N548" s="14">
        <v>3.8519999999999999</v>
      </c>
      <c r="O548" s="14">
        <v>4.3109999999999999</v>
      </c>
      <c r="P548" s="15" t="s">
        <v>35</v>
      </c>
      <c r="Q548" s="16" t="s">
        <v>3338</v>
      </c>
      <c r="R548" s="17" t="s">
        <v>35</v>
      </c>
      <c r="S548" s="17" t="s">
        <v>3339</v>
      </c>
      <c r="T548" s="17" t="s">
        <v>3340</v>
      </c>
      <c r="U548" s="17" t="s">
        <v>3341</v>
      </c>
      <c r="V548" s="17" t="s">
        <v>3342</v>
      </c>
      <c r="W548" s="17" t="s">
        <v>3343</v>
      </c>
      <c r="X548" s="17" t="s">
        <v>3344</v>
      </c>
      <c r="Y548" s="17" t="s">
        <v>35</v>
      </c>
      <c r="Z548" s="17" t="s">
        <v>3345</v>
      </c>
      <c r="AA548" s="17" t="s">
        <v>35</v>
      </c>
      <c r="AB548" s="17" t="s">
        <v>3346</v>
      </c>
      <c r="AC548" s="17" t="s">
        <v>9539</v>
      </c>
      <c r="AD548" s="42">
        <v>182.16</v>
      </c>
      <c r="AE548" s="42">
        <v>191.63</v>
      </c>
      <c r="AF548" s="48"/>
      <c r="AG548" s="44"/>
      <c r="AH548" s="7">
        <f t="shared" si="8"/>
        <v>0</v>
      </c>
      <c r="AI548" s="18"/>
      <c r="AJ548" s="18"/>
    </row>
    <row r="549" spans="1:38" ht="26.65" customHeight="1" x14ac:dyDescent="0.25">
      <c r="A549" s="10" t="s">
        <v>10275</v>
      </c>
      <c r="B549" s="9" t="s">
        <v>3030</v>
      </c>
      <c r="C549" s="9" t="s">
        <v>58</v>
      </c>
      <c r="D549" s="9" t="s">
        <v>3031</v>
      </c>
      <c r="E549" s="9" t="s">
        <v>35</v>
      </c>
      <c r="F549" s="9" t="s">
        <v>36</v>
      </c>
      <c r="G549" s="9">
        <v>5</v>
      </c>
      <c r="H549" s="9">
        <v>84219999</v>
      </c>
      <c r="I549" s="11" t="s">
        <v>37</v>
      </c>
      <c r="J549" s="12">
        <v>1.6500000000000001E-2</v>
      </c>
      <c r="K549" s="12">
        <v>7.5999999999999998E-2</v>
      </c>
      <c r="L549" s="12">
        <v>5.1999999999999998E-2</v>
      </c>
      <c r="M549" s="13">
        <v>8003453801325</v>
      </c>
      <c r="N549" s="14">
        <v>0</v>
      </c>
      <c r="O549" s="14">
        <v>0</v>
      </c>
      <c r="P549" s="15">
        <v>45566</v>
      </c>
      <c r="Q549" s="16" t="s">
        <v>3338</v>
      </c>
      <c r="R549" s="17" t="s">
        <v>35</v>
      </c>
      <c r="S549" s="17" t="s">
        <v>3339</v>
      </c>
      <c r="T549" s="17" t="s">
        <v>3340</v>
      </c>
      <c r="U549" s="17" t="s">
        <v>3341</v>
      </c>
      <c r="V549" s="17" t="s">
        <v>3342</v>
      </c>
      <c r="W549" s="17" t="s">
        <v>3343</v>
      </c>
      <c r="X549" s="17" t="s">
        <v>3344</v>
      </c>
      <c r="Y549" s="17" t="s">
        <v>35</v>
      </c>
      <c r="Z549" s="17" t="s">
        <v>3345</v>
      </c>
      <c r="AA549" s="17" t="s">
        <v>35</v>
      </c>
      <c r="AB549" s="17" t="s">
        <v>3346</v>
      </c>
      <c r="AC549" s="17" t="s">
        <v>9539</v>
      </c>
      <c r="AD549" s="41">
        <v>138.81</v>
      </c>
      <c r="AE549" s="41">
        <v>146.03</v>
      </c>
      <c r="AF549" s="48"/>
      <c r="AG549" s="44"/>
      <c r="AH549" s="7">
        <f t="shared" si="8"/>
        <v>0</v>
      </c>
      <c r="AI549" s="18"/>
      <c r="AJ549" s="18"/>
    </row>
    <row r="550" spans="1:38" ht="26.65" customHeight="1" x14ac:dyDescent="0.25">
      <c r="A550" s="10" t="s">
        <v>3347</v>
      </c>
      <c r="B550" s="9" t="s">
        <v>3063</v>
      </c>
      <c r="C550" s="9" t="s">
        <v>58</v>
      </c>
      <c r="D550" s="9" t="s">
        <v>3064</v>
      </c>
      <c r="E550" s="9" t="s">
        <v>35</v>
      </c>
      <c r="F550" s="9" t="s">
        <v>36</v>
      </c>
      <c r="G550" s="9">
        <v>1</v>
      </c>
      <c r="H550" s="9">
        <v>84219999</v>
      </c>
      <c r="I550" s="11" t="s">
        <v>37</v>
      </c>
      <c r="J550" s="12">
        <v>1.6500000000000001E-2</v>
      </c>
      <c r="K550" s="12">
        <v>7.5999999999999998E-2</v>
      </c>
      <c r="L550" s="12">
        <v>5.1999999999999998E-2</v>
      </c>
      <c r="M550" s="13">
        <v>8003453100572</v>
      </c>
      <c r="N550" s="14">
        <v>0.73499999999999999</v>
      </c>
      <c r="O550" s="14">
        <v>0.9</v>
      </c>
      <c r="P550" s="15" t="s">
        <v>35</v>
      </c>
      <c r="Q550" s="16" t="s">
        <v>3138</v>
      </c>
      <c r="R550" s="17" t="s">
        <v>35</v>
      </c>
      <c r="S550" s="17" t="s">
        <v>3348</v>
      </c>
      <c r="T550" s="17" t="s">
        <v>3349</v>
      </c>
      <c r="U550" s="17" t="s">
        <v>35</v>
      </c>
      <c r="V550" s="17" t="s">
        <v>3350</v>
      </c>
      <c r="W550" s="17" t="s">
        <v>3351</v>
      </c>
      <c r="X550" s="17" t="s">
        <v>3352</v>
      </c>
      <c r="Y550" s="17" t="s">
        <v>3353</v>
      </c>
      <c r="Z550" s="17" t="s">
        <v>3354</v>
      </c>
      <c r="AA550" s="17" t="s">
        <v>35</v>
      </c>
      <c r="AB550" s="17" t="s">
        <v>3355</v>
      </c>
      <c r="AC550" s="17" t="s">
        <v>9539</v>
      </c>
      <c r="AD550" s="41">
        <v>56.89</v>
      </c>
      <c r="AE550" s="41">
        <v>59.85</v>
      </c>
      <c r="AF550" s="48"/>
      <c r="AG550" s="44"/>
      <c r="AH550" s="7">
        <f t="shared" si="8"/>
        <v>0</v>
      </c>
      <c r="AI550" s="18"/>
      <c r="AJ550" s="18"/>
    </row>
    <row r="551" spans="1:38" ht="26.65" customHeight="1" x14ac:dyDescent="0.25">
      <c r="A551" s="10" t="s">
        <v>3356</v>
      </c>
      <c r="B551" s="9" t="s">
        <v>3086</v>
      </c>
      <c r="C551" s="9" t="s">
        <v>58</v>
      </c>
      <c r="D551" s="9" t="s">
        <v>3064</v>
      </c>
      <c r="E551" s="9" t="s">
        <v>35</v>
      </c>
      <c r="F551" s="9" t="s">
        <v>36</v>
      </c>
      <c r="G551" s="9">
        <v>1</v>
      </c>
      <c r="H551" s="9">
        <v>84219999</v>
      </c>
      <c r="I551" s="11" t="s">
        <v>37</v>
      </c>
      <c r="J551" s="12">
        <v>1.6500000000000001E-2</v>
      </c>
      <c r="K551" s="12">
        <v>7.5999999999999998E-2</v>
      </c>
      <c r="L551" s="12">
        <v>5.1999999999999998E-2</v>
      </c>
      <c r="M551" s="13">
        <v>8003453100756</v>
      </c>
      <c r="N551" s="14">
        <v>0.92</v>
      </c>
      <c r="O551" s="14">
        <v>1.1000000000000001</v>
      </c>
      <c r="P551" s="15">
        <v>45139</v>
      </c>
      <c r="Q551" s="16" t="s">
        <v>3357</v>
      </c>
      <c r="R551" s="17" t="s">
        <v>3058</v>
      </c>
      <c r="S551" s="17" t="s">
        <v>3358</v>
      </c>
      <c r="T551" s="17" t="s">
        <v>35</v>
      </c>
      <c r="U551" s="17" t="s">
        <v>35</v>
      </c>
      <c r="V551" s="17" t="s">
        <v>35</v>
      </c>
      <c r="W551" s="17" t="s">
        <v>35</v>
      </c>
      <c r="X551" s="17" t="s">
        <v>3359</v>
      </c>
      <c r="Y551" s="17" t="s">
        <v>35</v>
      </c>
      <c r="Z551" s="17" t="s">
        <v>3360</v>
      </c>
      <c r="AA551" s="17" t="s">
        <v>35</v>
      </c>
      <c r="AB551" s="17" t="s">
        <v>3361</v>
      </c>
      <c r="AC551" s="17" t="s">
        <v>9539</v>
      </c>
      <c r="AD551" s="42">
        <v>87.64</v>
      </c>
      <c r="AE551" s="42">
        <v>92.2</v>
      </c>
      <c r="AF551" s="48"/>
      <c r="AG551" s="44"/>
      <c r="AH551" s="7">
        <f t="shared" si="8"/>
        <v>0</v>
      </c>
      <c r="AI551" s="18"/>
      <c r="AJ551" s="18"/>
    </row>
    <row r="552" spans="1:38" ht="26.65" customHeight="1" x14ac:dyDescent="0.25">
      <c r="A552" s="10" t="s">
        <v>3362</v>
      </c>
      <c r="B552" s="9" t="s">
        <v>3030</v>
      </c>
      <c r="C552" s="9" t="s">
        <v>34</v>
      </c>
      <c r="D552" s="9" t="s">
        <v>3031</v>
      </c>
      <c r="E552" s="9" t="s">
        <v>35</v>
      </c>
      <c r="F552" s="9" t="s">
        <v>36</v>
      </c>
      <c r="G552" s="9">
        <v>1</v>
      </c>
      <c r="H552" s="9">
        <v>84219999</v>
      </c>
      <c r="I552" s="11" t="s">
        <v>37</v>
      </c>
      <c r="J552" s="12">
        <v>1.6500000000000001E-2</v>
      </c>
      <c r="K552" s="12">
        <v>7.5999999999999998E-2</v>
      </c>
      <c r="L552" s="12">
        <v>5.1999999999999998E-2</v>
      </c>
      <c r="M552" s="13">
        <v>8003453100770</v>
      </c>
      <c r="N552" s="14">
        <v>0</v>
      </c>
      <c r="O552" s="14">
        <v>0</v>
      </c>
      <c r="P552" s="15" t="s">
        <v>35</v>
      </c>
      <c r="Q552" s="16" t="s">
        <v>3363</v>
      </c>
      <c r="R552" s="17">
        <v>84428273</v>
      </c>
      <c r="S552" s="17" t="s">
        <v>35</v>
      </c>
      <c r="T552" s="17" t="s">
        <v>35</v>
      </c>
      <c r="U552" s="17" t="s">
        <v>35</v>
      </c>
      <c r="V552" s="17" t="s">
        <v>35</v>
      </c>
      <c r="W552" s="17" t="s">
        <v>35</v>
      </c>
      <c r="X552" s="17" t="s">
        <v>3364</v>
      </c>
      <c r="Y552" s="17" t="s">
        <v>35</v>
      </c>
      <c r="Z552" s="17" t="s">
        <v>3365</v>
      </c>
      <c r="AA552" s="17" t="s">
        <v>35</v>
      </c>
      <c r="AB552" s="17" t="s">
        <v>3366</v>
      </c>
      <c r="AC552" s="17" t="s">
        <v>9539</v>
      </c>
      <c r="AD552" s="42">
        <v>169.93</v>
      </c>
      <c r="AE552" s="42">
        <v>178.77</v>
      </c>
      <c r="AF552" s="48"/>
      <c r="AG552" s="44"/>
      <c r="AH552" s="7">
        <f t="shared" si="8"/>
        <v>0</v>
      </c>
      <c r="AI552" s="18"/>
      <c r="AJ552" s="18"/>
    </row>
    <row r="553" spans="1:38" ht="26.65" customHeight="1" x14ac:dyDescent="0.25">
      <c r="A553" s="10" t="s">
        <v>3367</v>
      </c>
      <c r="B553" s="9" t="s">
        <v>3030</v>
      </c>
      <c r="C553" s="9" t="s">
        <v>34</v>
      </c>
      <c r="D553" s="9" t="s">
        <v>3031</v>
      </c>
      <c r="E553" s="9" t="s">
        <v>35</v>
      </c>
      <c r="F553" s="9" t="s">
        <v>2072</v>
      </c>
      <c r="G553" s="9">
        <v>1</v>
      </c>
      <c r="H553" s="9">
        <v>84219999</v>
      </c>
      <c r="I553" s="11" t="s">
        <v>2073</v>
      </c>
      <c r="J553" s="12">
        <v>1.6500000000000001E-2</v>
      </c>
      <c r="K553" s="12">
        <v>7.5999999999999998E-2</v>
      </c>
      <c r="L553" s="12">
        <v>0</v>
      </c>
      <c r="M553" s="13">
        <v>8003453100787</v>
      </c>
      <c r="N553" s="14">
        <v>5.7249999999999996</v>
      </c>
      <c r="O553" s="14">
        <v>6.3250000000000002</v>
      </c>
      <c r="P553" s="15" t="s">
        <v>35</v>
      </c>
      <c r="Q553" s="16" t="s">
        <v>3368</v>
      </c>
      <c r="R553" s="17">
        <v>84428272</v>
      </c>
      <c r="S553" s="17" t="s">
        <v>35</v>
      </c>
      <c r="T553" s="17" t="s">
        <v>35</v>
      </c>
      <c r="U553" s="17" t="s">
        <v>35</v>
      </c>
      <c r="V553" s="17" t="s">
        <v>3369</v>
      </c>
      <c r="W553" s="17" t="s">
        <v>3370</v>
      </c>
      <c r="X553" s="17" t="s">
        <v>35</v>
      </c>
      <c r="Y553" s="17" t="s">
        <v>35</v>
      </c>
      <c r="Z553" s="17" t="s">
        <v>3371</v>
      </c>
      <c r="AA553" s="17" t="s">
        <v>35</v>
      </c>
      <c r="AB553" s="17" t="s">
        <v>3372</v>
      </c>
      <c r="AC553" s="17" t="s">
        <v>9539</v>
      </c>
      <c r="AD553" s="41">
        <v>292.10000000000002</v>
      </c>
      <c r="AE553" s="41">
        <v>292.10000000000002</v>
      </c>
      <c r="AF553" s="48"/>
      <c r="AG553" s="44"/>
      <c r="AH553" s="7">
        <f t="shared" si="8"/>
        <v>0</v>
      </c>
      <c r="AI553" s="18"/>
      <c r="AJ553" s="18"/>
    </row>
    <row r="554" spans="1:38" ht="26.65" customHeight="1" x14ac:dyDescent="0.25">
      <c r="A554" s="10" t="s">
        <v>3373</v>
      </c>
      <c r="B554" s="9" t="s">
        <v>3086</v>
      </c>
      <c r="C554" s="9" t="s">
        <v>34</v>
      </c>
      <c r="D554" s="9" t="s">
        <v>3064</v>
      </c>
      <c r="E554" s="9" t="s">
        <v>122</v>
      </c>
      <c r="F554" s="9" t="s">
        <v>36</v>
      </c>
      <c r="G554" s="9">
        <v>1</v>
      </c>
      <c r="H554" s="9">
        <v>84219999</v>
      </c>
      <c r="I554" s="11" t="s">
        <v>37</v>
      </c>
      <c r="J554" s="12">
        <v>1.6500000000000001E-2</v>
      </c>
      <c r="K554" s="12">
        <v>7.5999999999999998E-2</v>
      </c>
      <c r="L554" s="12">
        <v>5.1999999999999998E-2</v>
      </c>
      <c r="M554" s="13">
        <v>8003453100794</v>
      </c>
      <c r="N554" s="14">
        <v>2.2000000000000002</v>
      </c>
      <c r="O554" s="14">
        <v>2.5</v>
      </c>
      <c r="P554" s="15">
        <v>45047</v>
      </c>
      <c r="Q554" s="16" t="s">
        <v>3374</v>
      </c>
      <c r="R554" s="17" t="s">
        <v>3375</v>
      </c>
      <c r="S554" s="17" t="s">
        <v>35</v>
      </c>
      <c r="T554" s="17" t="s">
        <v>35</v>
      </c>
      <c r="U554" s="17" t="s">
        <v>35</v>
      </c>
      <c r="V554" s="17" t="s">
        <v>3376</v>
      </c>
      <c r="W554" s="17" t="s">
        <v>35</v>
      </c>
      <c r="X554" s="17" t="s">
        <v>3377</v>
      </c>
      <c r="Y554" s="17" t="s">
        <v>35</v>
      </c>
      <c r="Z554" s="17" t="s">
        <v>3378</v>
      </c>
      <c r="AA554" s="17" t="s">
        <v>35</v>
      </c>
      <c r="AB554" s="17" t="s">
        <v>3379</v>
      </c>
      <c r="AC554" s="17" t="s">
        <v>9539</v>
      </c>
      <c r="AD554" s="42">
        <v>121.1</v>
      </c>
      <c r="AE554" s="42">
        <v>127.4</v>
      </c>
      <c r="AF554" s="48"/>
      <c r="AG554" s="44"/>
      <c r="AH554" s="7">
        <f t="shared" si="8"/>
        <v>0</v>
      </c>
      <c r="AI554" s="18"/>
      <c r="AJ554" s="18"/>
    </row>
    <row r="555" spans="1:38" ht="26.65" customHeight="1" x14ac:dyDescent="0.25">
      <c r="A555" s="10" t="s">
        <v>3380</v>
      </c>
      <c r="B555" s="9" t="s">
        <v>3206</v>
      </c>
      <c r="C555" s="9" t="s">
        <v>34</v>
      </c>
      <c r="D555" s="9" t="s">
        <v>3207</v>
      </c>
      <c r="E555" s="9" t="s">
        <v>122</v>
      </c>
      <c r="F555" s="9" t="s">
        <v>36</v>
      </c>
      <c r="G555" s="9">
        <v>1</v>
      </c>
      <c r="H555" s="9">
        <v>84219999</v>
      </c>
      <c r="I555" s="11" t="s">
        <v>37</v>
      </c>
      <c r="J555" s="12">
        <v>1.6500000000000001E-2</v>
      </c>
      <c r="K555" s="12">
        <v>7.5999999999999998E-2</v>
      </c>
      <c r="L555" s="12">
        <v>5.1999999999999998E-2</v>
      </c>
      <c r="M555" s="13">
        <v>8003453100800</v>
      </c>
      <c r="N555" s="14">
        <v>4.2</v>
      </c>
      <c r="O555" s="14">
        <v>4.75</v>
      </c>
      <c r="P555" s="15">
        <v>45047</v>
      </c>
      <c r="Q555" s="16" t="s">
        <v>3381</v>
      </c>
      <c r="R555" s="17" t="s">
        <v>3382</v>
      </c>
      <c r="S555" s="17" t="s">
        <v>35</v>
      </c>
      <c r="T555" s="17" t="s">
        <v>35</v>
      </c>
      <c r="U555" s="17" t="s">
        <v>35</v>
      </c>
      <c r="V555" s="17" t="s">
        <v>3383</v>
      </c>
      <c r="W555" s="17" t="s">
        <v>35</v>
      </c>
      <c r="X555" s="17" t="s">
        <v>35</v>
      </c>
      <c r="Y555" s="17" t="s">
        <v>35</v>
      </c>
      <c r="Z555" s="17" t="s">
        <v>3384</v>
      </c>
      <c r="AA555" s="17" t="s">
        <v>35</v>
      </c>
      <c r="AB555" s="17" t="s">
        <v>3385</v>
      </c>
      <c r="AC555" s="17" t="s">
        <v>9539</v>
      </c>
      <c r="AD555" s="42">
        <v>263.08999999999997</v>
      </c>
      <c r="AE555" s="42">
        <v>276.77</v>
      </c>
      <c r="AF555" s="48"/>
      <c r="AG555" s="44"/>
      <c r="AH555" s="7">
        <f t="shared" si="8"/>
        <v>0</v>
      </c>
      <c r="AI555" s="18"/>
      <c r="AJ555" s="18"/>
    </row>
    <row r="556" spans="1:38" ht="26.65" customHeight="1" x14ac:dyDescent="0.25">
      <c r="A556" s="10" t="s">
        <v>3386</v>
      </c>
      <c r="B556" s="9" t="s">
        <v>3086</v>
      </c>
      <c r="C556" s="9" t="s">
        <v>34</v>
      </c>
      <c r="D556" s="9" t="s">
        <v>3064</v>
      </c>
      <c r="E556" s="9" t="s">
        <v>35</v>
      </c>
      <c r="F556" s="9" t="s">
        <v>36</v>
      </c>
      <c r="G556" s="9">
        <v>1</v>
      </c>
      <c r="H556" s="9">
        <v>84219999</v>
      </c>
      <c r="I556" s="11" t="s">
        <v>37</v>
      </c>
      <c r="J556" s="12">
        <v>1.6500000000000001E-2</v>
      </c>
      <c r="K556" s="12">
        <v>7.5999999999999998E-2</v>
      </c>
      <c r="L556" s="12">
        <v>5.1999999999999998E-2</v>
      </c>
      <c r="M556" s="13">
        <v>8003453100817</v>
      </c>
      <c r="N556" s="14">
        <v>0</v>
      </c>
      <c r="O556" s="14">
        <v>0</v>
      </c>
      <c r="P556" s="15">
        <v>45017</v>
      </c>
      <c r="Q556" s="16" t="s">
        <v>3387</v>
      </c>
      <c r="R556" s="17" t="s">
        <v>3388</v>
      </c>
      <c r="S556" s="17" t="s">
        <v>3389</v>
      </c>
      <c r="T556" s="17" t="s">
        <v>35</v>
      </c>
      <c r="U556" s="17" t="s">
        <v>35</v>
      </c>
      <c r="V556" s="17" t="s">
        <v>35</v>
      </c>
      <c r="W556" s="17" t="s">
        <v>35</v>
      </c>
      <c r="X556" s="17" t="s">
        <v>8667</v>
      </c>
      <c r="Y556" s="17" t="s">
        <v>35</v>
      </c>
      <c r="Z556" s="17" t="s">
        <v>3390</v>
      </c>
      <c r="AA556" s="17" t="s">
        <v>35</v>
      </c>
      <c r="AB556" s="17" t="s">
        <v>3391</v>
      </c>
      <c r="AC556" s="17" t="s">
        <v>9539</v>
      </c>
      <c r="AD556" s="42">
        <v>142.38999999999999</v>
      </c>
      <c r="AE556" s="42">
        <v>149.79</v>
      </c>
      <c r="AF556" s="48"/>
      <c r="AG556" s="44"/>
      <c r="AH556" s="7">
        <f t="shared" si="8"/>
        <v>0</v>
      </c>
      <c r="AI556" s="18"/>
      <c r="AJ556" s="18"/>
    </row>
    <row r="557" spans="1:38" ht="26.65" customHeight="1" x14ac:dyDescent="0.25">
      <c r="A557" s="10" t="s">
        <v>3392</v>
      </c>
      <c r="B557" s="9" t="s">
        <v>3206</v>
      </c>
      <c r="C557" s="9" t="s">
        <v>34</v>
      </c>
      <c r="D557" s="9" t="s">
        <v>3207</v>
      </c>
      <c r="E557" s="9" t="s">
        <v>35</v>
      </c>
      <c r="F557" s="9" t="s">
        <v>36</v>
      </c>
      <c r="G557" s="9">
        <v>1</v>
      </c>
      <c r="H557" s="9">
        <v>84219999</v>
      </c>
      <c r="I557" s="11" t="s">
        <v>37</v>
      </c>
      <c r="J557" s="12">
        <v>1.6500000000000001E-2</v>
      </c>
      <c r="K557" s="12">
        <v>7.5999999999999998E-2</v>
      </c>
      <c r="L557" s="12">
        <v>5.1999999999999998E-2</v>
      </c>
      <c r="M557" s="13">
        <v>8003453100824</v>
      </c>
      <c r="N557" s="14">
        <v>5.4</v>
      </c>
      <c r="O557" s="14">
        <v>6.3</v>
      </c>
      <c r="P557" s="15">
        <v>45017</v>
      </c>
      <c r="Q557" s="16" t="s">
        <v>3393</v>
      </c>
      <c r="R557" s="17" t="s">
        <v>3394</v>
      </c>
      <c r="S557" s="17" t="s">
        <v>35</v>
      </c>
      <c r="T557" s="17" t="s">
        <v>3395</v>
      </c>
      <c r="U557" s="17" t="s">
        <v>35</v>
      </c>
      <c r="V557" s="17" t="s">
        <v>35</v>
      </c>
      <c r="W557" s="17" t="s">
        <v>35</v>
      </c>
      <c r="X557" s="17" t="s">
        <v>3396</v>
      </c>
      <c r="Y557" s="17" t="s">
        <v>35</v>
      </c>
      <c r="Z557" s="17" t="s">
        <v>3397</v>
      </c>
      <c r="AA557" s="17" t="s">
        <v>35</v>
      </c>
      <c r="AB557" s="17" t="s">
        <v>3398</v>
      </c>
      <c r="AC557" s="17" t="s">
        <v>9539</v>
      </c>
      <c r="AD557" s="42">
        <v>387.96</v>
      </c>
      <c r="AE557" s="42">
        <v>408.13</v>
      </c>
      <c r="AF557" s="48"/>
      <c r="AG557" s="44"/>
      <c r="AH557" s="7">
        <f t="shared" si="8"/>
        <v>0</v>
      </c>
      <c r="AI557" s="18"/>
      <c r="AJ557" s="18"/>
    </row>
    <row r="558" spans="1:38" ht="26.65" customHeight="1" x14ac:dyDescent="0.25">
      <c r="A558" s="10" t="s">
        <v>3399</v>
      </c>
      <c r="B558" s="9" t="s">
        <v>3086</v>
      </c>
      <c r="C558" s="9" t="s">
        <v>34</v>
      </c>
      <c r="D558" s="9" t="s">
        <v>3064</v>
      </c>
      <c r="E558" s="9" t="s">
        <v>35</v>
      </c>
      <c r="F558" s="9" t="s">
        <v>36</v>
      </c>
      <c r="G558" s="9">
        <v>1</v>
      </c>
      <c r="H558" s="9">
        <v>84219999</v>
      </c>
      <c r="I558" s="11" t="s">
        <v>37</v>
      </c>
      <c r="J558" s="12">
        <v>1.6500000000000001E-2</v>
      </c>
      <c r="K558" s="12">
        <v>7.5999999999999998E-2</v>
      </c>
      <c r="L558" s="12">
        <v>5.1999999999999998E-2</v>
      </c>
      <c r="M558" s="13">
        <v>8003453100831</v>
      </c>
      <c r="N558" s="14">
        <v>3.577</v>
      </c>
      <c r="O558" s="14">
        <v>4.0999999999999996</v>
      </c>
      <c r="P558" s="15">
        <v>45139</v>
      </c>
      <c r="Q558" s="16" t="s">
        <v>3400</v>
      </c>
      <c r="R558" s="17" t="s">
        <v>3401</v>
      </c>
      <c r="S558" s="17" t="s">
        <v>35</v>
      </c>
      <c r="T558" s="17" t="s">
        <v>35</v>
      </c>
      <c r="U558" s="17" t="s">
        <v>35</v>
      </c>
      <c r="V558" s="17" t="s">
        <v>35</v>
      </c>
      <c r="W558" s="17" t="s">
        <v>35</v>
      </c>
      <c r="X558" s="17" t="s">
        <v>3402</v>
      </c>
      <c r="Y558" s="17" t="s">
        <v>35</v>
      </c>
      <c r="Z558" s="17" t="s">
        <v>3403</v>
      </c>
      <c r="AA558" s="17" t="s">
        <v>35</v>
      </c>
      <c r="AB558" s="17" t="s">
        <v>3404</v>
      </c>
      <c r="AC558" s="17" t="s">
        <v>9539</v>
      </c>
      <c r="AD558" s="41">
        <v>164.89</v>
      </c>
      <c r="AE558" s="41">
        <v>173.46</v>
      </c>
      <c r="AF558" s="48"/>
      <c r="AG558" s="44"/>
      <c r="AH558" s="7">
        <f t="shared" si="8"/>
        <v>0</v>
      </c>
      <c r="AI558" s="18"/>
      <c r="AJ558" s="18"/>
    </row>
    <row r="559" spans="1:38" ht="26.65" customHeight="1" x14ac:dyDescent="0.25">
      <c r="A559" s="10" t="s">
        <v>3405</v>
      </c>
      <c r="B559" s="9" t="s">
        <v>3206</v>
      </c>
      <c r="C559" s="9" t="s">
        <v>34</v>
      </c>
      <c r="D559" s="9" t="s">
        <v>3207</v>
      </c>
      <c r="E559" s="9" t="s">
        <v>35</v>
      </c>
      <c r="F559" s="9" t="s">
        <v>36</v>
      </c>
      <c r="G559" s="9">
        <v>1</v>
      </c>
      <c r="H559" s="9">
        <v>84219999</v>
      </c>
      <c r="I559" s="11" t="s">
        <v>37</v>
      </c>
      <c r="J559" s="12">
        <v>1.6500000000000001E-2</v>
      </c>
      <c r="K559" s="12">
        <v>7.5999999999999998E-2</v>
      </c>
      <c r="L559" s="12">
        <v>5.1999999999999998E-2</v>
      </c>
      <c r="M559" s="13">
        <v>8003453100848</v>
      </c>
      <c r="N559" s="14">
        <v>0</v>
      </c>
      <c r="O559" s="14">
        <v>0</v>
      </c>
      <c r="P559" s="15">
        <v>45017</v>
      </c>
      <c r="Q559" s="16" t="s">
        <v>3406</v>
      </c>
      <c r="R559" s="17" t="s">
        <v>3407</v>
      </c>
      <c r="S559" s="17" t="s">
        <v>3408</v>
      </c>
      <c r="T559" s="17" t="s">
        <v>3409</v>
      </c>
      <c r="U559" s="17" t="s">
        <v>35</v>
      </c>
      <c r="V559" s="17" t="s">
        <v>35</v>
      </c>
      <c r="W559" s="17" t="s">
        <v>35</v>
      </c>
      <c r="X559" s="17" t="s">
        <v>35</v>
      </c>
      <c r="Y559" s="17" t="s">
        <v>35</v>
      </c>
      <c r="Z559" s="17" t="s">
        <v>3410</v>
      </c>
      <c r="AA559" s="17" t="s">
        <v>3411</v>
      </c>
      <c r="AB559" s="17" t="s">
        <v>3412</v>
      </c>
      <c r="AC559" s="17" t="s">
        <v>9539</v>
      </c>
      <c r="AD559" s="41">
        <v>444.15</v>
      </c>
      <c r="AE559" s="41">
        <v>467.25</v>
      </c>
      <c r="AF559" s="48"/>
      <c r="AG559" s="44"/>
      <c r="AH559" s="7">
        <f t="shared" si="8"/>
        <v>0</v>
      </c>
      <c r="AI559" s="18"/>
      <c r="AJ559" s="18"/>
      <c r="AL559" s="18"/>
    </row>
    <row r="560" spans="1:38" ht="26.65" customHeight="1" x14ac:dyDescent="0.25">
      <c r="A560" s="10" t="s">
        <v>8922</v>
      </c>
      <c r="B560" s="9" t="s">
        <v>3030</v>
      </c>
      <c r="C560" s="9" t="s">
        <v>34</v>
      </c>
      <c r="D560" s="9" t="s">
        <v>3306</v>
      </c>
      <c r="E560" s="9" t="s">
        <v>35</v>
      </c>
      <c r="F560" s="9" t="s">
        <v>36</v>
      </c>
      <c r="G560" s="9">
        <v>1</v>
      </c>
      <c r="H560" s="9">
        <v>84219999</v>
      </c>
      <c r="I560" s="11" t="s">
        <v>37</v>
      </c>
      <c r="J560" s="12">
        <v>1.6500000000000001E-2</v>
      </c>
      <c r="K560" s="12">
        <v>7.5999999999999998E-2</v>
      </c>
      <c r="L560" s="12">
        <v>5.1999999999999998E-2</v>
      </c>
      <c r="M560" s="13">
        <v>8003453100879</v>
      </c>
      <c r="N560" s="14">
        <v>0</v>
      </c>
      <c r="O560" s="14">
        <v>0</v>
      </c>
      <c r="P560" s="15">
        <v>45323</v>
      </c>
      <c r="Q560" s="16" t="s">
        <v>8923</v>
      </c>
      <c r="R560" s="17" t="s">
        <v>35</v>
      </c>
      <c r="S560" s="17" t="s">
        <v>35</v>
      </c>
      <c r="T560" s="17" t="s">
        <v>35</v>
      </c>
      <c r="U560" s="17" t="s">
        <v>35</v>
      </c>
      <c r="V560" s="17" t="s">
        <v>35</v>
      </c>
      <c r="W560" s="17" t="s">
        <v>35</v>
      </c>
      <c r="X560" s="17" t="s">
        <v>8924</v>
      </c>
      <c r="Y560" s="17" t="s">
        <v>35</v>
      </c>
      <c r="Z560" s="17" t="s">
        <v>8925</v>
      </c>
      <c r="AA560" s="17" t="s">
        <v>35</v>
      </c>
      <c r="AB560" s="17" t="s">
        <v>8926</v>
      </c>
      <c r="AC560" s="17" t="s">
        <v>9539</v>
      </c>
      <c r="AD560" s="42">
        <v>133.18</v>
      </c>
      <c r="AE560" s="42">
        <v>140.11000000000001</v>
      </c>
      <c r="AF560" s="48"/>
      <c r="AG560" s="44"/>
      <c r="AH560" s="7">
        <f t="shared" si="8"/>
        <v>0</v>
      </c>
      <c r="AI560" s="18"/>
      <c r="AJ560" s="18"/>
    </row>
    <row r="561" spans="1:38" ht="26.65" customHeight="1" x14ac:dyDescent="0.25">
      <c r="A561" s="38" t="s">
        <v>3413</v>
      </c>
      <c r="B561" s="9" t="s">
        <v>8666</v>
      </c>
      <c r="C561" s="9" t="s">
        <v>58</v>
      </c>
      <c r="D561" s="9" t="s">
        <v>5121</v>
      </c>
      <c r="E561" s="9" t="s">
        <v>35</v>
      </c>
      <c r="F561" s="9" t="s">
        <v>36</v>
      </c>
      <c r="G561" s="9">
        <v>4</v>
      </c>
      <c r="H561" s="9">
        <v>84213990</v>
      </c>
      <c r="I561" s="11" t="s">
        <v>37</v>
      </c>
      <c r="J561" s="12">
        <v>1.6500000000000001E-2</v>
      </c>
      <c r="K561" s="12">
        <v>7.5999999999999998E-2</v>
      </c>
      <c r="L561" s="12">
        <v>0</v>
      </c>
      <c r="M561" s="13">
        <v>8003453808102</v>
      </c>
      <c r="N561" s="14">
        <v>2.4500000000000002</v>
      </c>
      <c r="O561" s="14">
        <v>2.5499999999999998</v>
      </c>
      <c r="P561" s="15">
        <v>45017</v>
      </c>
      <c r="Q561" s="16" t="s">
        <v>3414</v>
      </c>
      <c r="R561" s="17" t="s">
        <v>3415</v>
      </c>
      <c r="S561" s="17" t="s">
        <v>3416</v>
      </c>
      <c r="T561" s="17" t="s">
        <v>3417</v>
      </c>
      <c r="U561" s="17" t="s">
        <v>3418</v>
      </c>
      <c r="V561" s="17" t="s">
        <v>3419</v>
      </c>
      <c r="W561" s="17" t="s">
        <v>35</v>
      </c>
      <c r="X561" s="17" t="s">
        <v>3420</v>
      </c>
      <c r="Y561" s="17" t="s">
        <v>3421</v>
      </c>
      <c r="Z561" s="17" t="s">
        <v>35</v>
      </c>
      <c r="AA561" s="17" t="s">
        <v>35</v>
      </c>
      <c r="AB561" s="17" t="s">
        <v>3422</v>
      </c>
      <c r="AC561" s="17" t="s">
        <v>9538</v>
      </c>
      <c r="AD561" s="42">
        <v>65.849999999999994</v>
      </c>
      <c r="AE561" s="42">
        <v>65.849999999999994</v>
      </c>
      <c r="AF561" s="48"/>
      <c r="AG561" s="44"/>
      <c r="AH561" s="7">
        <f t="shared" si="8"/>
        <v>0</v>
      </c>
      <c r="AI561" s="18"/>
      <c r="AJ561" s="18"/>
    </row>
    <row r="562" spans="1:38" ht="26.65" customHeight="1" x14ac:dyDescent="0.25">
      <c r="A562" s="10" t="s">
        <v>3423</v>
      </c>
      <c r="B562" s="9" t="s">
        <v>3030</v>
      </c>
      <c r="C562" s="9" t="s">
        <v>58</v>
      </c>
      <c r="D562" s="9" t="s">
        <v>3031</v>
      </c>
      <c r="E562" s="9" t="s">
        <v>35</v>
      </c>
      <c r="F562" s="9" t="s">
        <v>2072</v>
      </c>
      <c r="G562" s="9">
        <v>1</v>
      </c>
      <c r="H562" s="9">
        <v>84219999</v>
      </c>
      <c r="I562" s="11" t="s">
        <v>2073</v>
      </c>
      <c r="J562" s="12">
        <v>1.6500000000000001E-2</v>
      </c>
      <c r="K562" s="12">
        <v>7.5999999999999998E-2</v>
      </c>
      <c r="L562" s="12">
        <v>0</v>
      </c>
      <c r="M562" s="13">
        <v>8003453101098</v>
      </c>
      <c r="N562" s="14">
        <v>4.3</v>
      </c>
      <c r="O562" s="14">
        <v>4.74</v>
      </c>
      <c r="P562" s="15" t="s">
        <v>35</v>
      </c>
      <c r="Q562" s="16" t="s">
        <v>3424</v>
      </c>
      <c r="R562" s="17" t="s">
        <v>3425</v>
      </c>
      <c r="S562" s="17" t="s">
        <v>3426</v>
      </c>
      <c r="T562" s="17" t="s">
        <v>3427</v>
      </c>
      <c r="U562" s="17" t="s">
        <v>3428</v>
      </c>
      <c r="V562" s="17" t="s">
        <v>3429</v>
      </c>
      <c r="W562" s="17" t="s">
        <v>3430</v>
      </c>
      <c r="X562" s="17" t="s">
        <v>3431</v>
      </c>
      <c r="Y562" s="17" t="s">
        <v>3432</v>
      </c>
      <c r="Z562" s="17" t="s">
        <v>3433</v>
      </c>
      <c r="AA562" s="17" t="s">
        <v>3434</v>
      </c>
      <c r="AB562" s="17" t="s">
        <v>3435</v>
      </c>
      <c r="AC562" s="17" t="s">
        <v>9539</v>
      </c>
      <c r="AD562" s="41">
        <v>226.56</v>
      </c>
      <c r="AE562" s="41">
        <v>226.56</v>
      </c>
      <c r="AF562" s="48"/>
      <c r="AG562" s="44"/>
      <c r="AH562" s="7">
        <f t="shared" si="8"/>
        <v>0</v>
      </c>
      <c r="AI562" s="18"/>
      <c r="AJ562" s="18"/>
    </row>
    <row r="563" spans="1:38" ht="26.65" customHeight="1" x14ac:dyDescent="0.25">
      <c r="A563" s="10" t="s">
        <v>10276</v>
      </c>
      <c r="B563" s="9" t="s">
        <v>3030</v>
      </c>
      <c r="C563" s="9" t="s">
        <v>34</v>
      </c>
      <c r="D563" s="9" t="s">
        <v>3031</v>
      </c>
      <c r="E563" s="9" t="s">
        <v>35</v>
      </c>
      <c r="F563" s="9" t="s">
        <v>36</v>
      </c>
      <c r="G563" s="9">
        <v>5</v>
      </c>
      <c r="H563" s="9">
        <v>84219999</v>
      </c>
      <c r="I563" s="11" t="s">
        <v>37</v>
      </c>
      <c r="J563" s="12">
        <v>1.6500000000000001E-2</v>
      </c>
      <c r="K563" s="12">
        <v>7.5999999999999998E-2</v>
      </c>
      <c r="L563" s="12">
        <v>5.1999999999999998E-2</v>
      </c>
      <c r="M563" s="13">
        <v>8003453103412</v>
      </c>
      <c r="N563" s="14">
        <v>0</v>
      </c>
      <c r="O563" s="14">
        <v>0</v>
      </c>
      <c r="P563" s="15">
        <v>45566</v>
      </c>
      <c r="Q563" s="16" t="s">
        <v>10277</v>
      </c>
      <c r="R563" s="17" t="s">
        <v>10278</v>
      </c>
      <c r="S563" s="17" t="s">
        <v>35</v>
      </c>
      <c r="T563" s="17" t="s">
        <v>35</v>
      </c>
      <c r="U563" s="17" t="s">
        <v>35</v>
      </c>
      <c r="V563" s="17" t="s">
        <v>35</v>
      </c>
      <c r="W563" s="17" t="s">
        <v>35</v>
      </c>
      <c r="X563" s="17" t="s">
        <v>35</v>
      </c>
      <c r="Y563" s="17" t="s">
        <v>35</v>
      </c>
      <c r="Z563" s="17" t="s">
        <v>10279</v>
      </c>
      <c r="AA563" s="17" t="s">
        <v>35</v>
      </c>
      <c r="AB563" s="17" t="s">
        <v>10280</v>
      </c>
      <c r="AC563" s="17" t="s">
        <v>9539</v>
      </c>
      <c r="AD563" s="41">
        <v>307.5</v>
      </c>
      <c r="AE563" s="41">
        <v>323.49</v>
      </c>
      <c r="AF563" s="48"/>
      <c r="AG563" s="44"/>
      <c r="AH563" s="7">
        <f t="shared" si="8"/>
        <v>0</v>
      </c>
      <c r="AI563" s="18"/>
      <c r="AJ563" s="18"/>
    </row>
    <row r="564" spans="1:38" ht="26.65" customHeight="1" x14ac:dyDescent="0.25">
      <c r="A564" s="10" t="s">
        <v>9236</v>
      </c>
      <c r="B564" s="9" t="s">
        <v>3030</v>
      </c>
      <c r="C564" s="9" t="s">
        <v>34</v>
      </c>
      <c r="D564" s="9" t="s">
        <v>3306</v>
      </c>
      <c r="E564" s="9" t="s">
        <v>35</v>
      </c>
      <c r="F564" s="9" t="s">
        <v>36</v>
      </c>
      <c r="G564" s="9">
        <v>1</v>
      </c>
      <c r="H564" s="9">
        <v>84219999</v>
      </c>
      <c r="I564" s="11" t="s">
        <v>37</v>
      </c>
      <c r="J564" s="12">
        <v>1.6500000000000001E-2</v>
      </c>
      <c r="K564" s="12">
        <v>7.5999999999999998E-2</v>
      </c>
      <c r="L564" s="12">
        <v>5.1999999999999998E-2</v>
      </c>
      <c r="M564" s="13">
        <v>8003453101104</v>
      </c>
      <c r="N564" s="14">
        <v>4.95</v>
      </c>
      <c r="O564" s="14">
        <v>5.46</v>
      </c>
      <c r="P564" s="15" t="s">
        <v>35</v>
      </c>
      <c r="Q564" s="16" t="s">
        <v>3436</v>
      </c>
      <c r="R564" s="17" t="s">
        <v>35</v>
      </c>
      <c r="S564" s="17" t="s">
        <v>3437</v>
      </c>
      <c r="T564" s="17" t="s">
        <v>3438</v>
      </c>
      <c r="U564" s="17" t="s">
        <v>3439</v>
      </c>
      <c r="V564" s="17" t="s">
        <v>3440</v>
      </c>
      <c r="W564" s="17" t="s">
        <v>35</v>
      </c>
      <c r="X564" s="17" t="s">
        <v>3441</v>
      </c>
      <c r="Y564" s="17" t="s">
        <v>3442</v>
      </c>
      <c r="Z564" s="17" t="s">
        <v>3443</v>
      </c>
      <c r="AA564" s="17" t="s">
        <v>35</v>
      </c>
      <c r="AB564" s="17" t="s">
        <v>3444</v>
      </c>
      <c r="AC564" s="17" t="s">
        <v>9539</v>
      </c>
      <c r="AD564" s="41">
        <v>197.59</v>
      </c>
      <c r="AE564" s="41">
        <v>207.86</v>
      </c>
      <c r="AF564" s="48"/>
      <c r="AG564" s="44"/>
      <c r="AH564" s="7">
        <f t="shared" si="8"/>
        <v>0</v>
      </c>
      <c r="AI564" s="18"/>
      <c r="AJ564" s="18"/>
      <c r="AL564" s="18"/>
    </row>
    <row r="565" spans="1:38" ht="26.65" customHeight="1" x14ac:dyDescent="0.25">
      <c r="A565" s="10" t="s">
        <v>10590</v>
      </c>
      <c r="B565" s="9" t="s">
        <v>3030</v>
      </c>
      <c r="C565" s="9" t="s">
        <v>34</v>
      </c>
      <c r="D565" s="9" t="s">
        <v>3064</v>
      </c>
      <c r="E565" s="9" t="s">
        <v>35</v>
      </c>
      <c r="F565" s="9" t="s">
        <v>36</v>
      </c>
      <c r="G565" s="9">
        <v>1</v>
      </c>
      <c r="H565" s="9">
        <v>84219999</v>
      </c>
      <c r="I565" s="11" t="s">
        <v>37</v>
      </c>
      <c r="J565" s="12">
        <v>1.6500000000000001E-2</v>
      </c>
      <c r="K565" s="12">
        <v>7.5999999999999998E-2</v>
      </c>
      <c r="L565" s="12">
        <v>5.1999999999999998E-2</v>
      </c>
      <c r="M565" s="13">
        <v>8003453103511</v>
      </c>
      <c r="N565" s="14">
        <v>7.12</v>
      </c>
      <c r="O565" s="14">
        <v>7.45</v>
      </c>
      <c r="P565" s="15">
        <v>45597</v>
      </c>
      <c r="Q565" s="16" t="s">
        <v>10591</v>
      </c>
      <c r="R565" s="17" t="s">
        <v>35</v>
      </c>
      <c r="S565" s="17" t="s">
        <v>35</v>
      </c>
      <c r="T565" s="17" t="s">
        <v>10592</v>
      </c>
      <c r="U565" s="17" t="s">
        <v>35</v>
      </c>
      <c r="V565" s="17" t="s">
        <v>35</v>
      </c>
      <c r="W565" s="17" t="s">
        <v>35</v>
      </c>
      <c r="X565" s="17" t="s">
        <v>10593</v>
      </c>
      <c r="Y565" s="17" t="s">
        <v>35</v>
      </c>
      <c r="Z565" s="17" t="s">
        <v>10594</v>
      </c>
      <c r="AA565" s="17" t="s">
        <v>35</v>
      </c>
      <c r="AB565" s="17" t="s">
        <v>10595</v>
      </c>
      <c r="AC565" s="17" t="s">
        <v>9539</v>
      </c>
      <c r="AD565" s="41">
        <v>380.73</v>
      </c>
      <c r="AE565" s="41">
        <v>400.53</v>
      </c>
      <c r="AF565" s="48"/>
      <c r="AG565" s="44"/>
      <c r="AH565" s="7">
        <f t="shared" si="8"/>
        <v>0</v>
      </c>
      <c r="AI565" s="18"/>
      <c r="AJ565" s="18"/>
    </row>
    <row r="566" spans="1:38" ht="26.65" customHeight="1" x14ac:dyDescent="0.25">
      <c r="A566" s="10" t="s">
        <v>3445</v>
      </c>
      <c r="B566" s="9" t="s">
        <v>3030</v>
      </c>
      <c r="C566" s="9" t="s">
        <v>58</v>
      </c>
      <c r="D566" s="9" t="s">
        <v>3031</v>
      </c>
      <c r="E566" s="9" t="s">
        <v>122</v>
      </c>
      <c r="F566" s="9" t="s">
        <v>36</v>
      </c>
      <c r="G566" s="9">
        <v>1</v>
      </c>
      <c r="H566" s="9">
        <v>84219999</v>
      </c>
      <c r="I566" s="11" t="s">
        <v>37</v>
      </c>
      <c r="J566" s="12">
        <v>1.6500000000000001E-2</v>
      </c>
      <c r="K566" s="12">
        <v>7.5999999999999998E-2</v>
      </c>
      <c r="L566" s="12">
        <v>5.1999999999999998E-2</v>
      </c>
      <c r="M566" s="13">
        <v>8003453101111</v>
      </c>
      <c r="N566" s="14">
        <v>1.1240000000000001</v>
      </c>
      <c r="O566" s="14">
        <v>1.29</v>
      </c>
      <c r="P566" s="15" t="s">
        <v>35</v>
      </c>
      <c r="Q566" s="16" t="s">
        <v>3446</v>
      </c>
      <c r="R566" s="17" t="s">
        <v>3447</v>
      </c>
      <c r="S566" s="17" t="s">
        <v>3448</v>
      </c>
      <c r="T566" s="17" t="s">
        <v>3449</v>
      </c>
      <c r="U566" s="17" t="s">
        <v>3450</v>
      </c>
      <c r="V566" s="17" t="s">
        <v>3451</v>
      </c>
      <c r="W566" s="17" t="s">
        <v>3452</v>
      </c>
      <c r="X566" s="17" t="s">
        <v>3453</v>
      </c>
      <c r="Y566" s="17" t="s">
        <v>3454</v>
      </c>
      <c r="Z566" s="17" t="s">
        <v>3455</v>
      </c>
      <c r="AA566" s="17" t="s">
        <v>35</v>
      </c>
      <c r="AB566" s="17" t="s">
        <v>8668</v>
      </c>
      <c r="AC566" s="17" t="s">
        <v>9539</v>
      </c>
      <c r="AD566" s="41">
        <v>49.58</v>
      </c>
      <c r="AE566" s="41">
        <v>52.16</v>
      </c>
      <c r="AF566" s="48"/>
      <c r="AG566" s="44"/>
      <c r="AH566" s="7">
        <f t="shared" si="8"/>
        <v>0</v>
      </c>
      <c r="AI566" s="18"/>
      <c r="AJ566" s="18"/>
      <c r="AL566" s="18"/>
    </row>
    <row r="567" spans="1:38" ht="26.65" customHeight="1" x14ac:dyDescent="0.25">
      <c r="A567" s="10" t="s">
        <v>3456</v>
      </c>
      <c r="B567" s="9" t="s">
        <v>3030</v>
      </c>
      <c r="C567" s="9" t="s">
        <v>34</v>
      </c>
      <c r="D567" s="9" t="s">
        <v>3031</v>
      </c>
      <c r="E567" s="9" t="s">
        <v>35</v>
      </c>
      <c r="F567" s="9" t="s">
        <v>36</v>
      </c>
      <c r="G567" s="9">
        <v>1</v>
      </c>
      <c r="H567" s="9">
        <v>84219999</v>
      </c>
      <c r="I567" s="11" t="s">
        <v>37</v>
      </c>
      <c r="J567" s="12">
        <v>1.6500000000000001E-2</v>
      </c>
      <c r="K567" s="12">
        <v>7.5999999999999998E-2</v>
      </c>
      <c r="L567" s="12">
        <v>5.1999999999999998E-2</v>
      </c>
      <c r="M567" s="13">
        <v>8003453101142</v>
      </c>
      <c r="N567" s="14">
        <v>3.4969999999999999</v>
      </c>
      <c r="O567" s="14">
        <v>3.8919999999999999</v>
      </c>
      <c r="P567" s="15" t="s">
        <v>35</v>
      </c>
      <c r="Q567" s="16" t="s">
        <v>3457</v>
      </c>
      <c r="R567" s="17" t="s">
        <v>35</v>
      </c>
      <c r="S567" s="17" t="s">
        <v>35</v>
      </c>
      <c r="T567" s="17" t="s">
        <v>35</v>
      </c>
      <c r="U567" s="17" t="s">
        <v>35</v>
      </c>
      <c r="V567" s="17" t="s">
        <v>35</v>
      </c>
      <c r="W567" s="17" t="s">
        <v>35</v>
      </c>
      <c r="X567" s="17" t="s">
        <v>35</v>
      </c>
      <c r="Y567" s="17" t="s">
        <v>35</v>
      </c>
      <c r="Z567" s="17" t="s">
        <v>3458</v>
      </c>
      <c r="AA567" s="17" t="s">
        <v>35</v>
      </c>
      <c r="AB567" s="17" t="s">
        <v>3459</v>
      </c>
      <c r="AC567" s="17" t="s">
        <v>9539</v>
      </c>
      <c r="AD567" s="42">
        <v>193.15</v>
      </c>
      <c r="AE567" s="42">
        <v>203.19</v>
      </c>
      <c r="AF567" s="48"/>
      <c r="AG567" s="44"/>
      <c r="AH567" s="7">
        <f t="shared" si="8"/>
        <v>0</v>
      </c>
      <c r="AI567" s="18"/>
      <c r="AJ567" s="18"/>
    </row>
    <row r="568" spans="1:38" ht="26.65" customHeight="1" x14ac:dyDescent="0.25">
      <c r="A568" s="10" t="s">
        <v>3460</v>
      </c>
      <c r="B568" s="9" t="s">
        <v>3030</v>
      </c>
      <c r="C568" s="9" t="s">
        <v>34</v>
      </c>
      <c r="D568" s="9" t="s">
        <v>3031</v>
      </c>
      <c r="E568" s="9" t="s">
        <v>35</v>
      </c>
      <c r="F568" s="9" t="s">
        <v>36</v>
      </c>
      <c r="G568" s="9">
        <v>1</v>
      </c>
      <c r="H568" s="9">
        <v>84219999</v>
      </c>
      <c r="I568" s="11" t="s">
        <v>37</v>
      </c>
      <c r="J568" s="12">
        <v>1.6500000000000001E-2</v>
      </c>
      <c r="K568" s="12">
        <v>7.5999999999999998E-2</v>
      </c>
      <c r="L568" s="12">
        <v>5.1999999999999998E-2</v>
      </c>
      <c r="M568" s="13">
        <v>8003453104020</v>
      </c>
      <c r="N568" s="14">
        <v>1.67</v>
      </c>
      <c r="O568" s="14">
        <v>2.056</v>
      </c>
      <c r="P568" s="15" t="s">
        <v>35</v>
      </c>
      <c r="Q568" s="16" t="s">
        <v>3461</v>
      </c>
      <c r="R568" s="17" t="s">
        <v>35</v>
      </c>
      <c r="S568" s="17" t="s">
        <v>3462</v>
      </c>
      <c r="T568" s="17" t="s">
        <v>35</v>
      </c>
      <c r="U568" s="17" t="s">
        <v>35</v>
      </c>
      <c r="V568" s="17" t="s">
        <v>35</v>
      </c>
      <c r="W568" s="17" t="s">
        <v>35</v>
      </c>
      <c r="X568" s="17" t="s">
        <v>35</v>
      </c>
      <c r="Y568" s="17" t="s">
        <v>35</v>
      </c>
      <c r="Z568" s="17" t="s">
        <v>3463</v>
      </c>
      <c r="AA568" s="17" t="s">
        <v>35</v>
      </c>
      <c r="AB568" s="17" t="s">
        <v>3464</v>
      </c>
      <c r="AC568" s="17" t="s">
        <v>9539</v>
      </c>
      <c r="AD568" s="41">
        <v>191.52</v>
      </c>
      <c r="AE568" s="41">
        <v>201.48</v>
      </c>
      <c r="AF568" s="48"/>
      <c r="AG568" s="44"/>
      <c r="AH568" s="7">
        <f t="shared" si="8"/>
        <v>0</v>
      </c>
      <c r="AI568" s="18"/>
      <c r="AJ568" s="18"/>
    </row>
    <row r="569" spans="1:38" ht="26.65" customHeight="1" x14ac:dyDescent="0.25">
      <c r="A569" s="10" t="s">
        <v>3465</v>
      </c>
      <c r="B569" s="9" t="s">
        <v>3086</v>
      </c>
      <c r="C569" s="9" t="s">
        <v>34</v>
      </c>
      <c r="D569" s="9" t="s">
        <v>3064</v>
      </c>
      <c r="E569" s="9" t="s">
        <v>35</v>
      </c>
      <c r="F569" s="9" t="s">
        <v>36</v>
      </c>
      <c r="G569" s="9">
        <v>1</v>
      </c>
      <c r="H569" s="9">
        <v>84219999</v>
      </c>
      <c r="I569" s="11" t="s">
        <v>37</v>
      </c>
      <c r="J569" s="12">
        <v>1.6500000000000001E-2</v>
      </c>
      <c r="K569" s="12">
        <v>7.5999999999999998E-2</v>
      </c>
      <c r="L569" s="12">
        <v>5.1999999999999998E-2</v>
      </c>
      <c r="M569" s="13">
        <v>8003453105027</v>
      </c>
      <c r="N569" s="14">
        <v>0.9</v>
      </c>
      <c r="O569" s="14">
        <v>1.1299999999999999</v>
      </c>
      <c r="P569" s="15">
        <v>45139</v>
      </c>
      <c r="Q569" s="16" t="s">
        <v>3466</v>
      </c>
      <c r="R569" s="17" t="s">
        <v>3467</v>
      </c>
      <c r="S569" s="17" t="s">
        <v>3468</v>
      </c>
      <c r="T569" s="17" t="s">
        <v>35</v>
      </c>
      <c r="U569" s="17" t="s">
        <v>35</v>
      </c>
      <c r="V569" s="17" t="s">
        <v>35</v>
      </c>
      <c r="W569" s="17" t="s">
        <v>35</v>
      </c>
      <c r="X569" s="17" t="s">
        <v>3469</v>
      </c>
      <c r="Y569" s="17" t="s">
        <v>35</v>
      </c>
      <c r="Z569" s="17" t="s">
        <v>3470</v>
      </c>
      <c r="AA569" s="17" t="s">
        <v>3471</v>
      </c>
      <c r="AB569" s="17" t="s">
        <v>3472</v>
      </c>
      <c r="AC569" s="17" t="s">
        <v>9539</v>
      </c>
      <c r="AD569" s="42">
        <v>71.72</v>
      </c>
      <c r="AE569" s="42">
        <v>75.45</v>
      </c>
      <c r="AF569" s="48"/>
      <c r="AG569" s="44"/>
      <c r="AH569" s="7">
        <f t="shared" si="8"/>
        <v>0</v>
      </c>
      <c r="AI569" s="18"/>
      <c r="AJ569" s="18"/>
    </row>
    <row r="570" spans="1:38" ht="26.65" customHeight="1" x14ac:dyDescent="0.25">
      <c r="A570" s="10" t="s">
        <v>3473</v>
      </c>
      <c r="B570" s="9" t="s">
        <v>3030</v>
      </c>
      <c r="C570" s="9" t="s">
        <v>34</v>
      </c>
      <c r="D570" s="9" t="s">
        <v>3031</v>
      </c>
      <c r="E570" s="9" t="s">
        <v>35</v>
      </c>
      <c r="F570" s="9" t="s">
        <v>36</v>
      </c>
      <c r="G570" s="9">
        <v>1</v>
      </c>
      <c r="H570" s="9">
        <v>84219999</v>
      </c>
      <c r="I570" s="11" t="s">
        <v>37</v>
      </c>
      <c r="J570" s="12">
        <v>1.6500000000000001E-2</v>
      </c>
      <c r="K570" s="12">
        <v>7.5999999999999998E-2</v>
      </c>
      <c r="L570" s="12">
        <v>5.1999999999999998E-2</v>
      </c>
      <c r="M570" s="13">
        <v>8003453104990</v>
      </c>
      <c r="N570" s="14">
        <v>2.52</v>
      </c>
      <c r="O570" s="14">
        <v>2.75</v>
      </c>
      <c r="P570" s="15">
        <v>44774</v>
      </c>
      <c r="Q570" s="16" t="s">
        <v>3474</v>
      </c>
      <c r="R570" s="17" t="s">
        <v>3475</v>
      </c>
      <c r="S570" s="17" t="s">
        <v>3476</v>
      </c>
      <c r="T570" s="17" t="s">
        <v>35</v>
      </c>
      <c r="U570" s="17" t="s">
        <v>35</v>
      </c>
      <c r="V570" s="17" t="s">
        <v>3477</v>
      </c>
      <c r="W570" s="17" t="s">
        <v>35</v>
      </c>
      <c r="X570" s="17" t="s">
        <v>3478</v>
      </c>
      <c r="Y570" s="17" t="s">
        <v>35</v>
      </c>
      <c r="Z570" s="17" t="s">
        <v>3479</v>
      </c>
      <c r="AA570" s="17" t="s">
        <v>3480</v>
      </c>
      <c r="AB570" s="17" t="s">
        <v>3481</v>
      </c>
      <c r="AC570" s="17" t="s">
        <v>9539</v>
      </c>
      <c r="AD570" s="41">
        <v>135.19</v>
      </c>
      <c r="AE570" s="41">
        <v>142.22</v>
      </c>
      <c r="AF570" s="48"/>
      <c r="AG570" s="44"/>
      <c r="AH570" s="7">
        <f t="shared" si="8"/>
        <v>0</v>
      </c>
      <c r="AI570" s="18"/>
      <c r="AJ570" s="18"/>
    </row>
    <row r="571" spans="1:38" ht="26.65" customHeight="1" x14ac:dyDescent="0.25">
      <c r="A571" s="10" t="s">
        <v>3482</v>
      </c>
      <c r="B571" s="9" t="s">
        <v>3056</v>
      </c>
      <c r="C571" s="9" t="s">
        <v>58</v>
      </c>
      <c r="D571" s="9" t="s">
        <v>3031</v>
      </c>
      <c r="E571" s="9" t="s">
        <v>35</v>
      </c>
      <c r="F571" s="9" t="s">
        <v>36</v>
      </c>
      <c r="G571" s="9">
        <v>1</v>
      </c>
      <c r="H571" s="9">
        <v>84219999</v>
      </c>
      <c r="I571" s="11" t="s">
        <v>37</v>
      </c>
      <c r="J571" s="12">
        <v>1.6500000000000001E-2</v>
      </c>
      <c r="K571" s="12">
        <v>7.5999999999999998E-2</v>
      </c>
      <c r="L571" s="12">
        <v>5.1999999999999998E-2</v>
      </c>
      <c r="M571" s="13">
        <v>8003453101197</v>
      </c>
      <c r="N571" s="14">
        <v>3.65</v>
      </c>
      <c r="O571" s="14">
        <v>4</v>
      </c>
      <c r="P571" s="15">
        <v>45139</v>
      </c>
      <c r="Q571" s="16" t="s">
        <v>3483</v>
      </c>
      <c r="R571" s="17" t="s">
        <v>3484</v>
      </c>
      <c r="S571" s="17" t="s">
        <v>3485</v>
      </c>
      <c r="T571" s="17" t="s">
        <v>3486</v>
      </c>
      <c r="U571" s="17" t="s">
        <v>35</v>
      </c>
      <c r="V571" s="17" t="s">
        <v>35</v>
      </c>
      <c r="W571" s="17" t="s">
        <v>35</v>
      </c>
      <c r="X571" s="17" t="s">
        <v>3487</v>
      </c>
      <c r="Y571" s="17" t="s">
        <v>35</v>
      </c>
      <c r="Z571" s="17" t="s">
        <v>35</v>
      </c>
      <c r="AA571" s="17" t="s">
        <v>35</v>
      </c>
      <c r="AB571" s="17" t="s">
        <v>3488</v>
      </c>
      <c r="AC571" s="17" t="s">
        <v>9539</v>
      </c>
      <c r="AD571" s="42">
        <v>185.46</v>
      </c>
      <c r="AE571" s="42">
        <v>195.1</v>
      </c>
      <c r="AF571" s="48"/>
      <c r="AG571" s="44"/>
      <c r="AH571" s="7">
        <f t="shared" si="8"/>
        <v>0</v>
      </c>
      <c r="AI571" s="18"/>
      <c r="AJ571" s="18"/>
    </row>
    <row r="572" spans="1:38" ht="26.65" customHeight="1" x14ac:dyDescent="0.25">
      <c r="A572" s="10" t="s">
        <v>3489</v>
      </c>
      <c r="B572" s="9" t="s">
        <v>3086</v>
      </c>
      <c r="C572" s="9" t="s">
        <v>34</v>
      </c>
      <c r="D572" s="9" t="s">
        <v>3064</v>
      </c>
      <c r="E572" s="9" t="s">
        <v>35</v>
      </c>
      <c r="F572" s="9" t="s">
        <v>36</v>
      </c>
      <c r="G572" s="9">
        <v>1</v>
      </c>
      <c r="H572" s="9">
        <v>84219999</v>
      </c>
      <c r="I572" s="11" t="s">
        <v>37</v>
      </c>
      <c r="J572" s="12">
        <v>1.6500000000000001E-2</v>
      </c>
      <c r="K572" s="12">
        <v>7.5999999999999998E-2</v>
      </c>
      <c r="L572" s="12">
        <v>5.1999999999999998E-2</v>
      </c>
      <c r="M572" s="13">
        <v>8003453105614</v>
      </c>
      <c r="N572" s="14">
        <v>1.232</v>
      </c>
      <c r="O572" s="14">
        <v>1.42</v>
      </c>
      <c r="P572" s="15">
        <v>45139</v>
      </c>
      <c r="Q572" s="16" t="s">
        <v>3490</v>
      </c>
      <c r="R572" s="17" t="s">
        <v>3491</v>
      </c>
      <c r="S572" s="17" t="s">
        <v>35</v>
      </c>
      <c r="T572" s="17" t="s">
        <v>35</v>
      </c>
      <c r="U572" s="17" t="s">
        <v>35</v>
      </c>
      <c r="V572" s="17" t="s">
        <v>35</v>
      </c>
      <c r="W572" s="17" t="s">
        <v>35</v>
      </c>
      <c r="X572" s="17" t="s">
        <v>35</v>
      </c>
      <c r="Y572" s="17" t="s">
        <v>35</v>
      </c>
      <c r="Z572" s="17" t="s">
        <v>3492</v>
      </c>
      <c r="AA572" s="17" t="s">
        <v>35</v>
      </c>
      <c r="AB572" s="17" t="s">
        <v>3493</v>
      </c>
      <c r="AC572" s="17" t="s">
        <v>9539</v>
      </c>
      <c r="AD572" s="42">
        <v>105.85</v>
      </c>
      <c r="AE572" s="42">
        <v>111.35</v>
      </c>
      <c r="AF572" s="48"/>
      <c r="AG572" s="44"/>
      <c r="AH572" s="7">
        <f t="shared" si="8"/>
        <v>0</v>
      </c>
      <c r="AI572" s="18"/>
      <c r="AJ572" s="18"/>
    </row>
    <row r="573" spans="1:38" ht="26.65" customHeight="1" x14ac:dyDescent="0.25">
      <c r="A573" s="10" t="s">
        <v>3494</v>
      </c>
      <c r="B573" s="9" t="s">
        <v>3086</v>
      </c>
      <c r="C573" s="9" t="s">
        <v>34</v>
      </c>
      <c r="D573" s="9" t="s">
        <v>3064</v>
      </c>
      <c r="E573" s="9" t="s">
        <v>122</v>
      </c>
      <c r="F573" s="9" t="s">
        <v>36</v>
      </c>
      <c r="G573" s="9">
        <v>1</v>
      </c>
      <c r="H573" s="9">
        <v>84219999</v>
      </c>
      <c r="I573" s="11" t="s">
        <v>37</v>
      </c>
      <c r="J573" s="12">
        <v>1.6500000000000001E-2</v>
      </c>
      <c r="K573" s="12">
        <v>7.5999999999999998E-2</v>
      </c>
      <c r="L573" s="12">
        <v>5.1999999999999998E-2</v>
      </c>
      <c r="M573" s="13">
        <v>8003453104037</v>
      </c>
      <c r="N573" s="14">
        <v>0.152</v>
      </c>
      <c r="O573" s="14">
        <v>0.20499999999999999</v>
      </c>
      <c r="P573" s="15">
        <v>45108</v>
      </c>
      <c r="Q573" s="16" t="s">
        <v>3495</v>
      </c>
      <c r="R573" s="17" t="s">
        <v>3496</v>
      </c>
      <c r="S573" s="17" t="s">
        <v>3497</v>
      </c>
      <c r="T573" s="17" t="s">
        <v>35</v>
      </c>
      <c r="U573" s="17" t="s">
        <v>35</v>
      </c>
      <c r="V573" s="17" t="s">
        <v>35</v>
      </c>
      <c r="W573" s="17" t="s">
        <v>35</v>
      </c>
      <c r="X573" s="17" t="s">
        <v>3498</v>
      </c>
      <c r="Y573" s="17" t="s">
        <v>35</v>
      </c>
      <c r="Z573" s="17" t="s">
        <v>3499</v>
      </c>
      <c r="AA573" s="17" t="s">
        <v>35</v>
      </c>
      <c r="AB573" s="17" t="s">
        <v>3500</v>
      </c>
      <c r="AC573" s="17" t="s">
        <v>9539</v>
      </c>
      <c r="AD573" s="41">
        <v>51.26</v>
      </c>
      <c r="AE573" s="41">
        <v>53.93</v>
      </c>
      <c r="AF573" s="48"/>
      <c r="AG573" s="44"/>
      <c r="AH573" s="7">
        <f t="shared" si="8"/>
        <v>0</v>
      </c>
      <c r="AI573" s="18"/>
      <c r="AJ573" s="18"/>
    </row>
    <row r="574" spans="1:38" ht="26.65" customHeight="1" x14ac:dyDescent="0.25">
      <c r="A574" s="10" t="s">
        <v>3501</v>
      </c>
      <c r="B574" s="9" t="s">
        <v>3206</v>
      </c>
      <c r="C574" s="9" t="s">
        <v>34</v>
      </c>
      <c r="D574" s="9" t="s">
        <v>3207</v>
      </c>
      <c r="E574" s="9" t="s">
        <v>122</v>
      </c>
      <c r="F574" s="9" t="s">
        <v>36</v>
      </c>
      <c r="G574" s="9">
        <v>1</v>
      </c>
      <c r="H574" s="9">
        <v>84219999</v>
      </c>
      <c r="I574" s="11" t="s">
        <v>37</v>
      </c>
      <c r="J574" s="12">
        <v>1.6500000000000001E-2</v>
      </c>
      <c r="K574" s="12">
        <v>7.5999999999999998E-2</v>
      </c>
      <c r="L574" s="12">
        <v>5.1999999999999998E-2</v>
      </c>
      <c r="M574" s="13">
        <v>8003453104044</v>
      </c>
      <c r="N574" s="14">
        <v>0.78</v>
      </c>
      <c r="O574" s="14">
        <v>0.9</v>
      </c>
      <c r="P574" s="15">
        <v>45108</v>
      </c>
      <c r="Q574" s="16" t="s">
        <v>3495</v>
      </c>
      <c r="R574" s="17" t="s">
        <v>3502</v>
      </c>
      <c r="S574" s="17" t="s">
        <v>3503</v>
      </c>
      <c r="T574" s="17" t="s">
        <v>35</v>
      </c>
      <c r="U574" s="17" t="s">
        <v>35</v>
      </c>
      <c r="V574" s="17" t="s">
        <v>35</v>
      </c>
      <c r="W574" s="17" t="s">
        <v>35</v>
      </c>
      <c r="X574" s="17" t="s">
        <v>3504</v>
      </c>
      <c r="Y574" s="17" t="s">
        <v>35</v>
      </c>
      <c r="Z574" s="17" t="s">
        <v>3505</v>
      </c>
      <c r="AA574" s="17" t="s">
        <v>35</v>
      </c>
      <c r="AB574" s="17" t="s">
        <v>3506</v>
      </c>
      <c r="AC574" s="17" t="s">
        <v>9539</v>
      </c>
      <c r="AD574" s="41">
        <v>84.21</v>
      </c>
      <c r="AE574" s="41">
        <v>88.59</v>
      </c>
      <c r="AF574" s="48"/>
      <c r="AG574" s="44"/>
      <c r="AH574" s="7">
        <f t="shared" si="8"/>
        <v>0</v>
      </c>
      <c r="AI574" s="18"/>
      <c r="AJ574" s="18"/>
    </row>
    <row r="575" spans="1:38" ht="26.65" customHeight="1" x14ac:dyDescent="0.25">
      <c r="A575" s="10" t="s">
        <v>3507</v>
      </c>
      <c r="B575" s="9" t="s">
        <v>3030</v>
      </c>
      <c r="C575" s="9" t="s">
        <v>58</v>
      </c>
      <c r="D575" s="9" t="s">
        <v>3031</v>
      </c>
      <c r="E575" s="9" t="s">
        <v>35</v>
      </c>
      <c r="F575" s="9" t="s">
        <v>36</v>
      </c>
      <c r="G575" s="9">
        <v>1</v>
      </c>
      <c r="H575" s="9">
        <v>84219999</v>
      </c>
      <c r="I575" s="11" t="s">
        <v>37</v>
      </c>
      <c r="J575" s="12">
        <v>1.6500000000000001E-2</v>
      </c>
      <c r="K575" s="12">
        <v>7.5999999999999998E-2</v>
      </c>
      <c r="L575" s="12">
        <v>5.1999999999999998E-2</v>
      </c>
      <c r="M575" s="13">
        <v>8003453101265</v>
      </c>
      <c r="N575" s="14">
        <v>0.54</v>
      </c>
      <c r="O575" s="14">
        <v>0.6</v>
      </c>
      <c r="P575" s="15" t="s">
        <v>35</v>
      </c>
      <c r="Q575" s="16" t="s">
        <v>3508</v>
      </c>
      <c r="R575" s="17" t="s">
        <v>35</v>
      </c>
      <c r="S575" s="17" t="s">
        <v>3509</v>
      </c>
      <c r="T575" s="17" t="s">
        <v>3510</v>
      </c>
      <c r="U575" s="17" t="s">
        <v>35</v>
      </c>
      <c r="V575" s="17" t="s">
        <v>3511</v>
      </c>
      <c r="W575" s="17" t="s">
        <v>3512</v>
      </c>
      <c r="X575" s="17" t="s">
        <v>3513</v>
      </c>
      <c r="Y575" s="17" t="s">
        <v>3514</v>
      </c>
      <c r="Z575" s="17" t="s">
        <v>3515</v>
      </c>
      <c r="AA575" s="17" t="s">
        <v>35</v>
      </c>
      <c r="AB575" s="17" t="s">
        <v>3516</v>
      </c>
      <c r="AC575" s="17" t="s">
        <v>9539</v>
      </c>
      <c r="AD575" s="42">
        <v>272.44</v>
      </c>
      <c r="AE575" s="42">
        <v>286.61</v>
      </c>
      <c r="AF575" s="48"/>
      <c r="AG575" s="44"/>
      <c r="AH575" s="7">
        <f t="shared" si="8"/>
        <v>0</v>
      </c>
      <c r="AI575" s="18"/>
      <c r="AJ575" s="18"/>
    </row>
    <row r="576" spans="1:38" ht="26.65" customHeight="1" x14ac:dyDescent="0.25">
      <c r="A576" s="10" t="s">
        <v>3517</v>
      </c>
      <c r="B576" s="9" t="s">
        <v>3030</v>
      </c>
      <c r="C576" s="9" t="s">
        <v>43</v>
      </c>
      <c r="D576" s="9" t="s">
        <v>3031</v>
      </c>
      <c r="E576" s="9" t="s">
        <v>35</v>
      </c>
      <c r="F576" s="9" t="s">
        <v>36</v>
      </c>
      <c r="G576" s="9">
        <v>1</v>
      </c>
      <c r="H576" s="9">
        <v>84219999</v>
      </c>
      <c r="I576" s="11" t="s">
        <v>37</v>
      </c>
      <c r="J576" s="12">
        <v>1.6500000000000001E-2</v>
      </c>
      <c r="K576" s="12">
        <v>7.5999999999999998E-2</v>
      </c>
      <c r="L576" s="12">
        <v>5.1999999999999998E-2</v>
      </c>
      <c r="M576" s="13">
        <v>8003453101234</v>
      </c>
      <c r="N576" s="14">
        <v>0.39400000000000002</v>
      </c>
      <c r="O576" s="14">
        <v>0.53600000000000003</v>
      </c>
      <c r="P576" s="15" t="s">
        <v>35</v>
      </c>
      <c r="Q576" s="16" t="s">
        <v>3518</v>
      </c>
      <c r="R576" s="17" t="s">
        <v>35</v>
      </c>
      <c r="S576" s="17" t="s">
        <v>3519</v>
      </c>
      <c r="T576" s="17" t="s">
        <v>3520</v>
      </c>
      <c r="U576" s="17" t="s">
        <v>3521</v>
      </c>
      <c r="V576" s="17" t="s">
        <v>35</v>
      </c>
      <c r="W576" s="17" t="s">
        <v>35</v>
      </c>
      <c r="X576" s="17" t="s">
        <v>3522</v>
      </c>
      <c r="Y576" s="17" t="s">
        <v>3523</v>
      </c>
      <c r="Z576" s="17" t="s">
        <v>35</v>
      </c>
      <c r="AA576" s="17" t="s">
        <v>35</v>
      </c>
      <c r="AB576" s="17" t="s">
        <v>35</v>
      </c>
      <c r="AC576" s="17" t="s">
        <v>9539</v>
      </c>
      <c r="AD576" s="41">
        <v>62.98</v>
      </c>
      <c r="AE576" s="41">
        <v>66.25</v>
      </c>
      <c r="AF576" s="48"/>
      <c r="AG576" s="44"/>
      <c r="AH576" s="7">
        <f t="shared" si="8"/>
        <v>0</v>
      </c>
      <c r="AI576" s="18"/>
      <c r="AJ576" s="18"/>
    </row>
    <row r="577" spans="1:38" ht="26.65" customHeight="1" x14ac:dyDescent="0.25">
      <c r="A577" s="10" t="s">
        <v>3524</v>
      </c>
      <c r="B577" s="9" t="s">
        <v>3030</v>
      </c>
      <c r="C577" s="9" t="s">
        <v>58</v>
      </c>
      <c r="D577" s="9" t="s">
        <v>3031</v>
      </c>
      <c r="E577" s="9" t="s">
        <v>35</v>
      </c>
      <c r="F577" s="9" t="s">
        <v>36</v>
      </c>
      <c r="G577" s="9">
        <v>1</v>
      </c>
      <c r="H577" s="9">
        <v>84219999</v>
      </c>
      <c r="I577" s="11" t="s">
        <v>37</v>
      </c>
      <c r="J577" s="12">
        <v>1.6500000000000001E-2</v>
      </c>
      <c r="K577" s="12">
        <v>7.5999999999999998E-2</v>
      </c>
      <c r="L577" s="12">
        <v>5.1999999999999998E-2</v>
      </c>
      <c r="M577" s="13">
        <v>8003453101302</v>
      </c>
      <c r="N577" s="14">
        <v>1.4</v>
      </c>
      <c r="O577" s="14">
        <v>1.6</v>
      </c>
      <c r="P577" s="15" t="s">
        <v>35</v>
      </c>
      <c r="Q577" s="16" t="s">
        <v>3525</v>
      </c>
      <c r="R577" s="17" t="s">
        <v>3526</v>
      </c>
      <c r="S577" s="17" t="s">
        <v>3527</v>
      </c>
      <c r="T577" s="17" t="s">
        <v>3528</v>
      </c>
      <c r="U577" s="17" t="s">
        <v>35</v>
      </c>
      <c r="V577" s="17" t="s">
        <v>35</v>
      </c>
      <c r="W577" s="17" t="s">
        <v>35</v>
      </c>
      <c r="X577" s="17" t="s">
        <v>35</v>
      </c>
      <c r="Y577" s="17" t="s">
        <v>35</v>
      </c>
      <c r="Z577" s="17" t="s">
        <v>3529</v>
      </c>
      <c r="AA577" s="17" t="s">
        <v>35</v>
      </c>
      <c r="AB577" s="17" t="s">
        <v>3530</v>
      </c>
      <c r="AC577" s="17" t="s">
        <v>9539</v>
      </c>
      <c r="AD577" s="41">
        <v>95.36</v>
      </c>
      <c r="AE577" s="41">
        <v>100.32</v>
      </c>
      <c r="AF577" s="48"/>
      <c r="AG577" s="44"/>
      <c r="AH577" s="7">
        <f t="shared" si="8"/>
        <v>0</v>
      </c>
      <c r="AI577" s="18"/>
      <c r="AJ577" s="18"/>
      <c r="AL577" s="18"/>
    </row>
    <row r="578" spans="1:38" ht="26.65" customHeight="1" x14ac:dyDescent="0.25">
      <c r="A578" s="38" t="s">
        <v>3531</v>
      </c>
      <c r="B578" s="9" t="s">
        <v>3292</v>
      </c>
      <c r="C578" s="9" t="s">
        <v>58</v>
      </c>
      <c r="D578" s="9" t="s">
        <v>5121</v>
      </c>
      <c r="E578" s="9" t="s">
        <v>35</v>
      </c>
      <c r="F578" s="9" t="s">
        <v>36</v>
      </c>
      <c r="G578" s="9">
        <v>5</v>
      </c>
      <c r="H578" s="9">
        <v>84213990</v>
      </c>
      <c r="I578" s="11" t="s">
        <v>37</v>
      </c>
      <c r="J578" s="12">
        <v>1.6500000000000001E-2</v>
      </c>
      <c r="K578" s="12">
        <v>7.5999999999999998E-2</v>
      </c>
      <c r="L578" s="12">
        <v>0</v>
      </c>
      <c r="M578" s="13">
        <v>8003453101333</v>
      </c>
      <c r="N578" s="14">
        <v>1.964</v>
      </c>
      <c r="O578" s="14">
        <v>2.0209999999999999</v>
      </c>
      <c r="P578" s="15" t="s">
        <v>35</v>
      </c>
      <c r="Q578" s="16" t="s">
        <v>3532</v>
      </c>
      <c r="R578" s="17" t="s">
        <v>35</v>
      </c>
      <c r="S578" s="17" t="s">
        <v>3533</v>
      </c>
      <c r="T578" s="17" t="s">
        <v>3534</v>
      </c>
      <c r="U578" s="17" t="s">
        <v>3535</v>
      </c>
      <c r="V578" s="17" t="s">
        <v>35</v>
      </c>
      <c r="W578" s="17" t="s">
        <v>35</v>
      </c>
      <c r="X578" s="17" t="s">
        <v>35</v>
      </c>
      <c r="Y578" s="17" t="s">
        <v>35</v>
      </c>
      <c r="Z578" s="17" t="s">
        <v>3536</v>
      </c>
      <c r="AA578" s="17" t="s">
        <v>35</v>
      </c>
      <c r="AB578" s="17" t="s">
        <v>3537</v>
      </c>
      <c r="AC578" s="17" t="s">
        <v>9538</v>
      </c>
      <c r="AD578" s="42">
        <v>131.04</v>
      </c>
      <c r="AE578" s="42">
        <v>131.04</v>
      </c>
      <c r="AF578" s="48"/>
      <c r="AG578" s="44"/>
      <c r="AH578" s="7">
        <f t="shared" si="8"/>
        <v>0</v>
      </c>
      <c r="AI578" s="18"/>
      <c r="AJ578" s="18"/>
    </row>
    <row r="579" spans="1:38" ht="26.65" customHeight="1" x14ac:dyDescent="0.25">
      <c r="A579" s="10" t="s">
        <v>3538</v>
      </c>
      <c r="B579" s="9" t="s">
        <v>3030</v>
      </c>
      <c r="C579" s="9" t="s">
        <v>43</v>
      </c>
      <c r="D579" s="9" t="s">
        <v>3031</v>
      </c>
      <c r="E579" s="9" t="s">
        <v>35</v>
      </c>
      <c r="F579" s="9" t="s">
        <v>36</v>
      </c>
      <c r="G579" s="9">
        <v>5</v>
      </c>
      <c r="H579" s="9">
        <v>84219999</v>
      </c>
      <c r="I579" s="11" t="s">
        <v>37</v>
      </c>
      <c r="J579" s="12">
        <v>1.6500000000000001E-2</v>
      </c>
      <c r="K579" s="12">
        <v>7.5999999999999998E-2</v>
      </c>
      <c r="L579" s="12">
        <v>5.1999999999999998E-2</v>
      </c>
      <c r="M579" s="13">
        <v>8003453101401</v>
      </c>
      <c r="N579" s="14">
        <v>0.3</v>
      </c>
      <c r="O579" s="14">
        <v>0.50900000000000001</v>
      </c>
      <c r="P579" s="15" t="s">
        <v>35</v>
      </c>
      <c r="Q579" s="16" t="s">
        <v>3539</v>
      </c>
      <c r="R579" s="17" t="s">
        <v>35</v>
      </c>
      <c r="S579" s="17" t="s">
        <v>3540</v>
      </c>
      <c r="T579" s="17" t="s">
        <v>3541</v>
      </c>
      <c r="U579" s="17" t="s">
        <v>35</v>
      </c>
      <c r="V579" s="17" t="s">
        <v>3542</v>
      </c>
      <c r="W579" s="17" t="s">
        <v>3543</v>
      </c>
      <c r="X579" s="17" t="s">
        <v>3544</v>
      </c>
      <c r="Y579" s="17" t="s">
        <v>3545</v>
      </c>
      <c r="Z579" s="17" t="s">
        <v>35</v>
      </c>
      <c r="AA579" s="17" t="s">
        <v>35</v>
      </c>
      <c r="AB579" s="17" t="s">
        <v>35</v>
      </c>
      <c r="AC579" s="17" t="s">
        <v>9539</v>
      </c>
      <c r="AD579" s="42">
        <v>31.38</v>
      </c>
      <c r="AE579" s="42">
        <v>33.01</v>
      </c>
      <c r="AF579" s="48"/>
      <c r="AG579" s="44"/>
      <c r="AH579" s="7">
        <f t="shared" si="8"/>
        <v>0</v>
      </c>
      <c r="AI579" s="18"/>
      <c r="AJ579" s="18"/>
    </row>
    <row r="580" spans="1:38" ht="26.65" customHeight="1" x14ac:dyDescent="0.25">
      <c r="A580" s="10" t="s">
        <v>3546</v>
      </c>
      <c r="B580" s="9" t="s">
        <v>3030</v>
      </c>
      <c r="C580" s="9" t="s">
        <v>34</v>
      </c>
      <c r="D580" s="9" t="s">
        <v>3064</v>
      </c>
      <c r="E580" s="9" t="s">
        <v>35</v>
      </c>
      <c r="F580" s="9" t="s">
        <v>2072</v>
      </c>
      <c r="G580" s="9">
        <v>1</v>
      </c>
      <c r="H580" s="9">
        <v>84219999</v>
      </c>
      <c r="I580" s="11" t="s">
        <v>2073</v>
      </c>
      <c r="J580" s="12">
        <v>1.6500000000000001E-2</v>
      </c>
      <c r="K580" s="12">
        <v>7.5999999999999998E-2</v>
      </c>
      <c r="L580" s="12">
        <v>0</v>
      </c>
      <c r="M580" s="13">
        <v>8003453103467</v>
      </c>
      <c r="N580" s="14">
        <v>0.26</v>
      </c>
      <c r="O580" s="14">
        <v>0.35</v>
      </c>
      <c r="P580" s="15" t="s">
        <v>35</v>
      </c>
      <c r="Q580" s="16" t="s">
        <v>3547</v>
      </c>
      <c r="R580" s="17" t="s">
        <v>3548</v>
      </c>
      <c r="S580" s="17" t="s">
        <v>3549</v>
      </c>
      <c r="T580" s="17" t="s">
        <v>3550</v>
      </c>
      <c r="U580" s="17" t="s">
        <v>35</v>
      </c>
      <c r="V580" s="17" t="s">
        <v>3551</v>
      </c>
      <c r="W580" s="17" t="s">
        <v>3552</v>
      </c>
      <c r="X580" s="17" t="s">
        <v>3553</v>
      </c>
      <c r="Y580" s="17" t="s">
        <v>3554</v>
      </c>
      <c r="Z580" s="17" t="s">
        <v>3555</v>
      </c>
      <c r="AA580" s="17" t="s">
        <v>35</v>
      </c>
      <c r="AB580" s="17" t="s">
        <v>3556</v>
      </c>
      <c r="AC580" s="17" t="s">
        <v>9539</v>
      </c>
      <c r="AD580" s="41">
        <v>35.97</v>
      </c>
      <c r="AE580" s="41">
        <v>35.97</v>
      </c>
      <c r="AF580" s="48"/>
      <c r="AG580" s="44"/>
      <c r="AH580" s="7">
        <f t="shared" ref="AH580:AH643" si="9">AG580*AE580</f>
        <v>0</v>
      </c>
      <c r="AI580" s="18"/>
      <c r="AJ580" s="18"/>
      <c r="AL580" s="18"/>
    </row>
    <row r="581" spans="1:38" ht="26.65" customHeight="1" x14ac:dyDescent="0.25">
      <c r="A581" s="10" t="s">
        <v>10281</v>
      </c>
      <c r="B581" s="9" t="s">
        <v>3030</v>
      </c>
      <c r="C581" s="9" t="s">
        <v>34</v>
      </c>
      <c r="D581" s="9" t="s">
        <v>3031</v>
      </c>
      <c r="E581" s="9" t="s">
        <v>35</v>
      </c>
      <c r="F581" s="9" t="s">
        <v>36</v>
      </c>
      <c r="G581" s="9">
        <v>5</v>
      </c>
      <c r="H581" s="9">
        <v>84219999</v>
      </c>
      <c r="I581" s="11" t="s">
        <v>37</v>
      </c>
      <c r="J581" s="12">
        <v>1.6500000000000001E-2</v>
      </c>
      <c r="K581" s="12">
        <v>7.5999999999999998E-2</v>
      </c>
      <c r="L581" s="12">
        <v>5.1999999999999998E-2</v>
      </c>
      <c r="M581" s="13" t="s">
        <v>10282</v>
      </c>
      <c r="N581" s="14">
        <v>0</v>
      </c>
      <c r="O581" s="14">
        <v>0</v>
      </c>
      <c r="P581" s="15">
        <v>45566</v>
      </c>
      <c r="Q581" s="16" t="s">
        <v>3547</v>
      </c>
      <c r="R581" s="17" t="s">
        <v>35</v>
      </c>
      <c r="S581" s="17" t="s">
        <v>3549</v>
      </c>
      <c r="T581" s="17" t="s">
        <v>3550</v>
      </c>
      <c r="U581" s="17" t="s">
        <v>10283</v>
      </c>
      <c r="V581" s="17" t="s">
        <v>3551</v>
      </c>
      <c r="W581" s="17" t="s">
        <v>3552</v>
      </c>
      <c r="X581" s="17" t="s">
        <v>3553</v>
      </c>
      <c r="Y581" s="17" t="s">
        <v>3554</v>
      </c>
      <c r="Z581" s="17" t="s">
        <v>3555</v>
      </c>
      <c r="AA581" s="17" t="s">
        <v>35</v>
      </c>
      <c r="AB581" s="17" t="s">
        <v>3556</v>
      </c>
      <c r="AC581" s="17" t="s">
        <v>9539</v>
      </c>
      <c r="AD581" s="41">
        <v>29.86</v>
      </c>
      <c r="AE581" s="41">
        <v>31.41</v>
      </c>
      <c r="AF581" s="48"/>
      <c r="AG581" s="44"/>
      <c r="AH581" s="7">
        <f t="shared" si="9"/>
        <v>0</v>
      </c>
      <c r="AI581" s="18"/>
      <c r="AJ581" s="18"/>
    </row>
    <row r="582" spans="1:38" ht="26.65" customHeight="1" x14ac:dyDescent="0.25">
      <c r="A582" s="10" t="s">
        <v>3557</v>
      </c>
      <c r="B582" s="9" t="s">
        <v>3030</v>
      </c>
      <c r="C582" s="9" t="s">
        <v>34</v>
      </c>
      <c r="D582" s="9" t="s">
        <v>3031</v>
      </c>
      <c r="E582" s="9" t="s">
        <v>35</v>
      </c>
      <c r="F582" s="9" t="s">
        <v>36</v>
      </c>
      <c r="G582" s="9">
        <v>1</v>
      </c>
      <c r="H582" s="9">
        <v>84219999</v>
      </c>
      <c r="I582" s="11" t="s">
        <v>37</v>
      </c>
      <c r="J582" s="12">
        <v>1.6500000000000001E-2</v>
      </c>
      <c r="K582" s="12">
        <v>7.5999999999999998E-2</v>
      </c>
      <c r="L582" s="12">
        <v>5.1999999999999998E-2</v>
      </c>
      <c r="M582" s="13">
        <v>8003453102613</v>
      </c>
      <c r="N582" s="14">
        <v>0.92</v>
      </c>
      <c r="O582" s="14">
        <v>1.1000000000000001</v>
      </c>
      <c r="P582" s="15" t="s">
        <v>35</v>
      </c>
      <c r="Q582" s="16" t="s">
        <v>3558</v>
      </c>
      <c r="R582" s="17" t="s">
        <v>35</v>
      </c>
      <c r="S582" s="17" t="s">
        <v>3559</v>
      </c>
      <c r="T582" s="17" t="s">
        <v>35</v>
      </c>
      <c r="U582" s="17" t="s">
        <v>35</v>
      </c>
      <c r="V582" s="17" t="s">
        <v>35</v>
      </c>
      <c r="W582" s="17" t="s">
        <v>35</v>
      </c>
      <c r="X582" s="17" t="s">
        <v>35</v>
      </c>
      <c r="Y582" s="17" t="s">
        <v>35</v>
      </c>
      <c r="Z582" s="17" t="s">
        <v>3560</v>
      </c>
      <c r="AA582" s="17" t="s">
        <v>35</v>
      </c>
      <c r="AB582" s="17" t="s">
        <v>3561</v>
      </c>
      <c r="AC582" s="17" t="s">
        <v>9539</v>
      </c>
      <c r="AD582" s="42">
        <v>56.9</v>
      </c>
      <c r="AE582" s="42">
        <v>59.86</v>
      </c>
      <c r="AF582" s="48"/>
      <c r="AG582" s="44"/>
      <c r="AH582" s="7">
        <f t="shared" si="9"/>
        <v>0</v>
      </c>
      <c r="AI582" s="18"/>
      <c r="AJ582" s="18"/>
    </row>
    <row r="583" spans="1:38" ht="26.65" customHeight="1" x14ac:dyDescent="0.25">
      <c r="A583" s="10" t="s">
        <v>10284</v>
      </c>
      <c r="B583" s="9" t="s">
        <v>3030</v>
      </c>
      <c r="C583" s="9" t="s">
        <v>34</v>
      </c>
      <c r="D583" s="9" t="s">
        <v>3031</v>
      </c>
      <c r="E583" s="9" t="s">
        <v>35</v>
      </c>
      <c r="F583" s="9" t="s">
        <v>36</v>
      </c>
      <c r="G583" s="9">
        <v>5</v>
      </c>
      <c r="H583" s="9">
        <v>84219999</v>
      </c>
      <c r="I583" s="11" t="s">
        <v>37</v>
      </c>
      <c r="J583" s="12">
        <v>1.6500000000000001E-2</v>
      </c>
      <c r="K583" s="12">
        <v>7.5999999999999998E-2</v>
      </c>
      <c r="L583" s="12">
        <v>5.1999999999999998E-2</v>
      </c>
      <c r="M583" s="13">
        <v>8003453810259</v>
      </c>
      <c r="N583" s="14">
        <v>0</v>
      </c>
      <c r="O583" s="14">
        <v>0</v>
      </c>
      <c r="P583" s="15">
        <v>45566</v>
      </c>
      <c r="Q583" s="16" t="s">
        <v>3558</v>
      </c>
      <c r="R583" s="17" t="s">
        <v>35</v>
      </c>
      <c r="S583" s="17" t="s">
        <v>3559</v>
      </c>
      <c r="T583" s="17" t="s">
        <v>35</v>
      </c>
      <c r="U583" s="17" t="s">
        <v>35</v>
      </c>
      <c r="V583" s="17" t="s">
        <v>35</v>
      </c>
      <c r="W583" s="17" t="s">
        <v>35</v>
      </c>
      <c r="X583" s="17" t="s">
        <v>35</v>
      </c>
      <c r="Y583" s="17" t="s">
        <v>35</v>
      </c>
      <c r="Z583" s="17" t="s">
        <v>3560</v>
      </c>
      <c r="AA583" s="17" t="s">
        <v>35</v>
      </c>
      <c r="AB583" s="17" t="s">
        <v>3561</v>
      </c>
      <c r="AC583" s="17" t="s">
        <v>9539</v>
      </c>
      <c r="AD583" s="41">
        <v>45.83</v>
      </c>
      <c r="AE583" s="41">
        <v>48.21</v>
      </c>
      <c r="AF583" s="48"/>
      <c r="AG583" s="44"/>
      <c r="AH583" s="7">
        <f t="shared" si="9"/>
        <v>0</v>
      </c>
      <c r="AI583" s="18"/>
      <c r="AJ583" s="18"/>
    </row>
    <row r="584" spans="1:38" ht="26.65" customHeight="1" x14ac:dyDescent="0.25">
      <c r="A584" s="10" t="s">
        <v>3562</v>
      </c>
      <c r="B584" s="9" t="s">
        <v>3030</v>
      </c>
      <c r="C584" s="9" t="s">
        <v>34</v>
      </c>
      <c r="D584" s="9" t="s">
        <v>3207</v>
      </c>
      <c r="E584" s="9" t="s">
        <v>35</v>
      </c>
      <c r="F584" s="9" t="s">
        <v>36</v>
      </c>
      <c r="G584" s="9">
        <v>1</v>
      </c>
      <c r="H584" s="9">
        <v>84219999</v>
      </c>
      <c r="I584" s="11" t="s">
        <v>37</v>
      </c>
      <c r="J584" s="12">
        <v>1.6500000000000001E-2</v>
      </c>
      <c r="K584" s="12">
        <v>7.5999999999999998E-2</v>
      </c>
      <c r="L584" s="12">
        <v>5.1999999999999998E-2</v>
      </c>
      <c r="M584" s="13">
        <v>8003453103528</v>
      </c>
      <c r="N584" s="14">
        <v>2.48</v>
      </c>
      <c r="O584" s="14">
        <v>2.8</v>
      </c>
      <c r="P584" s="15">
        <v>44774</v>
      </c>
      <c r="Q584" s="16" t="s">
        <v>3563</v>
      </c>
      <c r="R584" s="17" t="s">
        <v>3564</v>
      </c>
      <c r="S584" s="17" t="s">
        <v>3565</v>
      </c>
      <c r="T584" s="17" t="s">
        <v>35</v>
      </c>
      <c r="U584" s="17" t="s">
        <v>35</v>
      </c>
      <c r="V584" s="17" t="s">
        <v>3566</v>
      </c>
      <c r="W584" s="17" t="s">
        <v>3567</v>
      </c>
      <c r="X584" s="17" t="s">
        <v>3568</v>
      </c>
      <c r="Y584" s="17" t="s">
        <v>35</v>
      </c>
      <c r="Z584" s="17" t="s">
        <v>3569</v>
      </c>
      <c r="AA584" s="17" t="s">
        <v>3570</v>
      </c>
      <c r="AB584" s="17" t="s">
        <v>3571</v>
      </c>
      <c r="AC584" s="17" t="s">
        <v>9539</v>
      </c>
      <c r="AD584" s="42">
        <v>151.69999999999999</v>
      </c>
      <c r="AE584" s="42">
        <v>159.59</v>
      </c>
      <c r="AF584" s="48"/>
      <c r="AG584" s="44"/>
      <c r="AH584" s="7">
        <f t="shared" si="9"/>
        <v>0</v>
      </c>
      <c r="AI584" s="18"/>
      <c r="AJ584" s="18"/>
    </row>
    <row r="585" spans="1:38" ht="26.65" customHeight="1" x14ac:dyDescent="0.25">
      <c r="A585" s="10" t="s">
        <v>3572</v>
      </c>
      <c r="B585" s="9" t="s">
        <v>3063</v>
      </c>
      <c r="C585" s="9" t="s">
        <v>34</v>
      </c>
      <c r="D585" s="9" t="s">
        <v>3306</v>
      </c>
      <c r="E585" s="9" t="s">
        <v>35</v>
      </c>
      <c r="F585" s="9" t="s">
        <v>36</v>
      </c>
      <c r="G585" s="9">
        <v>1</v>
      </c>
      <c r="H585" s="9">
        <v>84219999</v>
      </c>
      <c r="I585" s="11" t="s">
        <v>37</v>
      </c>
      <c r="J585" s="12">
        <v>1.6500000000000001E-2</v>
      </c>
      <c r="K585" s="12">
        <v>7.5999999999999998E-2</v>
      </c>
      <c r="L585" s="12">
        <v>5.1999999999999998E-2</v>
      </c>
      <c r="M585" s="13">
        <v>8003453103535</v>
      </c>
      <c r="N585" s="14">
        <v>0.68</v>
      </c>
      <c r="O585" s="14">
        <v>0.81</v>
      </c>
      <c r="P585" s="15" t="s">
        <v>35</v>
      </c>
      <c r="Q585" s="16" t="s">
        <v>3573</v>
      </c>
      <c r="R585" s="17" t="s">
        <v>3574</v>
      </c>
      <c r="S585" s="17" t="s">
        <v>3575</v>
      </c>
      <c r="T585" s="17" t="s">
        <v>3576</v>
      </c>
      <c r="U585" s="17" t="s">
        <v>35</v>
      </c>
      <c r="V585" s="17" t="s">
        <v>3577</v>
      </c>
      <c r="W585" s="17" t="s">
        <v>3578</v>
      </c>
      <c r="X585" s="17" t="s">
        <v>3579</v>
      </c>
      <c r="Y585" s="17" t="s">
        <v>35</v>
      </c>
      <c r="Z585" s="17" t="s">
        <v>3580</v>
      </c>
      <c r="AA585" s="17" t="s">
        <v>3581</v>
      </c>
      <c r="AB585" s="17" t="s">
        <v>3582</v>
      </c>
      <c r="AC585" s="17" t="s">
        <v>9539</v>
      </c>
      <c r="AD585" s="42">
        <v>47.97</v>
      </c>
      <c r="AE585" s="42">
        <v>50.46</v>
      </c>
      <c r="AF585" s="48"/>
      <c r="AG585" s="44"/>
      <c r="AH585" s="7">
        <f t="shared" si="9"/>
        <v>0</v>
      </c>
      <c r="AI585" s="18"/>
      <c r="AJ585" s="18"/>
    </row>
    <row r="586" spans="1:38" ht="26.65" customHeight="1" x14ac:dyDescent="0.25">
      <c r="A586" s="10" t="s">
        <v>10285</v>
      </c>
      <c r="B586" s="9" t="s">
        <v>3030</v>
      </c>
      <c r="C586" s="9" t="s">
        <v>34</v>
      </c>
      <c r="D586" s="9" t="s">
        <v>3031</v>
      </c>
      <c r="E586" s="9" t="s">
        <v>35</v>
      </c>
      <c r="F586" s="9" t="s">
        <v>36</v>
      </c>
      <c r="G586" s="9">
        <v>5</v>
      </c>
      <c r="H586" s="9">
        <v>84219999</v>
      </c>
      <c r="I586" s="11" t="s">
        <v>37</v>
      </c>
      <c r="J586" s="12">
        <v>1.6500000000000001E-2</v>
      </c>
      <c r="K586" s="12">
        <v>7.5999999999999998E-2</v>
      </c>
      <c r="L586" s="12">
        <v>5.1999999999999998E-2</v>
      </c>
      <c r="M586" s="13">
        <v>8003453809628</v>
      </c>
      <c r="N586" s="14">
        <v>0</v>
      </c>
      <c r="O586" s="14">
        <v>0</v>
      </c>
      <c r="P586" s="15">
        <v>45566</v>
      </c>
      <c r="Q586" s="16" t="s">
        <v>10286</v>
      </c>
      <c r="R586" s="17" t="s">
        <v>10287</v>
      </c>
      <c r="S586" s="17" t="s">
        <v>35</v>
      </c>
      <c r="T586" s="17" t="s">
        <v>35</v>
      </c>
      <c r="U586" s="17" t="s">
        <v>35</v>
      </c>
      <c r="V586" s="17" t="s">
        <v>35</v>
      </c>
      <c r="W586" s="17" t="s">
        <v>35</v>
      </c>
      <c r="X586" s="17" t="s">
        <v>35</v>
      </c>
      <c r="Y586" s="17" t="s">
        <v>35</v>
      </c>
      <c r="Z586" s="17" t="s">
        <v>10288</v>
      </c>
      <c r="AA586" s="17" t="s">
        <v>35</v>
      </c>
      <c r="AB586" s="17" t="s">
        <v>10289</v>
      </c>
      <c r="AC586" s="17" t="s">
        <v>9539</v>
      </c>
      <c r="AD586" s="41">
        <v>54.48</v>
      </c>
      <c r="AE586" s="41">
        <v>57.31</v>
      </c>
      <c r="AF586" s="48"/>
      <c r="AG586" s="44"/>
      <c r="AH586" s="7">
        <f t="shared" si="9"/>
        <v>0</v>
      </c>
      <c r="AI586" s="18"/>
      <c r="AJ586" s="18"/>
    </row>
    <row r="587" spans="1:38" ht="26.65" customHeight="1" x14ac:dyDescent="0.25">
      <c r="A587" s="10" t="s">
        <v>3583</v>
      </c>
      <c r="B587" s="9" t="s">
        <v>3206</v>
      </c>
      <c r="C587" s="9" t="s">
        <v>34</v>
      </c>
      <c r="D587" s="9" t="s">
        <v>3207</v>
      </c>
      <c r="E587" s="9" t="s">
        <v>35</v>
      </c>
      <c r="F587" s="9" t="s">
        <v>36</v>
      </c>
      <c r="G587" s="9">
        <v>1</v>
      </c>
      <c r="H587" s="9">
        <v>84219999</v>
      </c>
      <c r="I587" s="11" t="s">
        <v>37</v>
      </c>
      <c r="J587" s="12">
        <v>1.6500000000000001E-2</v>
      </c>
      <c r="K587" s="12">
        <v>7.5999999999999998E-2</v>
      </c>
      <c r="L587" s="12">
        <v>5.1999999999999998E-2</v>
      </c>
      <c r="M587" s="13">
        <v>8003453104174</v>
      </c>
      <c r="N587" s="14">
        <v>2.7</v>
      </c>
      <c r="O587" s="14">
        <v>3.2</v>
      </c>
      <c r="P587" s="15">
        <v>45200</v>
      </c>
      <c r="Q587" s="16" t="s">
        <v>3584</v>
      </c>
      <c r="R587" s="17" t="s">
        <v>3585</v>
      </c>
      <c r="S587" s="17" t="s">
        <v>35</v>
      </c>
      <c r="T587" s="17" t="s">
        <v>35</v>
      </c>
      <c r="U587" s="17" t="s">
        <v>35</v>
      </c>
      <c r="V587" s="17" t="s">
        <v>35</v>
      </c>
      <c r="W587" s="17" t="s">
        <v>35</v>
      </c>
      <c r="X587" s="17" t="s">
        <v>3586</v>
      </c>
      <c r="Y587" s="17" t="s">
        <v>35</v>
      </c>
      <c r="Z587" s="17" t="s">
        <v>3587</v>
      </c>
      <c r="AA587" s="17" t="s">
        <v>35</v>
      </c>
      <c r="AB587" s="17" t="s">
        <v>3588</v>
      </c>
      <c r="AC587" s="17" t="s">
        <v>9539</v>
      </c>
      <c r="AD587" s="42">
        <v>189.53</v>
      </c>
      <c r="AE587" s="42">
        <v>199.39</v>
      </c>
      <c r="AF587" s="48"/>
      <c r="AG587" s="44"/>
      <c r="AH587" s="7">
        <f t="shared" si="9"/>
        <v>0</v>
      </c>
      <c r="AI587" s="18"/>
      <c r="AJ587" s="18"/>
    </row>
    <row r="588" spans="1:38" ht="26.65" customHeight="1" x14ac:dyDescent="0.25">
      <c r="A588" s="10" t="s">
        <v>3589</v>
      </c>
      <c r="B588" s="9" t="s">
        <v>3030</v>
      </c>
      <c r="C588" s="9" t="s">
        <v>34</v>
      </c>
      <c r="D588" s="9" t="s">
        <v>3207</v>
      </c>
      <c r="E588" s="9" t="s">
        <v>35</v>
      </c>
      <c r="F588" s="9" t="s">
        <v>36</v>
      </c>
      <c r="G588" s="9">
        <v>1</v>
      </c>
      <c r="H588" s="9">
        <v>84219999</v>
      </c>
      <c r="I588" s="11" t="s">
        <v>37</v>
      </c>
      <c r="J588" s="12">
        <v>1.6500000000000001E-2</v>
      </c>
      <c r="K588" s="12">
        <v>7.5999999999999998E-2</v>
      </c>
      <c r="L588" s="12">
        <v>5.1999999999999998E-2</v>
      </c>
      <c r="M588" s="13">
        <v>8003453103542</v>
      </c>
      <c r="N588" s="14">
        <v>4.8</v>
      </c>
      <c r="O588" s="14">
        <v>5.23</v>
      </c>
      <c r="P588" s="15">
        <v>44868</v>
      </c>
      <c r="Q588" s="16" t="s">
        <v>3590</v>
      </c>
      <c r="R588" s="17" t="s">
        <v>3591</v>
      </c>
      <c r="S588" s="17" t="s">
        <v>3592</v>
      </c>
      <c r="T588" s="17" t="s">
        <v>3593</v>
      </c>
      <c r="U588" s="17" t="s">
        <v>35</v>
      </c>
      <c r="V588" s="17" t="s">
        <v>3594</v>
      </c>
      <c r="W588" s="17" t="s">
        <v>3595</v>
      </c>
      <c r="X588" s="17" t="s">
        <v>35</v>
      </c>
      <c r="Y588" s="17" t="s">
        <v>35</v>
      </c>
      <c r="Z588" s="17" t="s">
        <v>3596</v>
      </c>
      <c r="AA588" s="17" t="s">
        <v>3597</v>
      </c>
      <c r="AB588" s="17" t="s">
        <v>3598</v>
      </c>
      <c r="AC588" s="17" t="s">
        <v>9539</v>
      </c>
      <c r="AD588" s="41">
        <v>241.44</v>
      </c>
      <c r="AE588" s="41">
        <v>253.99</v>
      </c>
      <c r="AF588" s="48"/>
      <c r="AG588" s="44"/>
      <c r="AH588" s="7">
        <f t="shared" si="9"/>
        <v>0</v>
      </c>
      <c r="AI588" s="18"/>
      <c r="AJ588" s="18"/>
      <c r="AL588" s="18"/>
    </row>
    <row r="589" spans="1:38" ht="26.65" customHeight="1" x14ac:dyDescent="0.25">
      <c r="A589" s="10" t="s">
        <v>3599</v>
      </c>
      <c r="B589" s="9" t="s">
        <v>3063</v>
      </c>
      <c r="C589" s="9" t="s">
        <v>34</v>
      </c>
      <c r="D589" s="9" t="s">
        <v>3064</v>
      </c>
      <c r="E589" s="9" t="s">
        <v>35</v>
      </c>
      <c r="F589" s="9" t="s">
        <v>36</v>
      </c>
      <c r="G589" s="9">
        <v>1</v>
      </c>
      <c r="H589" s="9">
        <v>84219999</v>
      </c>
      <c r="I589" s="11" t="s">
        <v>37</v>
      </c>
      <c r="J589" s="12">
        <v>1.6500000000000001E-2</v>
      </c>
      <c r="K589" s="12">
        <v>7.5999999999999998E-2</v>
      </c>
      <c r="L589" s="12">
        <v>5.1999999999999998E-2</v>
      </c>
      <c r="M589" s="13">
        <v>8003453103559</v>
      </c>
      <c r="N589" s="14">
        <v>1.5</v>
      </c>
      <c r="O589" s="14">
        <v>1.94</v>
      </c>
      <c r="P589" s="15">
        <v>44868</v>
      </c>
      <c r="Q589" s="16" t="s">
        <v>3600</v>
      </c>
      <c r="R589" s="17" t="s">
        <v>3601</v>
      </c>
      <c r="S589" s="17" t="s">
        <v>3602</v>
      </c>
      <c r="T589" s="17" t="s">
        <v>35</v>
      </c>
      <c r="U589" s="17" t="s">
        <v>35</v>
      </c>
      <c r="V589" s="17" t="s">
        <v>35</v>
      </c>
      <c r="W589" s="17" t="s">
        <v>35</v>
      </c>
      <c r="X589" s="17" t="s">
        <v>35</v>
      </c>
      <c r="Y589" s="17" t="s">
        <v>35</v>
      </c>
      <c r="Z589" s="17" t="s">
        <v>3603</v>
      </c>
      <c r="AA589" s="17" t="s">
        <v>35</v>
      </c>
      <c r="AB589" s="17" t="s">
        <v>3604</v>
      </c>
      <c r="AC589" s="17" t="s">
        <v>9539</v>
      </c>
      <c r="AD589" s="41">
        <v>78.319999999999993</v>
      </c>
      <c r="AE589" s="41">
        <v>82.39</v>
      </c>
      <c r="AF589" s="48"/>
      <c r="AG589" s="44"/>
      <c r="AH589" s="7">
        <f t="shared" si="9"/>
        <v>0</v>
      </c>
      <c r="AI589" s="18"/>
      <c r="AJ589" s="18"/>
      <c r="AL589" s="18"/>
    </row>
    <row r="590" spans="1:38" ht="26.65" customHeight="1" x14ac:dyDescent="0.25">
      <c r="A590" s="10" t="s">
        <v>3605</v>
      </c>
      <c r="B590" s="9" t="s">
        <v>3030</v>
      </c>
      <c r="C590" s="9" t="s">
        <v>34</v>
      </c>
      <c r="D590" s="9" t="s">
        <v>3031</v>
      </c>
      <c r="E590" s="9" t="s">
        <v>35</v>
      </c>
      <c r="F590" s="9" t="s">
        <v>36</v>
      </c>
      <c r="G590" s="9">
        <v>1</v>
      </c>
      <c r="H590" s="9">
        <v>84219999</v>
      </c>
      <c r="I590" s="11" t="s">
        <v>37</v>
      </c>
      <c r="J590" s="12">
        <v>1.6500000000000001E-2</v>
      </c>
      <c r="K590" s="12">
        <v>7.5999999999999998E-2</v>
      </c>
      <c r="L590" s="12">
        <v>5.1999999999999998E-2</v>
      </c>
      <c r="M590" s="13">
        <v>8003453103566</v>
      </c>
      <c r="N590" s="14">
        <v>3.3010000000000002</v>
      </c>
      <c r="O590" s="14">
        <v>3.7490000000000001</v>
      </c>
      <c r="P590" s="15">
        <v>44774</v>
      </c>
      <c r="Q590" s="16" t="s">
        <v>3606</v>
      </c>
      <c r="R590" s="17" t="s">
        <v>3607</v>
      </c>
      <c r="S590" s="17" t="s">
        <v>3608</v>
      </c>
      <c r="T590" s="17" t="s">
        <v>35</v>
      </c>
      <c r="U590" s="17" t="s">
        <v>35</v>
      </c>
      <c r="V590" s="17" t="s">
        <v>3609</v>
      </c>
      <c r="W590" s="17" t="s">
        <v>3609</v>
      </c>
      <c r="X590" s="17" t="s">
        <v>3610</v>
      </c>
      <c r="Y590" s="17" t="s">
        <v>35</v>
      </c>
      <c r="Z590" s="17" t="s">
        <v>3611</v>
      </c>
      <c r="AA590" s="17" t="s">
        <v>3612</v>
      </c>
      <c r="AB590" s="17" t="s">
        <v>3613</v>
      </c>
      <c r="AC590" s="17" t="s">
        <v>9539</v>
      </c>
      <c r="AD590" s="41">
        <v>174.31</v>
      </c>
      <c r="AE590" s="41">
        <v>183.37</v>
      </c>
      <c r="AF590" s="48"/>
      <c r="AG590" s="44"/>
      <c r="AH590" s="7">
        <f t="shared" si="9"/>
        <v>0</v>
      </c>
      <c r="AI590" s="18"/>
      <c r="AJ590" s="18"/>
      <c r="AL590" s="18"/>
    </row>
    <row r="591" spans="1:38" ht="26.65" customHeight="1" x14ac:dyDescent="0.25">
      <c r="A591" s="10" t="s">
        <v>10290</v>
      </c>
      <c r="B591" s="9" t="s">
        <v>3030</v>
      </c>
      <c r="C591" s="9" t="s">
        <v>34</v>
      </c>
      <c r="D591" s="9" t="s">
        <v>3031</v>
      </c>
      <c r="E591" s="9" t="s">
        <v>35</v>
      </c>
      <c r="F591" s="9" t="s">
        <v>36</v>
      </c>
      <c r="G591" s="9">
        <v>5</v>
      </c>
      <c r="H591" s="9">
        <v>84219999</v>
      </c>
      <c r="I591" s="11" t="s">
        <v>37</v>
      </c>
      <c r="J591" s="12">
        <v>1.6500000000000001E-2</v>
      </c>
      <c r="K591" s="12">
        <v>7.5999999999999998E-2</v>
      </c>
      <c r="L591" s="12">
        <v>5.1999999999999998E-2</v>
      </c>
      <c r="M591" s="13">
        <v>8003453809635</v>
      </c>
      <c r="N591" s="14">
        <v>0</v>
      </c>
      <c r="O591" s="14">
        <v>0</v>
      </c>
      <c r="P591" s="15">
        <v>45566</v>
      </c>
      <c r="Q591" s="16" t="s">
        <v>3606</v>
      </c>
      <c r="R591" s="17" t="s">
        <v>3607</v>
      </c>
      <c r="S591" s="17" t="s">
        <v>3608</v>
      </c>
      <c r="T591" s="17" t="s">
        <v>10291</v>
      </c>
      <c r="U591" s="17" t="s">
        <v>10292</v>
      </c>
      <c r="V591" s="17" t="s">
        <v>3609</v>
      </c>
      <c r="W591" s="17" t="s">
        <v>3609</v>
      </c>
      <c r="X591" s="17" t="s">
        <v>3610</v>
      </c>
      <c r="Y591" s="17" t="s">
        <v>35</v>
      </c>
      <c r="Z591" s="17" t="s">
        <v>3611</v>
      </c>
      <c r="AA591" s="17" t="s">
        <v>3612</v>
      </c>
      <c r="AB591" s="17" t="s">
        <v>3613</v>
      </c>
      <c r="AC591" s="17" t="s">
        <v>9539</v>
      </c>
      <c r="AD591" s="41">
        <v>158.9</v>
      </c>
      <c r="AE591" s="41">
        <v>167.16</v>
      </c>
      <c r="AF591" s="48"/>
      <c r="AG591" s="44"/>
      <c r="AH591" s="7">
        <f t="shared" si="9"/>
        <v>0</v>
      </c>
      <c r="AI591" s="18"/>
      <c r="AJ591" s="18"/>
    </row>
    <row r="592" spans="1:38" ht="26.65" customHeight="1" x14ac:dyDescent="0.25">
      <c r="A592" s="10" t="s">
        <v>3614</v>
      </c>
      <c r="B592" s="9" t="s">
        <v>3063</v>
      </c>
      <c r="C592" s="9" t="s">
        <v>34</v>
      </c>
      <c r="D592" s="9" t="s">
        <v>3031</v>
      </c>
      <c r="E592" s="9" t="s">
        <v>35</v>
      </c>
      <c r="F592" s="9" t="s">
        <v>36</v>
      </c>
      <c r="G592" s="9">
        <v>1</v>
      </c>
      <c r="H592" s="9">
        <v>84219999</v>
      </c>
      <c r="I592" s="11" t="s">
        <v>37</v>
      </c>
      <c r="J592" s="12">
        <v>1.6500000000000001E-2</v>
      </c>
      <c r="K592" s="12">
        <v>7.5999999999999998E-2</v>
      </c>
      <c r="L592" s="12">
        <v>5.1999999999999998E-2</v>
      </c>
      <c r="M592" s="13">
        <v>8003453103573</v>
      </c>
      <c r="N592" s="14">
        <v>1.5</v>
      </c>
      <c r="O592" s="14">
        <v>1.73</v>
      </c>
      <c r="P592" s="15">
        <v>44774</v>
      </c>
      <c r="Q592" s="16" t="s">
        <v>3615</v>
      </c>
      <c r="R592" s="17" t="s">
        <v>3616</v>
      </c>
      <c r="S592" s="17" t="s">
        <v>3617</v>
      </c>
      <c r="T592" s="17" t="s">
        <v>3618</v>
      </c>
      <c r="U592" s="17" t="s">
        <v>35</v>
      </c>
      <c r="V592" s="17" t="s">
        <v>3619</v>
      </c>
      <c r="W592" s="17" t="s">
        <v>3620</v>
      </c>
      <c r="X592" s="17" t="s">
        <v>3621</v>
      </c>
      <c r="Y592" s="17" t="s">
        <v>35</v>
      </c>
      <c r="Z592" s="17" t="s">
        <v>3622</v>
      </c>
      <c r="AA592" s="17" t="s">
        <v>3623</v>
      </c>
      <c r="AB592" s="17" t="s">
        <v>3624</v>
      </c>
      <c r="AC592" s="17" t="s">
        <v>9539</v>
      </c>
      <c r="AD592" s="42">
        <v>85.84</v>
      </c>
      <c r="AE592" s="42">
        <v>90.3</v>
      </c>
      <c r="AF592" s="48"/>
      <c r="AG592" s="44"/>
      <c r="AH592" s="7">
        <f t="shared" si="9"/>
        <v>0</v>
      </c>
      <c r="AI592" s="18"/>
      <c r="AJ592" s="18"/>
    </row>
    <row r="593" spans="1:36" ht="26.65" customHeight="1" x14ac:dyDescent="0.25">
      <c r="A593" s="10" t="s">
        <v>10293</v>
      </c>
      <c r="B593" s="9" t="s">
        <v>3030</v>
      </c>
      <c r="C593" s="9" t="s">
        <v>34</v>
      </c>
      <c r="D593" s="9" t="s">
        <v>3031</v>
      </c>
      <c r="E593" s="9" t="s">
        <v>35</v>
      </c>
      <c r="F593" s="9" t="s">
        <v>36</v>
      </c>
      <c r="G593" s="9">
        <v>5</v>
      </c>
      <c r="H593" s="9">
        <v>84219999</v>
      </c>
      <c r="I593" s="11" t="s">
        <v>37</v>
      </c>
      <c r="J593" s="12">
        <v>1.6500000000000001E-2</v>
      </c>
      <c r="K593" s="12">
        <v>7.5999999999999998E-2</v>
      </c>
      <c r="L593" s="12">
        <v>5.1999999999999998E-2</v>
      </c>
      <c r="M593" s="13">
        <v>8003453809642</v>
      </c>
      <c r="N593" s="14">
        <v>0</v>
      </c>
      <c r="O593" s="14">
        <v>0</v>
      </c>
      <c r="P593" s="15">
        <v>45566</v>
      </c>
      <c r="Q593" s="16" t="s">
        <v>3615</v>
      </c>
      <c r="R593" s="17" t="s">
        <v>35</v>
      </c>
      <c r="S593" s="17" t="s">
        <v>3617</v>
      </c>
      <c r="T593" s="17" t="s">
        <v>3618</v>
      </c>
      <c r="U593" s="17" t="s">
        <v>10294</v>
      </c>
      <c r="V593" s="17" t="s">
        <v>3619</v>
      </c>
      <c r="W593" s="17" t="s">
        <v>3620</v>
      </c>
      <c r="X593" s="17" t="s">
        <v>3621</v>
      </c>
      <c r="Y593" s="17" t="s">
        <v>35</v>
      </c>
      <c r="Z593" s="17" t="s">
        <v>3622</v>
      </c>
      <c r="AA593" s="17" t="s">
        <v>3623</v>
      </c>
      <c r="AB593" s="17" t="s">
        <v>3624</v>
      </c>
      <c r="AC593" s="17" t="s">
        <v>9539</v>
      </c>
      <c r="AD593" s="41">
        <v>62.76</v>
      </c>
      <c r="AE593" s="41">
        <v>66.02</v>
      </c>
      <c r="AF593" s="48"/>
      <c r="AG593" s="44"/>
      <c r="AH593" s="7">
        <f t="shared" si="9"/>
        <v>0</v>
      </c>
      <c r="AI593" s="18"/>
      <c r="AJ593" s="18"/>
    </row>
    <row r="594" spans="1:36" ht="26.65" customHeight="1" x14ac:dyDescent="0.25">
      <c r="A594" s="10" t="s">
        <v>3625</v>
      </c>
      <c r="B594" s="9" t="s">
        <v>3030</v>
      </c>
      <c r="C594" s="9" t="s">
        <v>34</v>
      </c>
      <c r="D594" s="9" t="s">
        <v>3207</v>
      </c>
      <c r="E594" s="9" t="s">
        <v>35</v>
      </c>
      <c r="F594" s="9" t="s">
        <v>36</v>
      </c>
      <c r="G594" s="9">
        <v>1</v>
      </c>
      <c r="H594" s="9">
        <v>84219999</v>
      </c>
      <c r="I594" s="11" t="s">
        <v>37</v>
      </c>
      <c r="J594" s="12">
        <v>1.6500000000000001E-2</v>
      </c>
      <c r="K594" s="12">
        <v>7.5999999999999998E-2</v>
      </c>
      <c r="L594" s="12">
        <v>5.1999999999999998E-2</v>
      </c>
      <c r="M594" s="13">
        <v>8003453104051</v>
      </c>
      <c r="N594" s="14">
        <v>3.0880000000000001</v>
      </c>
      <c r="O594" s="14">
        <v>3.395</v>
      </c>
      <c r="P594" s="15">
        <v>44896</v>
      </c>
      <c r="Q594" s="16" t="s">
        <v>3626</v>
      </c>
      <c r="R594" s="17" t="s">
        <v>3627</v>
      </c>
      <c r="S594" s="17" t="s">
        <v>3628</v>
      </c>
      <c r="T594" s="17" t="s">
        <v>3629</v>
      </c>
      <c r="U594" s="17" t="s">
        <v>35</v>
      </c>
      <c r="V594" s="17" t="s">
        <v>3630</v>
      </c>
      <c r="W594" s="17" t="s">
        <v>35</v>
      </c>
      <c r="X594" s="17" t="s">
        <v>35</v>
      </c>
      <c r="Y594" s="17" t="s">
        <v>35</v>
      </c>
      <c r="Z594" s="17" t="s">
        <v>3631</v>
      </c>
      <c r="AA594" s="17" t="s">
        <v>3632</v>
      </c>
      <c r="AB594" s="17" t="s">
        <v>3633</v>
      </c>
      <c r="AC594" s="17" t="s">
        <v>9539</v>
      </c>
      <c r="AD594" s="42">
        <v>143.32</v>
      </c>
      <c r="AE594" s="42">
        <v>150.77000000000001</v>
      </c>
      <c r="AF594" s="48"/>
      <c r="AG594" s="44"/>
      <c r="AH594" s="7">
        <f t="shared" si="9"/>
        <v>0</v>
      </c>
      <c r="AI594" s="18"/>
      <c r="AJ594" s="18"/>
    </row>
    <row r="595" spans="1:36" ht="26.65" customHeight="1" x14ac:dyDescent="0.25">
      <c r="A595" s="10" t="s">
        <v>3634</v>
      </c>
      <c r="B595" s="9" t="s">
        <v>3086</v>
      </c>
      <c r="C595" s="9" t="s">
        <v>34</v>
      </c>
      <c r="D595" s="9" t="s">
        <v>3064</v>
      </c>
      <c r="E595" s="9" t="s">
        <v>35</v>
      </c>
      <c r="F595" s="9" t="s">
        <v>36</v>
      </c>
      <c r="G595" s="9">
        <v>1</v>
      </c>
      <c r="H595" s="9">
        <v>84219999</v>
      </c>
      <c r="I595" s="11" t="s">
        <v>37</v>
      </c>
      <c r="J595" s="12">
        <v>1.6500000000000001E-2</v>
      </c>
      <c r="K595" s="12">
        <v>7.5999999999999998E-2</v>
      </c>
      <c r="L595" s="12">
        <v>5.1999999999999998E-2</v>
      </c>
      <c r="M595" s="13">
        <v>8003453104068</v>
      </c>
      <c r="N595" s="14">
        <v>2.2000000000000002</v>
      </c>
      <c r="O595" s="14">
        <v>2.4</v>
      </c>
      <c r="P595" s="15">
        <v>45139</v>
      </c>
      <c r="Q595" s="16" t="s">
        <v>3635</v>
      </c>
      <c r="R595" s="17" t="s">
        <v>3636</v>
      </c>
      <c r="S595" s="17" t="s">
        <v>3637</v>
      </c>
      <c r="T595" s="17" t="s">
        <v>3638</v>
      </c>
      <c r="U595" s="17" t="s">
        <v>35</v>
      </c>
      <c r="V595" s="17" t="s">
        <v>3639</v>
      </c>
      <c r="W595" s="17" t="s">
        <v>3640</v>
      </c>
      <c r="X595" s="17" t="s">
        <v>35</v>
      </c>
      <c r="Y595" s="17" t="s">
        <v>35</v>
      </c>
      <c r="Z595" s="17" t="s">
        <v>3641</v>
      </c>
      <c r="AA595" s="17" t="s">
        <v>3642</v>
      </c>
      <c r="AB595" s="17" t="s">
        <v>3643</v>
      </c>
      <c r="AC595" s="17" t="s">
        <v>9539</v>
      </c>
      <c r="AD595" s="42">
        <v>58.92</v>
      </c>
      <c r="AE595" s="42">
        <v>61.98</v>
      </c>
      <c r="AF595" s="48"/>
      <c r="AG595" s="44"/>
      <c r="AH595" s="7">
        <f t="shared" si="9"/>
        <v>0</v>
      </c>
      <c r="AI595" s="18"/>
      <c r="AJ595" s="18"/>
    </row>
    <row r="596" spans="1:36" ht="26.65" customHeight="1" x14ac:dyDescent="0.25">
      <c r="A596" s="10" t="s">
        <v>9055</v>
      </c>
      <c r="B596" s="9" t="s">
        <v>3030</v>
      </c>
      <c r="C596" s="9" t="s">
        <v>34</v>
      </c>
      <c r="D596" s="9" t="s">
        <v>3207</v>
      </c>
      <c r="E596" s="9" t="s">
        <v>35</v>
      </c>
      <c r="F596" s="9" t="s">
        <v>36</v>
      </c>
      <c r="G596" s="9">
        <v>1</v>
      </c>
      <c r="H596" s="9">
        <v>84219999</v>
      </c>
      <c r="I596" s="11" t="s">
        <v>37</v>
      </c>
      <c r="J596" s="12">
        <v>1.6500000000000001E-2</v>
      </c>
      <c r="K596" s="12">
        <v>7.5999999999999998E-2</v>
      </c>
      <c r="L596" s="12">
        <v>5.1999999999999998E-2</v>
      </c>
      <c r="M596" s="13">
        <v>8003453102590</v>
      </c>
      <c r="N596" s="14">
        <v>0.47699999999999998</v>
      </c>
      <c r="O596" s="14">
        <v>0.58499999999999996</v>
      </c>
      <c r="P596" s="15">
        <v>44896</v>
      </c>
      <c r="Q596" s="16" t="s">
        <v>3644</v>
      </c>
      <c r="R596" s="17" t="s">
        <v>3645</v>
      </c>
      <c r="S596" s="17" t="s">
        <v>3646</v>
      </c>
      <c r="T596" s="17" t="s">
        <v>3647</v>
      </c>
      <c r="U596" s="17" t="s">
        <v>35</v>
      </c>
      <c r="V596" s="17" t="s">
        <v>3648</v>
      </c>
      <c r="W596" s="17" t="s">
        <v>3649</v>
      </c>
      <c r="X596" s="17" t="s">
        <v>35</v>
      </c>
      <c r="Y596" s="17" t="s">
        <v>3650</v>
      </c>
      <c r="Z596" s="17" t="s">
        <v>3651</v>
      </c>
      <c r="AA596" s="17" t="s">
        <v>35</v>
      </c>
      <c r="AB596" s="17" t="s">
        <v>3652</v>
      </c>
      <c r="AC596" s="17" t="s">
        <v>9539</v>
      </c>
      <c r="AD596" s="42">
        <v>39.75</v>
      </c>
      <c r="AE596" s="42">
        <v>41.82</v>
      </c>
      <c r="AF596" s="48"/>
      <c r="AG596" s="44"/>
      <c r="AH596" s="7">
        <f t="shared" si="9"/>
        <v>0</v>
      </c>
      <c r="AI596" s="18"/>
      <c r="AJ596" s="18"/>
    </row>
    <row r="597" spans="1:36" ht="26.65" customHeight="1" x14ac:dyDescent="0.25">
      <c r="A597" s="10" t="s">
        <v>3653</v>
      </c>
      <c r="B597" s="9" t="s">
        <v>3030</v>
      </c>
      <c r="C597" s="9" t="s">
        <v>34</v>
      </c>
      <c r="D597" s="9" t="s">
        <v>3207</v>
      </c>
      <c r="E597" s="9" t="s">
        <v>35</v>
      </c>
      <c r="F597" s="9" t="s">
        <v>36</v>
      </c>
      <c r="G597" s="9">
        <v>1</v>
      </c>
      <c r="H597" s="9">
        <v>84219999</v>
      </c>
      <c r="I597" s="11" t="s">
        <v>37</v>
      </c>
      <c r="J597" s="12">
        <v>1.6500000000000001E-2</v>
      </c>
      <c r="K597" s="12">
        <v>7.5999999999999998E-2</v>
      </c>
      <c r="L597" s="12">
        <v>5.1999999999999998E-2</v>
      </c>
      <c r="M597" s="13">
        <v>8003453103580</v>
      </c>
      <c r="N597" s="14">
        <v>4.3</v>
      </c>
      <c r="O597" s="14">
        <v>4.8</v>
      </c>
      <c r="P597" s="15">
        <v>44774</v>
      </c>
      <c r="Q597" s="16" t="s">
        <v>3654</v>
      </c>
      <c r="R597" s="17" t="s">
        <v>3655</v>
      </c>
      <c r="S597" s="17" t="s">
        <v>3656</v>
      </c>
      <c r="T597" s="17" t="s">
        <v>35</v>
      </c>
      <c r="U597" s="17" t="s">
        <v>35</v>
      </c>
      <c r="V597" s="17" t="s">
        <v>3657</v>
      </c>
      <c r="W597" s="17" t="s">
        <v>3658</v>
      </c>
      <c r="X597" s="17" t="s">
        <v>35</v>
      </c>
      <c r="Y597" s="17" t="s">
        <v>35</v>
      </c>
      <c r="Z597" s="17" t="s">
        <v>3659</v>
      </c>
      <c r="AA597" s="17" t="s">
        <v>35</v>
      </c>
      <c r="AB597" s="17" t="s">
        <v>3660</v>
      </c>
      <c r="AC597" s="17" t="s">
        <v>9539</v>
      </c>
      <c r="AD597" s="42">
        <v>235.38</v>
      </c>
      <c r="AE597" s="42">
        <v>247.62</v>
      </c>
      <c r="AF597" s="48"/>
      <c r="AG597" s="44"/>
      <c r="AH597" s="7">
        <f t="shared" si="9"/>
        <v>0</v>
      </c>
      <c r="AI597" s="18"/>
      <c r="AJ597" s="18"/>
    </row>
    <row r="598" spans="1:36" ht="26.65" customHeight="1" x14ac:dyDescent="0.25">
      <c r="A598" s="10" t="s">
        <v>10295</v>
      </c>
      <c r="B598" s="9" t="s">
        <v>3030</v>
      </c>
      <c r="C598" s="9" t="s">
        <v>34</v>
      </c>
      <c r="D598" s="9" t="s">
        <v>3031</v>
      </c>
      <c r="E598" s="9" t="s">
        <v>35</v>
      </c>
      <c r="F598" s="9" t="s">
        <v>36</v>
      </c>
      <c r="G598" s="9">
        <v>5</v>
      </c>
      <c r="H598" s="9">
        <v>84219999</v>
      </c>
      <c r="I598" s="11" t="s">
        <v>37</v>
      </c>
      <c r="J598" s="12">
        <v>1.6500000000000001E-2</v>
      </c>
      <c r="K598" s="12">
        <v>7.5999999999999998E-2</v>
      </c>
      <c r="L598" s="12">
        <v>5.1999999999999998E-2</v>
      </c>
      <c r="M598" s="13">
        <v>8003453810891</v>
      </c>
      <c r="N598" s="14">
        <v>0</v>
      </c>
      <c r="O598" s="14">
        <v>0</v>
      </c>
      <c r="P598" s="15">
        <v>45566</v>
      </c>
      <c r="Q598" s="16" t="s">
        <v>3654</v>
      </c>
      <c r="R598" s="17" t="s">
        <v>35</v>
      </c>
      <c r="S598" s="17" t="s">
        <v>3656</v>
      </c>
      <c r="T598" s="17" t="s">
        <v>35</v>
      </c>
      <c r="U598" s="17" t="s">
        <v>35</v>
      </c>
      <c r="V598" s="17" t="s">
        <v>3657</v>
      </c>
      <c r="W598" s="17" t="s">
        <v>3658</v>
      </c>
      <c r="X598" s="17" t="s">
        <v>35</v>
      </c>
      <c r="Y598" s="17" t="s">
        <v>35</v>
      </c>
      <c r="Z598" s="17" t="s">
        <v>3659</v>
      </c>
      <c r="AA598" s="17" t="s">
        <v>35</v>
      </c>
      <c r="AB598" s="17" t="s">
        <v>3660</v>
      </c>
      <c r="AC598" s="17" t="s">
        <v>9539</v>
      </c>
      <c r="AD598" s="41">
        <v>186.1</v>
      </c>
      <c r="AE598" s="41">
        <v>195.78</v>
      </c>
      <c r="AF598" s="48"/>
      <c r="AG598" s="44"/>
      <c r="AH598" s="7">
        <f t="shared" si="9"/>
        <v>0</v>
      </c>
      <c r="AI598" s="18"/>
      <c r="AJ598" s="18"/>
    </row>
    <row r="599" spans="1:36" ht="26.65" customHeight="1" x14ac:dyDescent="0.25">
      <c r="A599" s="10" t="s">
        <v>3661</v>
      </c>
      <c r="B599" s="9" t="s">
        <v>3063</v>
      </c>
      <c r="C599" s="9" t="s">
        <v>34</v>
      </c>
      <c r="D599" s="9" t="s">
        <v>3064</v>
      </c>
      <c r="E599" s="9" t="s">
        <v>35</v>
      </c>
      <c r="F599" s="9" t="s">
        <v>36</v>
      </c>
      <c r="G599" s="9">
        <v>1</v>
      </c>
      <c r="H599" s="9">
        <v>84219999</v>
      </c>
      <c r="I599" s="11" t="s">
        <v>37</v>
      </c>
      <c r="J599" s="12">
        <v>1.6500000000000001E-2</v>
      </c>
      <c r="K599" s="12">
        <v>7.5999999999999998E-2</v>
      </c>
      <c r="L599" s="12">
        <v>5.1999999999999998E-2</v>
      </c>
      <c r="M599" s="13">
        <v>8003453103597</v>
      </c>
      <c r="N599" s="14">
        <v>1.071</v>
      </c>
      <c r="O599" s="14">
        <v>1.585</v>
      </c>
      <c r="P599" s="15">
        <v>44774</v>
      </c>
      <c r="Q599" s="16" t="s">
        <v>3654</v>
      </c>
      <c r="R599" s="17" t="s">
        <v>3662</v>
      </c>
      <c r="S599" s="17" t="s">
        <v>3663</v>
      </c>
      <c r="T599" s="17" t="s">
        <v>35</v>
      </c>
      <c r="U599" s="17" t="s">
        <v>3664</v>
      </c>
      <c r="V599" s="17" t="s">
        <v>3665</v>
      </c>
      <c r="W599" s="17" t="s">
        <v>3666</v>
      </c>
      <c r="X599" s="17" t="s">
        <v>35</v>
      </c>
      <c r="Y599" s="17" t="s">
        <v>35</v>
      </c>
      <c r="Z599" s="17" t="s">
        <v>3667</v>
      </c>
      <c r="AA599" s="17" t="s">
        <v>35</v>
      </c>
      <c r="AB599" s="17" t="s">
        <v>3668</v>
      </c>
      <c r="AC599" s="17" t="s">
        <v>9539</v>
      </c>
      <c r="AD599" s="42">
        <v>86.54</v>
      </c>
      <c r="AE599" s="42">
        <v>91.04</v>
      </c>
      <c r="AF599" s="48"/>
      <c r="AG599" s="44"/>
      <c r="AH599" s="7">
        <f t="shared" si="9"/>
        <v>0</v>
      </c>
      <c r="AI599" s="18"/>
      <c r="AJ599" s="18"/>
    </row>
    <row r="600" spans="1:36" ht="26.65" customHeight="1" x14ac:dyDescent="0.25">
      <c r="A600" s="10" t="s">
        <v>10296</v>
      </c>
      <c r="B600" s="9" t="s">
        <v>3030</v>
      </c>
      <c r="C600" s="9" t="s">
        <v>34</v>
      </c>
      <c r="D600" s="9" t="s">
        <v>3031</v>
      </c>
      <c r="E600" s="9" t="s">
        <v>35</v>
      </c>
      <c r="F600" s="9" t="s">
        <v>36</v>
      </c>
      <c r="G600" s="9">
        <v>5</v>
      </c>
      <c r="H600" s="9">
        <v>84219999</v>
      </c>
      <c r="I600" s="11" t="s">
        <v>37</v>
      </c>
      <c r="J600" s="12">
        <v>1.6500000000000001E-2</v>
      </c>
      <c r="K600" s="12">
        <v>7.5999999999999998E-2</v>
      </c>
      <c r="L600" s="12">
        <v>5.1999999999999998E-2</v>
      </c>
      <c r="M600" s="13">
        <v>8003453810907</v>
      </c>
      <c r="N600" s="14">
        <v>0</v>
      </c>
      <c r="O600" s="14">
        <v>0</v>
      </c>
      <c r="P600" s="15">
        <v>45566</v>
      </c>
      <c r="Q600" s="16" t="s">
        <v>3654</v>
      </c>
      <c r="R600" s="17" t="s">
        <v>35</v>
      </c>
      <c r="S600" s="17" t="s">
        <v>3663</v>
      </c>
      <c r="T600" s="17" t="s">
        <v>3664</v>
      </c>
      <c r="U600" s="17" t="s">
        <v>3664</v>
      </c>
      <c r="V600" s="17" t="s">
        <v>3665</v>
      </c>
      <c r="W600" s="17" t="s">
        <v>3666</v>
      </c>
      <c r="X600" s="17" t="s">
        <v>35</v>
      </c>
      <c r="Y600" s="17" t="s">
        <v>35</v>
      </c>
      <c r="Z600" s="17" t="s">
        <v>3667</v>
      </c>
      <c r="AA600" s="17" t="s">
        <v>35</v>
      </c>
      <c r="AB600" s="17" t="s">
        <v>3668</v>
      </c>
      <c r="AC600" s="17" t="s">
        <v>9539</v>
      </c>
      <c r="AD600" s="41">
        <v>69.010000000000005</v>
      </c>
      <c r="AE600" s="41">
        <v>72.599999999999994</v>
      </c>
      <c r="AF600" s="48"/>
      <c r="AG600" s="44"/>
      <c r="AH600" s="7">
        <f t="shared" si="9"/>
        <v>0</v>
      </c>
      <c r="AI600" s="18"/>
      <c r="AJ600" s="18"/>
    </row>
    <row r="601" spans="1:36" ht="26.65" customHeight="1" x14ac:dyDescent="0.25">
      <c r="A601" s="10" t="s">
        <v>3669</v>
      </c>
      <c r="B601" s="9" t="s">
        <v>3206</v>
      </c>
      <c r="C601" s="9" t="s">
        <v>34</v>
      </c>
      <c r="D601" s="9" t="s">
        <v>3207</v>
      </c>
      <c r="E601" s="9" t="s">
        <v>35</v>
      </c>
      <c r="F601" s="9" t="s">
        <v>36</v>
      </c>
      <c r="G601" s="9">
        <v>1</v>
      </c>
      <c r="H601" s="9">
        <v>84219999</v>
      </c>
      <c r="I601" s="11" t="s">
        <v>37</v>
      </c>
      <c r="J601" s="12">
        <v>1.6500000000000001E-2</v>
      </c>
      <c r="K601" s="12">
        <v>7.5999999999999998E-2</v>
      </c>
      <c r="L601" s="12">
        <v>5.1999999999999998E-2</v>
      </c>
      <c r="M601" s="13">
        <v>8003453102453</v>
      </c>
      <c r="N601" s="14">
        <v>4.2</v>
      </c>
      <c r="O601" s="14">
        <v>4.5999999999999996</v>
      </c>
      <c r="P601" s="15">
        <v>45200</v>
      </c>
      <c r="Q601" s="16" t="s">
        <v>3670</v>
      </c>
      <c r="R601" s="17" t="s">
        <v>3671</v>
      </c>
      <c r="S601" s="17" t="s">
        <v>3672</v>
      </c>
      <c r="T601" s="17" t="s">
        <v>3673</v>
      </c>
      <c r="U601" s="17" t="s">
        <v>3674</v>
      </c>
      <c r="V601" s="17" t="s">
        <v>3675</v>
      </c>
      <c r="W601" s="17" t="s">
        <v>35</v>
      </c>
      <c r="X601" s="17" t="s">
        <v>3676</v>
      </c>
      <c r="Y601" s="17" t="s">
        <v>3677</v>
      </c>
      <c r="Z601" s="17" t="s">
        <v>3678</v>
      </c>
      <c r="AA601" s="17" t="s">
        <v>3679</v>
      </c>
      <c r="AB601" s="17" t="s">
        <v>3680</v>
      </c>
      <c r="AC601" s="17" t="s">
        <v>9539</v>
      </c>
      <c r="AD601" s="42">
        <v>231.38</v>
      </c>
      <c r="AE601" s="42">
        <v>243.41</v>
      </c>
      <c r="AF601" s="48"/>
      <c r="AG601" s="44"/>
      <c r="AH601" s="7">
        <f t="shared" si="9"/>
        <v>0</v>
      </c>
      <c r="AI601" s="18"/>
      <c r="AJ601" s="18"/>
    </row>
    <row r="602" spans="1:36" ht="26.65" customHeight="1" x14ac:dyDescent="0.25">
      <c r="A602" s="10" t="s">
        <v>10297</v>
      </c>
      <c r="B602" s="9" t="s">
        <v>3030</v>
      </c>
      <c r="C602" s="9" t="s">
        <v>34</v>
      </c>
      <c r="D602" s="9" t="s">
        <v>3031</v>
      </c>
      <c r="E602" s="9" t="s">
        <v>35</v>
      </c>
      <c r="F602" s="9" t="s">
        <v>36</v>
      </c>
      <c r="G602" s="9">
        <v>5</v>
      </c>
      <c r="H602" s="9">
        <v>84219999</v>
      </c>
      <c r="I602" s="11" t="s">
        <v>37</v>
      </c>
      <c r="J602" s="12">
        <v>1.6500000000000001E-2</v>
      </c>
      <c r="K602" s="12">
        <v>7.5999999999999998E-2</v>
      </c>
      <c r="L602" s="12">
        <v>5.1999999999999998E-2</v>
      </c>
      <c r="M602" s="13">
        <v>8003453810242</v>
      </c>
      <c r="N602" s="14">
        <v>0</v>
      </c>
      <c r="O602" s="14">
        <v>0</v>
      </c>
      <c r="P602" s="15">
        <v>45566</v>
      </c>
      <c r="Q602" s="16" t="s">
        <v>10298</v>
      </c>
      <c r="R602" s="17" t="s">
        <v>10299</v>
      </c>
      <c r="S602" s="17" t="s">
        <v>3672</v>
      </c>
      <c r="T602" s="17" t="s">
        <v>3673</v>
      </c>
      <c r="U602" s="17" t="s">
        <v>3674</v>
      </c>
      <c r="V602" s="17" t="s">
        <v>3675</v>
      </c>
      <c r="W602" s="17" t="s">
        <v>35</v>
      </c>
      <c r="X602" s="17" t="s">
        <v>3676</v>
      </c>
      <c r="Y602" s="17" t="s">
        <v>3677</v>
      </c>
      <c r="Z602" s="17" t="s">
        <v>3678</v>
      </c>
      <c r="AA602" s="17" t="s">
        <v>3679</v>
      </c>
      <c r="AB602" s="17" t="s">
        <v>3680</v>
      </c>
      <c r="AC602" s="17" t="s">
        <v>9539</v>
      </c>
      <c r="AD602" s="41">
        <v>150.06</v>
      </c>
      <c r="AE602" s="41">
        <v>157.86000000000001</v>
      </c>
      <c r="AF602" s="48"/>
      <c r="AG602" s="44"/>
      <c r="AH602" s="7">
        <f t="shared" si="9"/>
        <v>0</v>
      </c>
      <c r="AI602" s="18"/>
      <c r="AJ602" s="18"/>
    </row>
    <row r="603" spans="1:36" ht="26.65" customHeight="1" x14ac:dyDescent="0.25">
      <c r="A603" s="10" t="s">
        <v>3681</v>
      </c>
      <c r="B603" s="9" t="s">
        <v>3056</v>
      </c>
      <c r="C603" s="9" t="s">
        <v>34</v>
      </c>
      <c r="D603" s="9" t="s">
        <v>3031</v>
      </c>
      <c r="E603" s="9" t="s">
        <v>35</v>
      </c>
      <c r="F603" s="9" t="s">
        <v>36</v>
      </c>
      <c r="G603" s="9">
        <v>1</v>
      </c>
      <c r="H603" s="9">
        <v>84219999</v>
      </c>
      <c r="I603" s="11" t="s">
        <v>37</v>
      </c>
      <c r="J603" s="12">
        <v>1.6500000000000001E-2</v>
      </c>
      <c r="K603" s="12">
        <v>7.5999999999999998E-2</v>
      </c>
      <c r="L603" s="12">
        <v>5.1999999999999998E-2</v>
      </c>
      <c r="M603" s="13">
        <v>8003453104006</v>
      </c>
      <c r="N603" s="14">
        <v>2.8</v>
      </c>
      <c r="O603" s="14">
        <v>3.395</v>
      </c>
      <c r="P603" s="15">
        <v>45139</v>
      </c>
      <c r="Q603" s="16" t="s">
        <v>3682</v>
      </c>
      <c r="R603" s="17" t="s">
        <v>3683</v>
      </c>
      <c r="S603" s="17" t="s">
        <v>3684</v>
      </c>
      <c r="T603" s="17" t="s">
        <v>3685</v>
      </c>
      <c r="U603" s="17" t="s">
        <v>3686</v>
      </c>
      <c r="V603" s="17" t="s">
        <v>3687</v>
      </c>
      <c r="W603" s="17" t="s">
        <v>3688</v>
      </c>
      <c r="X603" s="17" t="s">
        <v>3689</v>
      </c>
      <c r="Y603" s="17" t="s">
        <v>35</v>
      </c>
      <c r="Z603" s="17" t="s">
        <v>3690</v>
      </c>
      <c r="AA603" s="17" t="s">
        <v>3691</v>
      </c>
      <c r="AB603" s="17" t="s">
        <v>3692</v>
      </c>
      <c r="AC603" s="17" t="s">
        <v>9539</v>
      </c>
      <c r="AD603" s="41">
        <v>127.15</v>
      </c>
      <c r="AE603" s="41">
        <v>133.76</v>
      </c>
      <c r="AF603" s="48"/>
      <c r="AG603" s="44"/>
      <c r="AH603" s="7">
        <f t="shared" si="9"/>
        <v>0</v>
      </c>
      <c r="AI603" s="18"/>
      <c r="AJ603" s="18"/>
    </row>
    <row r="604" spans="1:36" ht="26.65" customHeight="1" x14ac:dyDescent="0.25">
      <c r="A604" s="10" t="s">
        <v>3693</v>
      </c>
      <c r="B604" s="9" t="s">
        <v>3086</v>
      </c>
      <c r="C604" s="9" t="s">
        <v>34</v>
      </c>
      <c r="D604" s="9" t="s">
        <v>3064</v>
      </c>
      <c r="E604" s="9" t="s">
        <v>35</v>
      </c>
      <c r="F604" s="9" t="s">
        <v>36</v>
      </c>
      <c r="G604" s="9">
        <v>1</v>
      </c>
      <c r="H604" s="9">
        <v>84219999</v>
      </c>
      <c r="I604" s="11" t="s">
        <v>37</v>
      </c>
      <c r="J604" s="12">
        <v>1.6500000000000001E-2</v>
      </c>
      <c r="K604" s="12">
        <v>7.5999999999999998E-2</v>
      </c>
      <c r="L604" s="12">
        <v>5.1999999999999998E-2</v>
      </c>
      <c r="M604" s="13">
        <v>8003453104075</v>
      </c>
      <c r="N604" s="14">
        <v>1.018</v>
      </c>
      <c r="O604" s="14">
        <v>1.214</v>
      </c>
      <c r="P604" s="15">
        <v>45139</v>
      </c>
      <c r="Q604" s="16" t="s">
        <v>3694</v>
      </c>
      <c r="R604" s="17" t="s">
        <v>3695</v>
      </c>
      <c r="S604" s="17" t="s">
        <v>3696</v>
      </c>
      <c r="T604" s="17" t="s">
        <v>3697</v>
      </c>
      <c r="U604" s="17" t="s">
        <v>35</v>
      </c>
      <c r="V604" s="17" t="s">
        <v>3698</v>
      </c>
      <c r="W604" s="17" t="s">
        <v>3699</v>
      </c>
      <c r="X604" s="17" t="s">
        <v>3700</v>
      </c>
      <c r="Y604" s="17" t="s">
        <v>35</v>
      </c>
      <c r="Z604" s="17" t="s">
        <v>3701</v>
      </c>
      <c r="AA604" s="17" t="s">
        <v>3702</v>
      </c>
      <c r="AB604" s="17" t="s">
        <v>3703</v>
      </c>
      <c r="AC604" s="17" t="s">
        <v>9539</v>
      </c>
      <c r="AD604" s="41">
        <v>52.11</v>
      </c>
      <c r="AE604" s="41">
        <v>54.82</v>
      </c>
      <c r="AF604" s="48"/>
      <c r="AG604" s="44"/>
      <c r="AH604" s="7">
        <f t="shared" si="9"/>
        <v>0</v>
      </c>
      <c r="AI604" s="18"/>
      <c r="AJ604" s="18"/>
    </row>
    <row r="605" spans="1:36" ht="26.65" customHeight="1" x14ac:dyDescent="0.25">
      <c r="A605" s="10" t="s">
        <v>8669</v>
      </c>
      <c r="B605" s="9" t="s">
        <v>3030</v>
      </c>
      <c r="C605" s="9" t="s">
        <v>34</v>
      </c>
      <c r="D605" s="9" t="s">
        <v>3306</v>
      </c>
      <c r="E605" s="9" t="s">
        <v>35</v>
      </c>
      <c r="F605" s="9" t="s">
        <v>36</v>
      </c>
      <c r="G605" s="9">
        <v>1</v>
      </c>
      <c r="H605" s="9">
        <v>84219999</v>
      </c>
      <c r="I605" s="11" t="s">
        <v>37</v>
      </c>
      <c r="J605" s="12">
        <v>1.6500000000000001E-2</v>
      </c>
      <c r="K605" s="12">
        <v>7.5999999999999998E-2</v>
      </c>
      <c r="L605" s="12">
        <v>5.1999999999999998E-2</v>
      </c>
      <c r="M605" s="13">
        <v>8003453102309</v>
      </c>
      <c r="N605" s="14">
        <v>0.78800000000000003</v>
      </c>
      <c r="O605" s="14">
        <v>0.89200000000000002</v>
      </c>
      <c r="P605" s="15">
        <v>45292</v>
      </c>
      <c r="Q605" s="16" t="s">
        <v>8670</v>
      </c>
      <c r="R605" s="17" t="s">
        <v>35</v>
      </c>
      <c r="S605" s="17" t="s">
        <v>35</v>
      </c>
      <c r="T605" s="17" t="s">
        <v>8671</v>
      </c>
      <c r="U605" s="17" t="s">
        <v>35</v>
      </c>
      <c r="V605" s="17" t="s">
        <v>35</v>
      </c>
      <c r="W605" s="17" t="s">
        <v>35</v>
      </c>
      <c r="X605" s="17" t="s">
        <v>35</v>
      </c>
      <c r="Y605" s="17" t="s">
        <v>35</v>
      </c>
      <c r="Z605" s="17" t="s">
        <v>8672</v>
      </c>
      <c r="AA605" s="17" t="s">
        <v>35</v>
      </c>
      <c r="AB605" s="17" t="s">
        <v>8673</v>
      </c>
      <c r="AC605" s="17" t="s">
        <v>9539</v>
      </c>
      <c r="AD605" s="42">
        <v>91.72</v>
      </c>
      <c r="AE605" s="42">
        <v>96.49</v>
      </c>
      <c r="AF605" s="48"/>
      <c r="AG605" s="44"/>
      <c r="AH605" s="7">
        <f t="shared" si="9"/>
        <v>0</v>
      </c>
      <c r="AI605" s="18"/>
      <c r="AJ605" s="18"/>
    </row>
    <row r="606" spans="1:36" ht="26.65" customHeight="1" x14ac:dyDescent="0.25">
      <c r="A606" s="10" t="s">
        <v>3704</v>
      </c>
      <c r="B606" s="9" t="s">
        <v>3030</v>
      </c>
      <c r="C606" s="9" t="s">
        <v>34</v>
      </c>
      <c r="D606" s="9" t="s">
        <v>3031</v>
      </c>
      <c r="E606" s="9" t="s">
        <v>35</v>
      </c>
      <c r="F606" s="9" t="s">
        <v>36</v>
      </c>
      <c r="G606" s="9">
        <v>1</v>
      </c>
      <c r="H606" s="9">
        <v>84219999</v>
      </c>
      <c r="I606" s="11" t="s">
        <v>37</v>
      </c>
      <c r="J606" s="12">
        <v>1.6500000000000001E-2</v>
      </c>
      <c r="K606" s="12">
        <v>7.5999999999999998E-2</v>
      </c>
      <c r="L606" s="12">
        <v>5.1999999999999998E-2</v>
      </c>
      <c r="M606" s="13">
        <v>8003453102576</v>
      </c>
      <c r="N606" s="14">
        <v>0.77700000000000002</v>
      </c>
      <c r="O606" s="14">
        <v>0.90500000000000003</v>
      </c>
      <c r="P606" s="15" t="s">
        <v>35</v>
      </c>
      <c r="Q606" s="16" t="s">
        <v>3705</v>
      </c>
      <c r="R606" s="17" t="s">
        <v>35</v>
      </c>
      <c r="S606" s="17" t="s">
        <v>3706</v>
      </c>
      <c r="T606" s="17" t="s">
        <v>3707</v>
      </c>
      <c r="U606" s="17" t="s">
        <v>3708</v>
      </c>
      <c r="V606" s="17" t="s">
        <v>3709</v>
      </c>
      <c r="W606" s="17" t="s">
        <v>35</v>
      </c>
      <c r="X606" s="17" t="s">
        <v>3710</v>
      </c>
      <c r="Y606" s="17" t="s">
        <v>35</v>
      </c>
      <c r="Z606" s="17" t="s">
        <v>3711</v>
      </c>
      <c r="AA606" s="17" t="s">
        <v>35</v>
      </c>
      <c r="AB606" s="17" t="s">
        <v>3712</v>
      </c>
      <c r="AC606" s="17" t="s">
        <v>9539</v>
      </c>
      <c r="AD606" s="42">
        <v>63.76</v>
      </c>
      <c r="AE606" s="42">
        <v>67.08</v>
      </c>
      <c r="AF606" s="48"/>
      <c r="AG606" s="44"/>
      <c r="AH606" s="7">
        <f t="shared" si="9"/>
        <v>0</v>
      </c>
      <c r="AI606" s="18"/>
      <c r="AJ606" s="18"/>
    </row>
    <row r="607" spans="1:36" ht="26.65" customHeight="1" x14ac:dyDescent="0.25">
      <c r="A607" s="10" t="s">
        <v>9839</v>
      </c>
      <c r="B607" s="9" t="s">
        <v>3030</v>
      </c>
      <c r="C607" s="9" t="s">
        <v>34</v>
      </c>
      <c r="D607" s="9" t="s">
        <v>3031</v>
      </c>
      <c r="E607" s="9" t="s">
        <v>35</v>
      </c>
      <c r="F607" s="9" t="s">
        <v>36</v>
      </c>
      <c r="G607" s="9">
        <v>4</v>
      </c>
      <c r="H607" s="9">
        <v>84219999</v>
      </c>
      <c r="I607" s="11" t="s">
        <v>37</v>
      </c>
      <c r="J607" s="12">
        <v>1.6500000000000001E-2</v>
      </c>
      <c r="K607" s="12">
        <v>7.5999999999999998E-2</v>
      </c>
      <c r="L607" s="12">
        <v>5.1999999999999998E-2</v>
      </c>
      <c r="M607" s="13">
        <v>8003453810969</v>
      </c>
      <c r="N607" s="14">
        <v>0.48499999999999999</v>
      </c>
      <c r="O607" s="14">
        <v>0.63400000000000001</v>
      </c>
      <c r="P607" s="15">
        <v>45536</v>
      </c>
      <c r="Q607" s="16" t="s">
        <v>3705</v>
      </c>
      <c r="R607" s="17" t="s">
        <v>35</v>
      </c>
      <c r="S607" s="17" t="s">
        <v>3706</v>
      </c>
      <c r="T607" s="17" t="s">
        <v>3707</v>
      </c>
      <c r="U607" s="17" t="s">
        <v>3708</v>
      </c>
      <c r="V607" s="17" t="s">
        <v>3709</v>
      </c>
      <c r="W607" s="17" t="s">
        <v>35</v>
      </c>
      <c r="X607" s="17" t="s">
        <v>3710</v>
      </c>
      <c r="Y607" s="17" t="s">
        <v>35</v>
      </c>
      <c r="Z607" s="17" t="s">
        <v>3711</v>
      </c>
      <c r="AA607" s="17" t="s">
        <v>35</v>
      </c>
      <c r="AB607" s="17" t="s">
        <v>3712</v>
      </c>
      <c r="AC607" s="17" t="s">
        <v>9539</v>
      </c>
      <c r="AD607" s="42">
        <v>58.74</v>
      </c>
      <c r="AE607" s="42">
        <v>61.79</v>
      </c>
      <c r="AF607" s="48"/>
      <c r="AG607" s="44"/>
      <c r="AH607" s="7">
        <f t="shared" si="9"/>
        <v>0</v>
      </c>
      <c r="AI607" s="18"/>
      <c r="AJ607" s="18"/>
    </row>
    <row r="608" spans="1:36" ht="26.65" customHeight="1" x14ac:dyDescent="0.25">
      <c r="A608" s="10" t="s">
        <v>3713</v>
      </c>
      <c r="B608" s="9" t="s">
        <v>3030</v>
      </c>
      <c r="C608" s="9" t="s">
        <v>34</v>
      </c>
      <c r="D608" s="9" t="s">
        <v>3064</v>
      </c>
      <c r="E608" s="9" t="s">
        <v>35</v>
      </c>
      <c r="F608" s="9" t="s">
        <v>36</v>
      </c>
      <c r="G608" s="9">
        <v>1</v>
      </c>
      <c r="H608" s="9">
        <v>84219999</v>
      </c>
      <c r="I608" s="11" t="s">
        <v>37</v>
      </c>
      <c r="J608" s="12">
        <v>1.6500000000000001E-2</v>
      </c>
      <c r="K608" s="12">
        <v>7.5999999999999998E-2</v>
      </c>
      <c r="L608" s="12">
        <v>5.1999999999999998E-2</v>
      </c>
      <c r="M608" s="13">
        <v>8003453102583</v>
      </c>
      <c r="N608" s="14">
        <v>0.25800000000000001</v>
      </c>
      <c r="O608" s="14">
        <v>0.32</v>
      </c>
      <c r="P608" s="15" t="s">
        <v>35</v>
      </c>
      <c r="Q608" s="16" t="s">
        <v>3714</v>
      </c>
      <c r="R608" s="17" t="s">
        <v>3715</v>
      </c>
      <c r="S608" s="17" t="s">
        <v>3716</v>
      </c>
      <c r="T608" s="17" t="s">
        <v>3717</v>
      </c>
      <c r="U608" s="17" t="s">
        <v>3718</v>
      </c>
      <c r="V608" s="17" t="s">
        <v>3719</v>
      </c>
      <c r="W608" s="17" t="s">
        <v>3720</v>
      </c>
      <c r="X608" s="17" t="s">
        <v>3721</v>
      </c>
      <c r="Y608" s="17" t="s">
        <v>3722</v>
      </c>
      <c r="Z608" s="17" t="s">
        <v>3723</v>
      </c>
      <c r="AA608" s="17" t="s">
        <v>35</v>
      </c>
      <c r="AB608" s="17" t="s">
        <v>3724</v>
      </c>
      <c r="AC608" s="17" t="s">
        <v>9539</v>
      </c>
      <c r="AD608" s="42">
        <v>34.46</v>
      </c>
      <c r="AE608" s="42">
        <v>36.25</v>
      </c>
      <c r="AF608" s="48"/>
      <c r="AG608" s="44"/>
      <c r="AH608" s="7">
        <f t="shared" si="9"/>
        <v>0</v>
      </c>
      <c r="AI608" s="18"/>
      <c r="AJ608" s="18"/>
    </row>
    <row r="609" spans="1:38" ht="26.65" customHeight="1" x14ac:dyDescent="0.25">
      <c r="A609" s="10" t="s">
        <v>10300</v>
      </c>
      <c r="B609" s="9" t="s">
        <v>3030</v>
      </c>
      <c r="C609" s="9" t="s">
        <v>34</v>
      </c>
      <c r="D609" s="9" t="s">
        <v>3031</v>
      </c>
      <c r="E609" s="9" t="s">
        <v>35</v>
      </c>
      <c r="F609" s="9" t="s">
        <v>36</v>
      </c>
      <c r="G609" s="9">
        <v>5</v>
      </c>
      <c r="H609" s="9">
        <v>84219999</v>
      </c>
      <c r="I609" s="11" t="s">
        <v>37</v>
      </c>
      <c r="J609" s="12">
        <v>1.6500000000000001E-2</v>
      </c>
      <c r="K609" s="12">
        <v>7.5999999999999998E-2</v>
      </c>
      <c r="L609" s="12">
        <v>5.1999999999999998E-2</v>
      </c>
      <c r="M609" s="13" t="s">
        <v>10301</v>
      </c>
      <c r="N609" s="14">
        <v>0</v>
      </c>
      <c r="O609" s="14">
        <v>0</v>
      </c>
      <c r="P609" s="15">
        <v>45566</v>
      </c>
      <c r="Q609" s="16" t="s">
        <v>10302</v>
      </c>
      <c r="R609" s="17" t="s">
        <v>10303</v>
      </c>
      <c r="S609" s="17" t="s">
        <v>3716</v>
      </c>
      <c r="T609" s="17" t="s">
        <v>3717</v>
      </c>
      <c r="U609" s="17" t="s">
        <v>3718</v>
      </c>
      <c r="V609" s="17" t="s">
        <v>3719</v>
      </c>
      <c r="W609" s="17" t="s">
        <v>3720</v>
      </c>
      <c r="X609" s="17" t="s">
        <v>3721</v>
      </c>
      <c r="Y609" s="17" t="s">
        <v>3722</v>
      </c>
      <c r="Z609" s="17" t="s">
        <v>3723</v>
      </c>
      <c r="AA609" s="17" t="s">
        <v>35</v>
      </c>
      <c r="AB609" s="17" t="s">
        <v>10304</v>
      </c>
      <c r="AC609" s="17" t="s">
        <v>9539</v>
      </c>
      <c r="AD609" s="41">
        <v>25.64</v>
      </c>
      <c r="AE609" s="41">
        <v>26.97</v>
      </c>
      <c r="AF609" s="48"/>
      <c r="AG609" s="44"/>
      <c r="AH609" s="7">
        <f t="shared" si="9"/>
        <v>0</v>
      </c>
      <c r="AI609" s="18"/>
      <c r="AJ609" s="18"/>
    </row>
    <row r="610" spans="1:38" ht="26.65" customHeight="1" x14ac:dyDescent="0.25">
      <c r="A610" s="10" t="s">
        <v>3725</v>
      </c>
      <c r="B610" s="9" t="s">
        <v>3206</v>
      </c>
      <c r="C610" s="9" t="s">
        <v>34</v>
      </c>
      <c r="D610" s="9" t="s">
        <v>3207</v>
      </c>
      <c r="E610" s="9" t="s">
        <v>35</v>
      </c>
      <c r="F610" s="9" t="s">
        <v>36</v>
      </c>
      <c r="G610" s="9">
        <v>1</v>
      </c>
      <c r="H610" s="9">
        <v>84219999</v>
      </c>
      <c r="I610" s="11" t="s">
        <v>37</v>
      </c>
      <c r="J610" s="12">
        <v>1.6500000000000001E-2</v>
      </c>
      <c r="K610" s="12">
        <v>7.5999999999999998E-2</v>
      </c>
      <c r="L610" s="12">
        <v>5.1999999999999998E-2</v>
      </c>
      <c r="M610" s="13">
        <v>8003453105720</v>
      </c>
      <c r="N610" s="14">
        <v>1.3</v>
      </c>
      <c r="O610" s="14">
        <v>1.5</v>
      </c>
      <c r="P610" s="15">
        <v>45231</v>
      </c>
      <c r="Q610" s="16" t="s">
        <v>3726</v>
      </c>
      <c r="R610" s="17" t="s">
        <v>3727</v>
      </c>
      <c r="S610" s="17" t="s">
        <v>3728</v>
      </c>
      <c r="T610" s="17" t="s">
        <v>3729</v>
      </c>
      <c r="U610" s="17" t="s">
        <v>35</v>
      </c>
      <c r="V610" s="17" t="s">
        <v>3730</v>
      </c>
      <c r="W610" s="17" t="s">
        <v>35</v>
      </c>
      <c r="X610" s="17" t="s">
        <v>3731</v>
      </c>
      <c r="Y610" s="17" t="s">
        <v>35</v>
      </c>
      <c r="Z610" s="17" t="s">
        <v>3732</v>
      </c>
      <c r="AA610" s="17" t="s">
        <v>35</v>
      </c>
      <c r="AB610" s="17" t="s">
        <v>3733</v>
      </c>
      <c r="AC610" s="17" t="s">
        <v>9539</v>
      </c>
      <c r="AD610" s="42">
        <v>61.32</v>
      </c>
      <c r="AE610" s="42">
        <v>64.510000000000005</v>
      </c>
      <c r="AF610" s="48"/>
      <c r="AG610" s="44"/>
      <c r="AH610" s="7">
        <f t="shared" si="9"/>
        <v>0</v>
      </c>
      <c r="AI610" s="18"/>
      <c r="AJ610" s="18"/>
    </row>
    <row r="611" spans="1:38" ht="26.65" customHeight="1" x14ac:dyDescent="0.25">
      <c r="A611" s="10" t="s">
        <v>3734</v>
      </c>
      <c r="B611" s="9" t="s">
        <v>3056</v>
      </c>
      <c r="C611" s="9" t="s">
        <v>34</v>
      </c>
      <c r="D611" s="9" t="s">
        <v>3031</v>
      </c>
      <c r="E611" s="9" t="s">
        <v>35</v>
      </c>
      <c r="F611" s="9" t="s">
        <v>36</v>
      </c>
      <c r="G611" s="9">
        <v>1</v>
      </c>
      <c r="H611" s="9">
        <v>84219999</v>
      </c>
      <c r="I611" s="11" t="s">
        <v>37</v>
      </c>
      <c r="J611" s="12">
        <v>1.6500000000000001E-2</v>
      </c>
      <c r="K611" s="12">
        <v>7.5999999999999998E-2</v>
      </c>
      <c r="L611" s="12">
        <v>5.1999999999999998E-2</v>
      </c>
      <c r="M611" s="13">
        <v>8003453105003</v>
      </c>
      <c r="N611" s="14">
        <v>2.82</v>
      </c>
      <c r="O611" s="14">
        <v>3.11</v>
      </c>
      <c r="P611" s="15">
        <v>45139</v>
      </c>
      <c r="Q611" s="16" t="s">
        <v>3735</v>
      </c>
      <c r="R611" s="17" t="s">
        <v>3736</v>
      </c>
      <c r="S611" s="17" t="s">
        <v>35</v>
      </c>
      <c r="T611" s="17" t="s">
        <v>35</v>
      </c>
      <c r="U611" s="17" t="s">
        <v>35</v>
      </c>
      <c r="V611" s="17" t="s">
        <v>35</v>
      </c>
      <c r="W611" s="17" t="s">
        <v>35</v>
      </c>
      <c r="X611" s="17" t="s">
        <v>3737</v>
      </c>
      <c r="Y611" s="17" t="s">
        <v>35</v>
      </c>
      <c r="Z611" s="17" t="s">
        <v>3738</v>
      </c>
      <c r="AA611" s="17" t="s">
        <v>35</v>
      </c>
      <c r="AB611" s="17" t="s">
        <v>3739</v>
      </c>
      <c r="AC611" s="17" t="s">
        <v>9539</v>
      </c>
      <c r="AD611" s="41">
        <v>149.51</v>
      </c>
      <c r="AE611" s="41">
        <v>157.28</v>
      </c>
      <c r="AF611" s="48"/>
      <c r="AG611" s="44"/>
      <c r="AH611" s="7">
        <f t="shared" si="9"/>
        <v>0</v>
      </c>
      <c r="AI611" s="18"/>
      <c r="AJ611" s="18"/>
    </row>
    <row r="612" spans="1:38" ht="26.65" customHeight="1" x14ac:dyDescent="0.25">
      <c r="A612" s="10" t="s">
        <v>3740</v>
      </c>
      <c r="B612" s="9" t="s">
        <v>3086</v>
      </c>
      <c r="C612" s="9" t="s">
        <v>34</v>
      </c>
      <c r="D612" s="9" t="s">
        <v>3064</v>
      </c>
      <c r="E612" s="9" t="s">
        <v>35</v>
      </c>
      <c r="F612" s="9" t="s">
        <v>36</v>
      </c>
      <c r="G612" s="9">
        <v>1</v>
      </c>
      <c r="H612" s="9">
        <v>84219999</v>
      </c>
      <c r="I612" s="11" t="s">
        <v>37</v>
      </c>
      <c r="J612" s="12">
        <v>1.6500000000000001E-2</v>
      </c>
      <c r="K612" s="12">
        <v>7.5999999999999998E-2</v>
      </c>
      <c r="L612" s="12">
        <v>5.1999999999999998E-2</v>
      </c>
      <c r="M612" s="13">
        <v>8003453104983</v>
      </c>
      <c r="N612" s="14">
        <v>0.92</v>
      </c>
      <c r="O612" s="14">
        <v>1.105</v>
      </c>
      <c r="P612" s="15">
        <v>45139</v>
      </c>
      <c r="Q612" s="16" t="s">
        <v>3741</v>
      </c>
      <c r="R612" s="17" t="s">
        <v>3742</v>
      </c>
      <c r="S612" s="17" t="s">
        <v>35</v>
      </c>
      <c r="T612" s="17" t="s">
        <v>35</v>
      </c>
      <c r="U612" s="17" t="s">
        <v>35</v>
      </c>
      <c r="V612" s="17" t="s">
        <v>35</v>
      </c>
      <c r="W612" s="17" t="s">
        <v>35</v>
      </c>
      <c r="X612" s="17" t="s">
        <v>3743</v>
      </c>
      <c r="Y612" s="17" t="s">
        <v>35</v>
      </c>
      <c r="Z612" s="17" t="s">
        <v>3744</v>
      </c>
      <c r="AA612" s="17" t="s">
        <v>35</v>
      </c>
      <c r="AB612" s="17" t="s">
        <v>3745</v>
      </c>
      <c r="AC612" s="17" t="s">
        <v>9539</v>
      </c>
      <c r="AD612" s="42">
        <v>94.74</v>
      </c>
      <c r="AE612" s="42">
        <v>99.67</v>
      </c>
      <c r="AF612" s="48"/>
      <c r="AG612" s="44"/>
      <c r="AH612" s="7">
        <f t="shared" si="9"/>
        <v>0</v>
      </c>
      <c r="AI612" s="18"/>
      <c r="AJ612" s="18"/>
    </row>
    <row r="613" spans="1:38" ht="26.65" customHeight="1" x14ac:dyDescent="0.25">
      <c r="A613" s="10" t="s">
        <v>3746</v>
      </c>
      <c r="B613" s="9" t="s">
        <v>3086</v>
      </c>
      <c r="C613" s="9" t="s">
        <v>34</v>
      </c>
      <c r="D613" s="9" t="s">
        <v>3064</v>
      </c>
      <c r="E613" s="9" t="s">
        <v>122</v>
      </c>
      <c r="F613" s="9" t="s">
        <v>36</v>
      </c>
      <c r="G613" s="9">
        <v>1</v>
      </c>
      <c r="H613" s="9">
        <v>84219999</v>
      </c>
      <c r="I613" s="11" t="s">
        <v>37</v>
      </c>
      <c r="J613" s="12">
        <v>1.6500000000000001E-2</v>
      </c>
      <c r="K613" s="12">
        <v>7.5999999999999998E-2</v>
      </c>
      <c r="L613" s="12">
        <v>5.1999999999999998E-2</v>
      </c>
      <c r="M613" s="13">
        <v>8003453105300</v>
      </c>
      <c r="N613" s="14">
        <v>0.95199999999999996</v>
      </c>
      <c r="O613" s="14">
        <v>1.147</v>
      </c>
      <c r="P613" s="15">
        <v>45108</v>
      </c>
      <c r="Q613" s="16" t="s">
        <v>3747</v>
      </c>
      <c r="R613" s="17" t="s">
        <v>3748</v>
      </c>
      <c r="S613" s="17" t="s">
        <v>3749</v>
      </c>
      <c r="T613" s="17" t="s">
        <v>35</v>
      </c>
      <c r="U613" s="17" t="s">
        <v>35</v>
      </c>
      <c r="V613" s="17" t="s">
        <v>3750</v>
      </c>
      <c r="W613" s="17" t="s">
        <v>3751</v>
      </c>
      <c r="X613" s="17" t="s">
        <v>3752</v>
      </c>
      <c r="Y613" s="17" t="s">
        <v>35</v>
      </c>
      <c r="Z613" s="17" t="s">
        <v>3753</v>
      </c>
      <c r="AA613" s="17" t="s">
        <v>35</v>
      </c>
      <c r="AB613" s="17" t="s">
        <v>3754</v>
      </c>
      <c r="AC613" s="17" t="s">
        <v>9539</v>
      </c>
      <c r="AD613" s="42">
        <v>100.21</v>
      </c>
      <c r="AE613" s="42">
        <v>105.42</v>
      </c>
      <c r="AF613" s="48"/>
      <c r="AG613" s="44"/>
      <c r="AH613" s="7">
        <f t="shared" si="9"/>
        <v>0</v>
      </c>
      <c r="AI613" s="18"/>
      <c r="AJ613" s="18"/>
    </row>
    <row r="614" spans="1:38" ht="26.65" customHeight="1" x14ac:dyDescent="0.25">
      <c r="A614" s="10" t="s">
        <v>9629</v>
      </c>
      <c r="B614" s="9" t="s">
        <v>3030</v>
      </c>
      <c r="C614" s="9" t="s">
        <v>34</v>
      </c>
      <c r="D614" s="9" t="s">
        <v>3207</v>
      </c>
      <c r="E614" s="9" t="s">
        <v>35</v>
      </c>
      <c r="F614" s="9" t="s">
        <v>36</v>
      </c>
      <c r="G614" s="9">
        <v>1</v>
      </c>
      <c r="H614" s="9">
        <v>84219999</v>
      </c>
      <c r="I614" s="11" t="s">
        <v>37</v>
      </c>
      <c r="J614" s="12">
        <v>1.6500000000000001E-2</v>
      </c>
      <c r="K614" s="12">
        <v>7.5999999999999998E-2</v>
      </c>
      <c r="L614" s="12">
        <v>5.1999999999999998E-2</v>
      </c>
      <c r="M614" s="13">
        <v>8003453104105</v>
      </c>
      <c r="N614" s="14">
        <v>1.56</v>
      </c>
      <c r="O614" s="14">
        <v>1.8</v>
      </c>
      <c r="P614" s="15">
        <v>45474</v>
      </c>
      <c r="Q614" s="16" t="s">
        <v>9630</v>
      </c>
      <c r="R614" s="17" t="s">
        <v>9631</v>
      </c>
      <c r="S614" s="17" t="s">
        <v>9632</v>
      </c>
      <c r="T614" s="17" t="s">
        <v>35</v>
      </c>
      <c r="U614" s="17" t="s">
        <v>35</v>
      </c>
      <c r="V614" s="17" t="s">
        <v>35</v>
      </c>
      <c r="W614" s="17" t="s">
        <v>35</v>
      </c>
      <c r="X614" s="17" t="s">
        <v>9633</v>
      </c>
      <c r="Y614" s="17" t="s">
        <v>35</v>
      </c>
      <c r="Z614" s="17" t="s">
        <v>9634</v>
      </c>
      <c r="AA614" s="17" t="s">
        <v>35</v>
      </c>
      <c r="AB614" s="17" t="s">
        <v>9635</v>
      </c>
      <c r="AC614" s="17" t="s">
        <v>9539</v>
      </c>
      <c r="AD614" s="42">
        <v>130.44</v>
      </c>
      <c r="AE614" s="42">
        <v>137.22</v>
      </c>
      <c r="AF614" s="48"/>
      <c r="AG614" s="44"/>
      <c r="AH614" s="7">
        <f t="shared" si="9"/>
        <v>0</v>
      </c>
      <c r="AI614" s="18"/>
      <c r="AJ614" s="18"/>
    </row>
    <row r="615" spans="1:38" ht="26.65" customHeight="1" x14ac:dyDescent="0.25">
      <c r="A615" s="10" t="s">
        <v>9636</v>
      </c>
      <c r="B615" s="9" t="s">
        <v>3030</v>
      </c>
      <c r="C615" s="9" t="s">
        <v>34</v>
      </c>
      <c r="D615" s="9" t="s">
        <v>3064</v>
      </c>
      <c r="E615" s="9" t="s">
        <v>35</v>
      </c>
      <c r="F615" s="9" t="s">
        <v>36</v>
      </c>
      <c r="G615" s="9">
        <v>1</v>
      </c>
      <c r="H615" s="9">
        <v>84219999</v>
      </c>
      <c r="I615" s="11" t="s">
        <v>37</v>
      </c>
      <c r="J615" s="12">
        <v>1.6500000000000001E-2</v>
      </c>
      <c r="K615" s="12">
        <v>7.5999999999999998E-2</v>
      </c>
      <c r="L615" s="12">
        <v>5.1999999999999998E-2</v>
      </c>
      <c r="M615" s="13">
        <v>8003453104112</v>
      </c>
      <c r="N615" s="14">
        <v>0.42</v>
      </c>
      <c r="O615" s="14">
        <v>0.505</v>
      </c>
      <c r="P615" s="15">
        <v>45474</v>
      </c>
      <c r="Q615" s="16" t="s">
        <v>9630</v>
      </c>
      <c r="R615" s="17" t="s">
        <v>9637</v>
      </c>
      <c r="S615" s="17" t="s">
        <v>9638</v>
      </c>
      <c r="T615" s="17" t="s">
        <v>35</v>
      </c>
      <c r="U615" s="17" t="s">
        <v>35</v>
      </c>
      <c r="V615" s="17" t="s">
        <v>35</v>
      </c>
      <c r="W615" s="17" t="s">
        <v>35</v>
      </c>
      <c r="X615" s="17" t="s">
        <v>9639</v>
      </c>
      <c r="Y615" s="17" t="s">
        <v>35</v>
      </c>
      <c r="Z615" s="17" t="s">
        <v>9640</v>
      </c>
      <c r="AA615" s="17" t="s">
        <v>35</v>
      </c>
      <c r="AB615" s="17" t="s">
        <v>9641</v>
      </c>
      <c r="AC615" s="17" t="s">
        <v>9539</v>
      </c>
      <c r="AD615" s="42">
        <v>65.44</v>
      </c>
      <c r="AE615" s="42">
        <v>68.84</v>
      </c>
      <c r="AF615" s="48"/>
      <c r="AG615" s="44"/>
      <c r="AH615" s="7">
        <f t="shared" si="9"/>
        <v>0</v>
      </c>
      <c r="AI615" s="18"/>
      <c r="AJ615" s="18"/>
    </row>
    <row r="616" spans="1:38" ht="26.65" customHeight="1" x14ac:dyDescent="0.25">
      <c r="A616" s="10" t="s">
        <v>3755</v>
      </c>
      <c r="B616" s="9" t="s">
        <v>3063</v>
      </c>
      <c r="C616" s="9" t="s">
        <v>34</v>
      </c>
      <c r="D616" s="9" t="s">
        <v>3306</v>
      </c>
      <c r="E616" s="9" t="s">
        <v>35</v>
      </c>
      <c r="F616" s="9" t="s">
        <v>36</v>
      </c>
      <c r="G616" s="9">
        <v>1</v>
      </c>
      <c r="H616" s="9">
        <v>84219999</v>
      </c>
      <c r="I616" s="11" t="s">
        <v>37</v>
      </c>
      <c r="J616" s="12">
        <v>1.6500000000000001E-2</v>
      </c>
      <c r="K616" s="12">
        <v>7.5999999999999998E-2</v>
      </c>
      <c r="L616" s="12">
        <v>5.1999999999999998E-2</v>
      </c>
      <c r="M616" s="13">
        <v>8003453104198</v>
      </c>
      <c r="N616" s="14">
        <v>1.02</v>
      </c>
      <c r="O616" s="14">
        <v>1.4</v>
      </c>
      <c r="P616" s="15" t="s">
        <v>35</v>
      </c>
      <c r="Q616" s="16" t="s">
        <v>1112</v>
      </c>
      <c r="R616" s="17" t="s">
        <v>35</v>
      </c>
      <c r="S616" s="17" t="s">
        <v>3756</v>
      </c>
      <c r="T616" s="17" t="s">
        <v>3757</v>
      </c>
      <c r="U616" s="17" t="s">
        <v>3758</v>
      </c>
      <c r="V616" s="17" t="s">
        <v>35</v>
      </c>
      <c r="W616" s="17" t="s">
        <v>35</v>
      </c>
      <c r="X616" s="17" t="s">
        <v>35</v>
      </c>
      <c r="Y616" s="17" t="s">
        <v>35</v>
      </c>
      <c r="Z616" s="17" t="s">
        <v>3759</v>
      </c>
      <c r="AA616" s="17" t="s">
        <v>35</v>
      </c>
      <c r="AB616" s="17" t="s">
        <v>3760</v>
      </c>
      <c r="AC616" s="17" t="s">
        <v>9539</v>
      </c>
      <c r="AD616" s="42">
        <v>132.81</v>
      </c>
      <c r="AE616" s="42">
        <v>139.72</v>
      </c>
      <c r="AF616" s="48"/>
      <c r="AG616" s="44"/>
      <c r="AH616" s="7">
        <f t="shared" si="9"/>
        <v>0</v>
      </c>
      <c r="AI616" s="18"/>
      <c r="AJ616" s="18"/>
    </row>
    <row r="617" spans="1:38" ht="26.65" customHeight="1" x14ac:dyDescent="0.25">
      <c r="A617" s="10" t="s">
        <v>3761</v>
      </c>
      <c r="B617" s="9" t="s">
        <v>3030</v>
      </c>
      <c r="C617" s="9" t="s">
        <v>43</v>
      </c>
      <c r="D617" s="9" t="s">
        <v>3031</v>
      </c>
      <c r="E617" s="9" t="s">
        <v>35</v>
      </c>
      <c r="F617" s="9" t="s">
        <v>36</v>
      </c>
      <c r="G617" s="9">
        <v>5</v>
      </c>
      <c r="H617" s="9">
        <v>84219999</v>
      </c>
      <c r="I617" s="11" t="s">
        <v>37</v>
      </c>
      <c r="J617" s="12">
        <v>1.6500000000000001E-2</v>
      </c>
      <c r="K617" s="12">
        <v>7.5999999999999998E-2</v>
      </c>
      <c r="L617" s="12">
        <v>5.1999999999999998E-2</v>
      </c>
      <c r="M617" s="13">
        <v>8003453101449</v>
      </c>
      <c r="N617" s="14">
        <v>0.30199999999999999</v>
      </c>
      <c r="O617" s="14">
        <v>0.41199999999999998</v>
      </c>
      <c r="P617" s="15" t="s">
        <v>35</v>
      </c>
      <c r="Q617" s="16" t="s">
        <v>3762</v>
      </c>
      <c r="R617" s="17" t="s">
        <v>35</v>
      </c>
      <c r="S617" s="17" t="s">
        <v>3763</v>
      </c>
      <c r="T617" s="17" t="s">
        <v>3764</v>
      </c>
      <c r="U617" s="17" t="s">
        <v>35</v>
      </c>
      <c r="V617" s="17" t="s">
        <v>3765</v>
      </c>
      <c r="W617" s="17" t="s">
        <v>35</v>
      </c>
      <c r="X617" s="17" t="s">
        <v>3766</v>
      </c>
      <c r="Y617" s="17" t="s">
        <v>3767</v>
      </c>
      <c r="Z617" s="17" t="s">
        <v>35</v>
      </c>
      <c r="AA617" s="17" t="s">
        <v>35</v>
      </c>
      <c r="AB617" s="17" t="s">
        <v>35</v>
      </c>
      <c r="AC617" s="17" t="s">
        <v>9539</v>
      </c>
      <c r="AD617" s="42">
        <v>60.42</v>
      </c>
      <c r="AE617" s="42">
        <v>63.56</v>
      </c>
      <c r="AF617" s="48"/>
      <c r="AG617" s="44"/>
      <c r="AH617" s="7">
        <f t="shared" si="9"/>
        <v>0</v>
      </c>
      <c r="AI617" s="18"/>
      <c r="AJ617" s="18"/>
    </row>
    <row r="618" spans="1:38" ht="26.65" customHeight="1" x14ac:dyDescent="0.25">
      <c r="A618" s="10" t="s">
        <v>9642</v>
      </c>
      <c r="B618" s="9" t="s">
        <v>3030</v>
      </c>
      <c r="C618" s="9" t="s">
        <v>34</v>
      </c>
      <c r="D618" s="9" t="s">
        <v>3031</v>
      </c>
      <c r="E618" s="9" t="s">
        <v>35</v>
      </c>
      <c r="F618" s="9" t="s">
        <v>36</v>
      </c>
      <c r="G618" s="9">
        <v>1</v>
      </c>
      <c r="H618" s="9">
        <v>84219999</v>
      </c>
      <c r="I618" s="11" t="s">
        <v>37</v>
      </c>
      <c r="J618" s="12">
        <v>1.6500000000000001E-2</v>
      </c>
      <c r="K618" s="12">
        <v>7.5999999999999998E-2</v>
      </c>
      <c r="L618" s="12">
        <v>5.1999999999999998E-2</v>
      </c>
      <c r="M618" s="13">
        <v>8003453102460</v>
      </c>
      <c r="N618" s="14">
        <v>1.46</v>
      </c>
      <c r="O618" s="14">
        <v>1.661</v>
      </c>
      <c r="P618" s="15">
        <v>45474</v>
      </c>
      <c r="Q618" s="16" t="s">
        <v>9643</v>
      </c>
      <c r="R618" s="17" t="s">
        <v>9644</v>
      </c>
      <c r="S618" s="17" t="s">
        <v>9645</v>
      </c>
      <c r="T618" s="17" t="s">
        <v>9646</v>
      </c>
      <c r="U618" s="17" t="s">
        <v>9647</v>
      </c>
      <c r="V618" s="17" t="s">
        <v>9648</v>
      </c>
      <c r="W618" s="17" t="s">
        <v>9649</v>
      </c>
      <c r="X618" s="17" t="s">
        <v>9650</v>
      </c>
      <c r="Y618" s="17" t="s">
        <v>9651</v>
      </c>
      <c r="Z618" s="17" t="s">
        <v>9652</v>
      </c>
      <c r="AA618" s="17" t="s">
        <v>9653</v>
      </c>
      <c r="AB618" s="17" t="s">
        <v>9654</v>
      </c>
      <c r="AC618" s="17" t="s">
        <v>9539</v>
      </c>
      <c r="AD618" s="42">
        <v>62.59</v>
      </c>
      <c r="AE618" s="42">
        <v>65.84</v>
      </c>
      <c r="AF618" s="48"/>
      <c r="AG618" s="44"/>
      <c r="AH618" s="7">
        <f t="shared" si="9"/>
        <v>0</v>
      </c>
      <c r="AI618" s="18"/>
      <c r="AJ618" s="18"/>
    </row>
    <row r="619" spans="1:38" ht="26.65" customHeight="1" x14ac:dyDescent="0.25">
      <c r="A619" s="10" t="s">
        <v>3768</v>
      </c>
      <c r="B619" s="9" t="s">
        <v>3063</v>
      </c>
      <c r="C619" s="9" t="s">
        <v>34</v>
      </c>
      <c r="D619" s="9" t="s">
        <v>3031</v>
      </c>
      <c r="E619" s="9" t="s">
        <v>35</v>
      </c>
      <c r="F619" s="9" t="s">
        <v>2072</v>
      </c>
      <c r="G619" s="9">
        <v>1</v>
      </c>
      <c r="H619" s="9">
        <v>84219999</v>
      </c>
      <c r="I619" s="11" t="s">
        <v>2073</v>
      </c>
      <c r="J619" s="12">
        <v>1.6500000000000001E-2</v>
      </c>
      <c r="K619" s="12">
        <v>7.5999999999999998E-2</v>
      </c>
      <c r="L619" s="12">
        <v>0</v>
      </c>
      <c r="M619" s="13">
        <v>8003453102477</v>
      </c>
      <c r="N619" s="14">
        <v>0.28000000000000003</v>
      </c>
      <c r="O619" s="14">
        <v>0.39</v>
      </c>
      <c r="P619" s="15" t="s">
        <v>35</v>
      </c>
      <c r="Q619" s="16" t="s">
        <v>3769</v>
      </c>
      <c r="R619" s="17" t="s">
        <v>3770</v>
      </c>
      <c r="S619" s="17" t="s">
        <v>3771</v>
      </c>
      <c r="T619" s="17" t="s">
        <v>3772</v>
      </c>
      <c r="U619" s="17" t="s">
        <v>3773</v>
      </c>
      <c r="V619" s="17" t="s">
        <v>3774</v>
      </c>
      <c r="W619" s="17" t="s">
        <v>3775</v>
      </c>
      <c r="X619" s="17" t="s">
        <v>3776</v>
      </c>
      <c r="Y619" s="17" t="s">
        <v>35</v>
      </c>
      <c r="Z619" s="17" t="s">
        <v>3777</v>
      </c>
      <c r="AA619" s="17" t="s">
        <v>35</v>
      </c>
      <c r="AB619" s="17" t="s">
        <v>3778</v>
      </c>
      <c r="AC619" s="17" t="s">
        <v>9539</v>
      </c>
      <c r="AD619" s="41">
        <v>38.200000000000003</v>
      </c>
      <c r="AE619" s="41">
        <v>38.200000000000003</v>
      </c>
      <c r="AF619" s="48"/>
      <c r="AG619" s="44"/>
      <c r="AH619" s="7">
        <f t="shared" si="9"/>
        <v>0</v>
      </c>
      <c r="AI619" s="18"/>
      <c r="AJ619" s="18"/>
    </row>
    <row r="620" spans="1:38" ht="26.65" customHeight="1" x14ac:dyDescent="0.25">
      <c r="A620" s="10" t="s">
        <v>3779</v>
      </c>
      <c r="B620" s="9" t="s">
        <v>3063</v>
      </c>
      <c r="C620" s="9" t="s">
        <v>34</v>
      </c>
      <c r="D620" s="9" t="s">
        <v>3064</v>
      </c>
      <c r="E620" s="9" t="s">
        <v>35</v>
      </c>
      <c r="F620" s="9" t="s">
        <v>36</v>
      </c>
      <c r="G620" s="9">
        <v>1</v>
      </c>
      <c r="H620" s="9">
        <v>84219999</v>
      </c>
      <c r="I620" s="11" t="s">
        <v>37</v>
      </c>
      <c r="J620" s="12">
        <v>1.6500000000000001E-2</v>
      </c>
      <c r="K620" s="12">
        <v>7.5999999999999998E-2</v>
      </c>
      <c r="L620" s="12">
        <v>5.1999999999999998E-2</v>
      </c>
      <c r="M620" s="13">
        <v>8003453104907</v>
      </c>
      <c r="N620" s="14">
        <v>0.14000000000000001</v>
      </c>
      <c r="O620" s="14">
        <v>0.2</v>
      </c>
      <c r="P620" s="15">
        <v>44896</v>
      </c>
      <c r="Q620" s="16" t="s">
        <v>3780</v>
      </c>
      <c r="R620" s="17" t="s">
        <v>3781</v>
      </c>
      <c r="S620" s="17" t="s">
        <v>3782</v>
      </c>
      <c r="T620" s="17" t="s">
        <v>3783</v>
      </c>
      <c r="U620" s="17" t="s">
        <v>35</v>
      </c>
      <c r="V620" s="17" t="s">
        <v>35</v>
      </c>
      <c r="W620" s="17" t="s">
        <v>35</v>
      </c>
      <c r="X620" s="17" t="s">
        <v>35</v>
      </c>
      <c r="Y620" s="17" t="s">
        <v>35</v>
      </c>
      <c r="Z620" s="17" t="s">
        <v>3784</v>
      </c>
      <c r="AA620" s="17" t="s">
        <v>35</v>
      </c>
      <c r="AB620" s="17" t="s">
        <v>3785</v>
      </c>
      <c r="AC620" s="17" t="s">
        <v>9539</v>
      </c>
      <c r="AD620" s="42">
        <v>27.56</v>
      </c>
      <c r="AE620" s="42">
        <v>28.99</v>
      </c>
      <c r="AF620" s="48"/>
      <c r="AG620" s="44"/>
      <c r="AH620" s="7">
        <f t="shared" si="9"/>
        <v>0</v>
      </c>
      <c r="AI620" s="18"/>
      <c r="AJ620" s="18"/>
    </row>
    <row r="621" spans="1:38" ht="26.65" customHeight="1" x14ac:dyDescent="0.25">
      <c r="A621" s="10" t="s">
        <v>3786</v>
      </c>
      <c r="B621" s="9" t="s">
        <v>3030</v>
      </c>
      <c r="C621" s="9" t="s">
        <v>34</v>
      </c>
      <c r="D621" s="9" t="s">
        <v>3031</v>
      </c>
      <c r="E621" s="9" t="s">
        <v>35</v>
      </c>
      <c r="F621" s="9" t="s">
        <v>2072</v>
      </c>
      <c r="G621" s="9">
        <v>1</v>
      </c>
      <c r="H621" s="9">
        <v>84219999</v>
      </c>
      <c r="I621" s="11" t="s">
        <v>2073</v>
      </c>
      <c r="J621" s="12">
        <v>1.6500000000000001E-2</v>
      </c>
      <c r="K621" s="12">
        <v>7.5999999999999998E-2</v>
      </c>
      <c r="L621" s="12">
        <v>0</v>
      </c>
      <c r="M621" s="13">
        <v>8003453102484</v>
      </c>
      <c r="N621" s="14">
        <v>0.95499999999999996</v>
      </c>
      <c r="O621" s="14">
        <v>1.2</v>
      </c>
      <c r="P621" s="15" t="s">
        <v>35</v>
      </c>
      <c r="Q621" s="16" t="s">
        <v>3787</v>
      </c>
      <c r="R621" s="17" t="s">
        <v>3788</v>
      </c>
      <c r="S621" s="17" t="s">
        <v>3789</v>
      </c>
      <c r="T621" s="17" t="s">
        <v>3790</v>
      </c>
      <c r="U621" s="17" t="s">
        <v>3791</v>
      </c>
      <c r="V621" s="17" t="s">
        <v>3792</v>
      </c>
      <c r="W621" s="17" t="s">
        <v>3793</v>
      </c>
      <c r="X621" s="17" t="s">
        <v>3794</v>
      </c>
      <c r="Y621" s="17" t="s">
        <v>3795</v>
      </c>
      <c r="Z621" s="17" t="s">
        <v>3796</v>
      </c>
      <c r="AA621" s="17" t="s">
        <v>35</v>
      </c>
      <c r="AB621" s="17" t="s">
        <v>3797</v>
      </c>
      <c r="AC621" s="17" t="s">
        <v>9539</v>
      </c>
      <c r="AD621" s="41">
        <v>66.27</v>
      </c>
      <c r="AE621" s="41">
        <v>66.27</v>
      </c>
      <c r="AF621" s="48"/>
      <c r="AG621" s="44"/>
      <c r="AH621" s="7">
        <f t="shared" si="9"/>
        <v>0</v>
      </c>
      <c r="AI621" s="18"/>
      <c r="AJ621" s="18"/>
    </row>
    <row r="622" spans="1:38" ht="26.65" customHeight="1" x14ac:dyDescent="0.25">
      <c r="A622" s="10" t="s">
        <v>3798</v>
      </c>
      <c r="B622" s="9" t="s">
        <v>3063</v>
      </c>
      <c r="C622" s="9" t="s">
        <v>34</v>
      </c>
      <c r="D622" s="9" t="s">
        <v>3064</v>
      </c>
      <c r="E622" s="9" t="s">
        <v>35</v>
      </c>
      <c r="F622" s="9" t="s">
        <v>36</v>
      </c>
      <c r="G622" s="9">
        <v>1</v>
      </c>
      <c r="H622" s="9">
        <v>84219999</v>
      </c>
      <c r="I622" s="11" t="s">
        <v>37</v>
      </c>
      <c r="J622" s="12">
        <v>1.6500000000000001E-2</v>
      </c>
      <c r="K622" s="12">
        <v>7.5999999999999998E-2</v>
      </c>
      <c r="L622" s="12">
        <v>5.1999999999999998E-2</v>
      </c>
      <c r="M622" s="13">
        <v>8003453102620</v>
      </c>
      <c r="N622" s="14">
        <v>0.43</v>
      </c>
      <c r="O622" s="14">
        <v>0.52</v>
      </c>
      <c r="P622" s="15">
        <v>44868</v>
      </c>
      <c r="Q622" s="16" t="s">
        <v>3799</v>
      </c>
      <c r="R622" s="17" t="s">
        <v>3800</v>
      </c>
      <c r="S622" s="17" t="s">
        <v>3801</v>
      </c>
      <c r="T622" s="17" t="s">
        <v>3802</v>
      </c>
      <c r="U622" s="17" t="s">
        <v>35</v>
      </c>
      <c r="V622" s="17" t="s">
        <v>3803</v>
      </c>
      <c r="W622" s="17" t="s">
        <v>3804</v>
      </c>
      <c r="X622" s="17" t="s">
        <v>3805</v>
      </c>
      <c r="Y622" s="17" t="s">
        <v>3806</v>
      </c>
      <c r="Z622" s="17" t="s">
        <v>3807</v>
      </c>
      <c r="AA622" s="17" t="s">
        <v>3808</v>
      </c>
      <c r="AB622" s="17" t="s">
        <v>3809</v>
      </c>
      <c r="AC622" s="17" t="s">
        <v>9539</v>
      </c>
      <c r="AD622" s="41">
        <v>49.49</v>
      </c>
      <c r="AE622" s="41">
        <v>52.06</v>
      </c>
      <c r="AF622" s="48"/>
      <c r="AG622" s="44"/>
      <c r="AH622" s="7">
        <f t="shared" si="9"/>
        <v>0</v>
      </c>
      <c r="AI622" s="18"/>
      <c r="AJ622" s="18"/>
      <c r="AL622" s="18"/>
    </row>
    <row r="623" spans="1:38" ht="26.65" customHeight="1" x14ac:dyDescent="0.25">
      <c r="A623" s="10" t="s">
        <v>3810</v>
      </c>
      <c r="B623" s="9" t="s">
        <v>3063</v>
      </c>
      <c r="C623" s="9" t="s">
        <v>34</v>
      </c>
      <c r="D623" s="9" t="s">
        <v>3031</v>
      </c>
      <c r="E623" s="9" t="s">
        <v>35</v>
      </c>
      <c r="F623" s="9" t="s">
        <v>36</v>
      </c>
      <c r="G623" s="9">
        <v>1</v>
      </c>
      <c r="H623" s="9">
        <v>84219999</v>
      </c>
      <c r="I623" s="11" t="s">
        <v>37</v>
      </c>
      <c r="J623" s="12">
        <v>1.6500000000000001E-2</v>
      </c>
      <c r="K623" s="12">
        <v>7.5999999999999998E-2</v>
      </c>
      <c r="L623" s="12">
        <v>5.1999999999999998E-2</v>
      </c>
      <c r="M623" s="13">
        <v>8003453102507</v>
      </c>
      <c r="N623" s="14">
        <v>0.17599999999999999</v>
      </c>
      <c r="O623" s="14">
        <v>0.24099999999999999</v>
      </c>
      <c r="P623" s="15" t="s">
        <v>35</v>
      </c>
      <c r="Q623" s="16" t="s">
        <v>3811</v>
      </c>
      <c r="R623" s="17" t="s">
        <v>35</v>
      </c>
      <c r="S623" s="17" t="s">
        <v>3812</v>
      </c>
      <c r="T623" s="17" t="s">
        <v>3813</v>
      </c>
      <c r="U623" s="17" t="s">
        <v>35</v>
      </c>
      <c r="V623" s="17" t="s">
        <v>3814</v>
      </c>
      <c r="W623" s="17" t="s">
        <v>35</v>
      </c>
      <c r="X623" s="17" t="s">
        <v>35</v>
      </c>
      <c r="Y623" s="17" t="s">
        <v>35</v>
      </c>
      <c r="Z623" s="17" t="s">
        <v>3815</v>
      </c>
      <c r="AA623" s="17" t="s">
        <v>35</v>
      </c>
      <c r="AB623" s="17" t="s">
        <v>3816</v>
      </c>
      <c r="AC623" s="17" t="s">
        <v>9539</v>
      </c>
      <c r="AD623" s="42">
        <v>28.33</v>
      </c>
      <c r="AE623" s="42">
        <v>29.8</v>
      </c>
      <c r="AF623" s="48"/>
      <c r="AG623" s="44"/>
      <c r="AH623" s="7">
        <f t="shared" si="9"/>
        <v>0</v>
      </c>
      <c r="AI623" s="18"/>
      <c r="AJ623" s="18"/>
    </row>
    <row r="624" spans="1:38" ht="26.65" customHeight="1" x14ac:dyDescent="0.25">
      <c r="A624" s="10" t="s">
        <v>3817</v>
      </c>
      <c r="B624" s="9" t="s">
        <v>3030</v>
      </c>
      <c r="C624" s="9" t="s">
        <v>34</v>
      </c>
      <c r="D624" s="9" t="s">
        <v>3031</v>
      </c>
      <c r="E624" s="9" t="s">
        <v>35</v>
      </c>
      <c r="F624" s="9" t="s">
        <v>36</v>
      </c>
      <c r="G624" s="9">
        <v>1</v>
      </c>
      <c r="H624" s="9">
        <v>84219999</v>
      </c>
      <c r="I624" s="11" t="s">
        <v>37</v>
      </c>
      <c r="J624" s="12">
        <v>1.6500000000000001E-2</v>
      </c>
      <c r="K624" s="12">
        <v>7.5999999999999998E-2</v>
      </c>
      <c r="L624" s="12">
        <v>5.1999999999999998E-2</v>
      </c>
      <c r="M624" s="13">
        <v>8003453103443</v>
      </c>
      <c r="N624" s="14">
        <v>0.67</v>
      </c>
      <c r="O624" s="14">
        <v>0.93600000000000005</v>
      </c>
      <c r="P624" s="15">
        <v>44986</v>
      </c>
      <c r="Q624" s="16" t="s">
        <v>3818</v>
      </c>
      <c r="R624" s="17" t="s">
        <v>3819</v>
      </c>
      <c r="S624" s="17" t="s">
        <v>3820</v>
      </c>
      <c r="T624" s="17" t="s">
        <v>3821</v>
      </c>
      <c r="U624" s="17" t="s">
        <v>3822</v>
      </c>
      <c r="V624" s="17" t="s">
        <v>3823</v>
      </c>
      <c r="W624" s="17" t="s">
        <v>3824</v>
      </c>
      <c r="X624" s="17" t="s">
        <v>3825</v>
      </c>
      <c r="Y624" s="17" t="s">
        <v>3826</v>
      </c>
      <c r="Z624" s="17" t="s">
        <v>3827</v>
      </c>
      <c r="AA624" s="17" t="s">
        <v>35</v>
      </c>
      <c r="AB624" s="17" t="s">
        <v>3828</v>
      </c>
      <c r="AC624" s="17" t="s">
        <v>9539</v>
      </c>
      <c r="AD624" s="42">
        <v>45.47</v>
      </c>
      <c r="AE624" s="42">
        <v>47.83</v>
      </c>
      <c r="AF624" s="48"/>
      <c r="AG624" s="44"/>
      <c r="AH624" s="7">
        <f t="shared" si="9"/>
        <v>0</v>
      </c>
      <c r="AI624" s="18"/>
      <c r="AJ624" s="18"/>
    </row>
    <row r="625" spans="1:38" ht="26.65" customHeight="1" x14ac:dyDescent="0.25">
      <c r="A625" s="10" t="s">
        <v>3829</v>
      </c>
      <c r="B625" s="9" t="s">
        <v>3030</v>
      </c>
      <c r="C625" s="9" t="s">
        <v>34</v>
      </c>
      <c r="D625" s="9" t="s">
        <v>3306</v>
      </c>
      <c r="E625" s="9" t="s">
        <v>35</v>
      </c>
      <c r="F625" s="9" t="s">
        <v>36</v>
      </c>
      <c r="G625" s="9">
        <v>1</v>
      </c>
      <c r="H625" s="9">
        <v>84219999</v>
      </c>
      <c r="I625" s="11" t="s">
        <v>37</v>
      </c>
      <c r="J625" s="12">
        <v>1.6500000000000001E-2</v>
      </c>
      <c r="K625" s="12">
        <v>7.5999999999999998E-2</v>
      </c>
      <c r="L625" s="12">
        <v>5.1999999999999998E-2</v>
      </c>
      <c r="M625" s="13">
        <v>8003453103702</v>
      </c>
      <c r="N625" s="14">
        <v>0.20100000000000001</v>
      </c>
      <c r="O625" s="14">
        <v>0.34499999999999997</v>
      </c>
      <c r="P625" s="15">
        <v>44927</v>
      </c>
      <c r="Q625" s="16" t="s">
        <v>3818</v>
      </c>
      <c r="R625" s="17" t="s">
        <v>3830</v>
      </c>
      <c r="S625" s="17" t="s">
        <v>3831</v>
      </c>
      <c r="T625" s="17" t="s">
        <v>3832</v>
      </c>
      <c r="U625" s="17" t="s">
        <v>3833</v>
      </c>
      <c r="V625" s="17" t="s">
        <v>3834</v>
      </c>
      <c r="W625" s="17" t="s">
        <v>3835</v>
      </c>
      <c r="X625" s="17" t="s">
        <v>3836</v>
      </c>
      <c r="Y625" s="17" t="s">
        <v>3837</v>
      </c>
      <c r="Z625" s="17" t="s">
        <v>3838</v>
      </c>
      <c r="AA625" s="17" t="s">
        <v>35</v>
      </c>
      <c r="AB625" s="17" t="s">
        <v>3839</v>
      </c>
      <c r="AC625" s="17" t="s">
        <v>9539</v>
      </c>
      <c r="AD625" s="42">
        <v>23.55</v>
      </c>
      <c r="AE625" s="42">
        <v>24.77</v>
      </c>
      <c r="AF625" s="48"/>
      <c r="AG625" s="44"/>
      <c r="AH625" s="7">
        <f t="shared" si="9"/>
        <v>0</v>
      </c>
      <c r="AI625" s="18"/>
      <c r="AJ625" s="18"/>
    </row>
    <row r="626" spans="1:38" ht="26.65" customHeight="1" x14ac:dyDescent="0.25">
      <c r="A626" s="10" t="s">
        <v>3840</v>
      </c>
      <c r="B626" s="9" t="s">
        <v>3063</v>
      </c>
      <c r="C626" s="9" t="s">
        <v>34</v>
      </c>
      <c r="D626" s="9" t="s">
        <v>3064</v>
      </c>
      <c r="E626" s="9" t="s">
        <v>35</v>
      </c>
      <c r="F626" s="9" t="s">
        <v>36</v>
      </c>
      <c r="G626" s="9">
        <v>1</v>
      </c>
      <c r="H626" s="9">
        <v>84219999</v>
      </c>
      <c r="I626" s="11" t="s">
        <v>37</v>
      </c>
      <c r="J626" s="12">
        <v>1.6500000000000001E-2</v>
      </c>
      <c r="K626" s="12">
        <v>7.5999999999999998E-2</v>
      </c>
      <c r="L626" s="12">
        <v>5.1999999999999998E-2</v>
      </c>
      <c r="M626" s="13">
        <v>8003453102637</v>
      </c>
      <c r="N626" s="14">
        <v>0.498</v>
      </c>
      <c r="O626" s="14">
        <v>0.6</v>
      </c>
      <c r="P626" s="15">
        <v>44531</v>
      </c>
      <c r="Q626" s="16" t="s">
        <v>3841</v>
      </c>
      <c r="R626" s="17" t="s">
        <v>3842</v>
      </c>
      <c r="S626" s="17" t="s">
        <v>3843</v>
      </c>
      <c r="T626" s="17" t="s">
        <v>35</v>
      </c>
      <c r="U626" s="17" t="s">
        <v>35</v>
      </c>
      <c r="V626" s="17" t="s">
        <v>3844</v>
      </c>
      <c r="W626" s="17" t="s">
        <v>3845</v>
      </c>
      <c r="X626" s="17" t="s">
        <v>3846</v>
      </c>
      <c r="Y626" s="17" t="s">
        <v>3847</v>
      </c>
      <c r="Z626" s="17" t="s">
        <v>3848</v>
      </c>
      <c r="AA626" s="17" t="s">
        <v>35</v>
      </c>
      <c r="AB626" s="17" t="s">
        <v>3849</v>
      </c>
      <c r="AC626" s="17" t="s">
        <v>9539</v>
      </c>
      <c r="AD626" s="42">
        <v>45.49</v>
      </c>
      <c r="AE626" s="42">
        <v>47.86</v>
      </c>
      <c r="AF626" s="48"/>
      <c r="AG626" s="44"/>
      <c r="AH626" s="7">
        <f t="shared" si="9"/>
        <v>0</v>
      </c>
      <c r="AI626" s="18"/>
      <c r="AJ626" s="18"/>
    </row>
    <row r="627" spans="1:38" ht="26.65" customHeight="1" x14ac:dyDescent="0.25">
      <c r="A627" s="10" t="s">
        <v>3850</v>
      </c>
      <c r="B627" s="9" t="s">
        <v>3206</v>
      </c>
      <c r="C627" s="9" t="s">
        <v>34</v>
      </c>
      <c r="D627" s="9" t="s">
        <v>3207</v>
      </c>
      <c r="E627" s="9" t="s">
        <v>35</v>
      </c>
      <c r="F627" s="9" t="s">
        <v>36</v>
      </c>
      <c r="G627" s="9">
        <v>1</v>
      </c>
      <c r="H627" s="9">
        <v>84219999</v>
      </c>
      <c r="I627" s="11" t="s">
        <v>37</v>
      </c>
      <c r="J627" s="12">
        <v>1.6500000000000001E-2</v>
      </c>
      <c r="K627" s="12">
        <v>7.5999999999999998E-2</v>
      </c>
      <c r="L627" s="12">
        <v>5.1999999999999998E-2</v>
      </c>
      <c r="M627" s="13">
        <v>8003453103474</v>
      </c>
      <c r="N627" s="14">
        <v>1.83</v>
      </c>
      <c r="O627" s="14">
        <v>2.1030000000000002</v>
      </c>
      <c r="P627" s="15">
        <v>45017</v>
      </c>
      <c r="Q627" s="16" t="s">
        <v>3851</v>
      </c>
      <c r="R627" s="17" t="s">
        <v>3852</v>
      </c>
      <c r="S627" s="17" t="s">
        <v>3853</v>
      </c>
      <c r="T627" s="17" t="s">
        <v>3854</v>
      </c>
      <c r="U627" s="17" t="s">
        <v>35</v>
      </c>
      <c r="V627" s="17" t="s">
        <v>3855</v>
      </c>
      <c r="W627" s="17" t="s">
        <v>35</v>
      </c>
      <c r="X627" s="17" t="s">
        <v>3856</v>
      </c>
      <c r="Y627" s="17" t="s">
        <v>3857</v>
      </c>
      <c r="Z627" s="17" t="s">
        <v>3858</v>
      </c>
      <c r="AA627" s="17" t="s">
        <v>35</v>
      </c>
      <c r="AB627" s="17" t="s">
        <v>3859</v>
      </c>
      <c r="AC627" s="17" t="s">
        <v>9539</v>
      </c>
      <c r="AD627" s="41">
        <v>141.77000000000001</v>
      </c>
      <c r="AE627" s="41">
        <v>149.13999999999999</v>
      </c>
      <c r="AF627" s="48"/>
      <c r="AG627" s="44"/>
      <c r="AH627" s="7">
        <f t="shared" si="9"/>
        <v>0</v>
      </c>
      <c r="AI627" s="18"/>
      <c r="AJ627" s="18"/>
      <c r="AL627" s="18"/>
    </row>
    <row r="628" spans="1:38" ht="26.65" customHeight="1" x14ac:dyDescent="0.25">
      <c r="A628" s="10" t="s">
        <v>8674</v>
      </c>
      <c r="B628" s="9" t="s">
        <v>4712</v>
      </c>
      <c r="C628" s="9" t="s">
        <v>34</v>
      </c>
      <c r="D628" s="9" t="s">
        <v>3064</v>
      </c>
      <c r="E628" s="9" t="s">
        <v>35</v>
      </c>
      <c r="F628" s="9" t="s">
        <v>36</v>
      </c>
      <c r="G628" s="9">
        <v>1</v>
      </c>
      <c r="H628" s="9">
        <v>84219999</v>
      </c>
      <c r="I628" s="11" t="s">
        <v>37</v>
      </c>
      <c r="J628" s="12">
        <v>1.6500000000000001E-2</v>
      </c>
      <c r="K628" s="12">
        <v>7.5999999999999998E-2</v>
      </c>
      <c r="L628" s="12">
        <v>5.1999999999999998E-2</v>
      </c>
      <c r="M628" s="13">
        <v>8003453104914</v>
      </c>
      <c r="N628" s="14">
        <v>1.26</v>
      </c>
      <c r="O628" s="14">
        <v>1.41</v>
      </c>
      <c r="P628" s="15">
        <v>45292</v>
      </c>
      <c r="Q628" s="16" t="s">
        <v>3860</v>
      </c>
      <c r="R628" s="17" t="s">
        <v>3861</v>
      </c>
      <c r="S628" s="17" t="s">
        <v>3862</v>
      </c>
      <c r="T628" s="17" t="s">
        <v>3863</v>
      </c>
      <c r="U628" s="17" t="s">
        <v>3864</v>
      </c>
      <c r="V628" s="17" t="s">
        <v>3865</v>
      </c>
      <c r="W628" s="17" t="s">
        <v>3866</v>
      </c>
      <c r="X628" s="17" t="s">
        <v>3867</v>
      </c>
      <c r="Y628" s="17" t="s">
        <v>3868</v>
      </c>
      <c r="Z628" s="17" t="s">
        <v>3869</v>
      </c>
      <c r="AA628" s="17" t="s">
        <v>3870</v>
      </c>
      <c r="AB628" s="17" t="s">
        <v>3871</v>
      </c>
      <c r="AC628" s="17" t="s">
        <v>9539</v>
      </c>
      <c r="AD628" s="42">
        <v>41.98</v>
      </c>
      <c r="AE628" s="42">
        <v>44.16</v>
      </c>
      <c r="AF628" s="48"/>
      <c r="AG628" s="44"/>
      <c r="AH628" s="7">
        <f t="shared" si="9"/>
        <v>0</v>
      </c>
      <c r="AI628" s="18"/>
      <c r="AJ628" s="18"/>
    </row>
    <row r="629" spans="1:38" ht="26.65" customHeight="1" x14ac:dyDescent="0.25">
      <c r="A629" s="10" t="s">
        <v>3872</v>
      </c>
      <c r="B629" s="9" t="s">
        <v>3030</v>
      </c>
      <c r="C629" s="9" t="s">
        <v>34</v>
      </c>
      <c r="D629" s="9" t="s">
        <v>3031</v>
      </c>
      <c r="E629" s="9" t="s">
        <v>35</v>
      </c>
      <c r="F629" s="9" t="s">
        <v>36</v>
      </c>
      <c r="G629" s="9">
        <v>1</v>
      </c>
      <c r="H629" s="9">
        <v>84219999</v>
      </c>
      <c r="I629" s="11" t="s">
        <v>37</v>
      </c>
      <c r="J629" s="12">
        <v>1.6500000000000001E-2</v>
      </c>
      <c r="K629" s="12">
        <v>7.5999999999999998E-2</v>
      </c>
      <c r="L629" s="12">
        <v>5.1999999999999998E-2</v>
      </c>
      <c r="M629" s="13">
        <v>8003453103856</v>
      </c>
      <c r="N629" s="14">
        <v>2.2999999999999998</v>
      </c>
      <c r="O629" s="14">
        <v>2.6</v>
      </c>
      <c r="P629" s="15">
        <v>44774</v>
      </c>
      <c r="Q629" s="16" t="s">
        <v>3873</v>
      </c>
      <c r="R629" s="17" t="s">
        <v>3874</v>
      </c>
      <c r="S629" s="17" t="s">
        <v>35</v>
      </c>
      <c r="T629" s="17" t="s">
        <v>35</v>
      </c>
      <c r="U629" s="17" t="s">
        <v>35</v>
      </c>
      <c r="V629" s="17" t="s">
        <v>3875</v>
      </c>
      <c r="W629" s="17" t="s">
        <v>35</v>
      </c>
      <c r="X629" s="17" t="s">
        <v>3876</v>
      </c>
      <c r="Y629" s="17" t="s">
        <v>3877</v>
      </c>
      <c r="Z629" s="17" t="s">
        <v>3878</v>
      </c>
      <c r="AA629" s="17" t="s">
        <v>35</v>
      </c>
      <c r="AB629" s="17" t="s">
        <v>3879</v>
      </c>
      <c r="AC629" s="17" t="s">
        <v>9539</v>
      </c>
      <c r="AD629" s="42">
        <v>142.47</v>
      </c>
      <c r="AE629" s="42">
        <v>149.88</v>
      </c>
      <c r="AF629" s="48"/>
      <c r="AG629" s="44"/>
      <c r="AH629" s="7">
        <f t="shared" si="9"/>
        <v>0</v>
      </c>
      <c r="AI629" s="18"/>
      <c r="AJ629" s="18"/>
    </row>
    <row r="630" spans="1:38" ht="26.65" customHeight="1" x14ac:dyDescent="0.25">
      <c r="A630" s="10" t="s">
        <v>3880</v>
      </c>
      <c r="B630" s="9" t="s">
        <v>3030</v>
      </c>
      <c r="C630" s="9" t="s">
        <v>34</v>
      </c>
      <c r="D630" s="9" t="s">
        <v>3031</v>
      </c>
      <c r="E630" s="9" t="s">
        <v>35</v>
      </c>
      <c r="F630" s="9" t="s">
        <v>36</v>
      </c>
      <c r="G630" s="9">
        <v>6</v>
      </c>
      <c r="H630" s="9">
        <v>84219999</v>
      </c>
      <c r="I630" s="11" t="s">
        <v>37</v>
      </c>
      <c r="J630" s="12">
        <v>1.6500000000000001E-2</v>
      </c>
      <c r="K630" s="12">
        <v>7.5999999999999998E-2</v>
      </c>
      <c r="L630" s="12">
        <v>5.1999999999999998E-2</v>
      </c>
      <c r="M630" s="13">
        <v>8003453103450</v>
      </c>
      <c r="N630" s="14">
        <v>0.30599999999999999</v>
      </c>
      <c r="O630" s="14">
        <v>0.40400000000000003</v>
      </c>
      <c r="P630" s="15" t="s">
        <v>35</v>
      </c>
      <c r="Q630" s="16" t="s">
        <v>3881</v>
      </c>
      <c r="R630" s="17" t="s">
        <v>35</v>
      </c>
      <c r="S630" s="17" t="s">
        <v>3882</v>
      </c>
      <c r="T630" s="17" t="s">
        <v>3883</v>
      </c>
      <c r="U630" s="17" t="s">
        <v>35</v>
      </c>
      <c r="V630" s="17" t="s">
        <v>35</v>
      </c>
      <c r="W630" s="17" t="s">
        <v>35</v>
      </c>
      <c r="X630" s="17" t="s">
        <v>35</v>
      </c>
      <c r="Y630" s="17" t="s">
        <v>35</v>
      </c>
      <c r="Z630" s="17" t="s">
        <v>35</v>
      </c>
      <c r="AA630" s="17" t="s">
        <v>35</v>
      </c>
      <c r="AB630" s="17" t="s">
        <v>35</v>
      </c>
      <c r="AC630" s="17" t="s">
        <v>9539</v>
      </c>
      <c r="AD630" s="42">
        <v>38.130000000000003</v>
      </c>
      <c r="AE630" s="42">
        <v>40.11</v>
      </c>
      <c r="AF630" s="48"/>
      <c r="AG630" s="44"/>
      <c r="AH630" s="7">
        <f t="shared" si="9"/>
        <v>0</v>
      </c>
      <c r="AI630" s="18"/>
      <c r="AJ630" s="18"/>
    </row>
    <row r="631" spans="1:38" ht="26.65" customHeight="1" x14ac:dyDescent="0.25">
      <c r="A631" s="10" t="s">
        <v>3884</v>
      </c>
      <c r="B631" s="9" t="s">
        <v>3056</v>
      </c>
      <c r="C631" s="9" t="s">
        <v>34</v>
      </c>
      <c r="D631" s="9" t="s">
        <v>3031</v>
      </c>
      <c r="E631" s="9" t="s">
        <v>35</v>
      </c>
      <c r="F631" s="9" t="s">
        <v>36</v>
      </c>
      <c r="G631" s="9">
        <v>1</v>
      </c>
      <c r="H631" s="9">
        <v>84219999</v>
      </c>
      <c r="I631" s="11" t="s">
        <v>37</v>
      </c>
      <c r="J631" s="12">
        <v>1.6500000000000001E-2</v>
      </c>
      <c r="K631" s="12">
        <v>7.5999999999999998E-2</v>
      </c>
      <c r="L631" s="12">
        <v>5.1999999999999998E-2</v>
      </c>
      <c r="M631" s="13">
        <v>8003453103894</v>
      </c>
      <c r="N631" s="14">
        <v>1.9990000000000001</v>
      </c>
      <c r="O631" s="14">
        <v>2.23</v>
      </c>
      <c r="P631" s="15">
        <v>45139</v>
      </c>
      <c r="Q631" s="16" t="s">
        <v>3885</v>
      </c>
      <c r="R631" s="17" t="s">
        <v>3886</v>
      </c>
      <c r="S631" s="17" t="s">
        <v>3887</v>
      </c>
      <c r="T631" s="17" t="s">
        <v>3888</v>
      </c>
      <c r="U631" s="17" t="s">
        <v>3889</v>
      </c>
      <c r="V631" s="17" t="s">
        <v>3890</v>
      </c>
      <c r="W631" s="17" t="s">
        <v>3891</v>
      </c>
      <c r="X631" s="17" t="s">
        <v>3892</v>
      </c>
      <c r="Y631" s="17" t="s">
        <v>35</v>
      </c>
      <c r="Z631" s="17" t="s">
        <v>3893</v>
      </c>
      <c r="AA631" s="17" t="s">
        <v>3894</v>
      </c>
      <c r="AB631" s="17" t="s">
        <v>3895</v>
      </c>
      <c r="AC631" s="17" t="s">
        <v>9539</v>
      </c>
      <c r="AD631" s="42">
        <v>90.82</v>
      </c>
      <c r="AE631" s="42">
        <v>95.54</v>
      </c>
      <c r="AF631" s="48"/>
      <c r="AG631" s="44"/>
      <c r="AH631" s="7">
        <f t="shared" si="9"/>
        <v>0</v>
      </c>
      <c r="AI631" s="18"/>
      <c r="AJ631" s="18"/>
    </row>
    <row r="632" spans="1:38" ht="26.65" customHeight="1" x14ac:dyDescent="0.25">
      <c r="A632" s="10" t="s">
        <v>3896</v>
      </c>
      <c r="B632" s="9" t="s">
        <v>3086</v>
      </c>
      <c r="C632" s="9" t="s">
        <v>34</v>
      </c>
      <c r="D632" s="9" t="s">
        <v>3064</v>
      </c>
      <c r="E632" s="9" t="s">
        <v>35</v>
      </c>
      <c r="F632" s="9" t="s">
        <v>36</v>
      </c>
      <c r="G632" s="9">
        <v>1</v>
      </c>
      <c r="H632" s="9">
        <v>84219999</v>
      </c>
      <c r="I632" s="11" t="s">
        <v>37</v>
      </c>
      <c r="J632" s="12">
        <v>1.6500000000000001E-2</v>
      </c>
      <c r="K632" s="12">
        <v>7.5999999999999998E-2</v>
      </c>
      <c r="L632" s="12">
        <v>5.1999999999999998E-2</v>
      </c>
      <c r="M632" s="13">
        <v>8003453103900</v>
      </c>
      <c r="N632" s="14">
        <v>0.41</v>
      </c>
      <c r="O632" s="14">
        <v>0.6</v>
      </c>
      <c r="P632" s="15">
        <v>45139</v>
      </c>
      <c r="Q632" s="16" t="s">
        <v>3897</v>
      </c>
      <c r="R632" s="17" t="s">
        <v>3898</v>
      </c>
      <c r="S632" s="17" t="s">
        <v>3899</v>
      </c>
      <c r="T632" s="17" t="s">
        <v>3900</v>
      </c>
      <c r="U632" s="17" t="s">
        <v>3901</v>
      </c>
      <c r="V632" s="17" t="s">
        <v>3902</v>
      </c>
      <c r="W632" s="17" t="s">
        <v>3903</v>
      </c>
      <c r="X632" s="17" t="s">
        <v>3904</v>
      </c>
      <c r="Y632" s="17" t="s">
        <v>3905</v>
      </c>
      <c r="Z632" s="17" t="s">
        <v>3906</v>
      </c>
      <c r="AA632" s="17" t="s">
        <v>3907</v>
      </c>
      <c r="AB632" s="17" t="s">
        <v>3908</v>
      </c>
      <c r="AC632" s="17" t="s">
        <v>9539</v>
      </c>
      <c r="AD632" s="42">
        <v>46.05</v>
      </c>
      <c r="AE632" s="42">
        <v>48.44</v>
      </c>
      <c r="AF632" s="48"/>
      <c r="AG632" s="44"/>
      <c r="AH632" s="7">
        <f t="shared" si="9"/>
        <v>0</v>
      </c>
      <c r="AI632" s="18"/>
      <c r="AJ632" s="18"/>
    </row>
    <row r="633" spans="1:38" ht="26.65" customHeight="1" x14ac:dyDescent="0.25">
      <c r="A633" s="38" t="s">
        <v>3909</v>
      </c>
      <c r="B633" s="9" t="s">
        <v>3030</v>
      </c>
      <c r="C633" s="9" t="s">
        <v>58</v>
      </c>
      <c r="D633" s="9" t="s">
        <v>3031</v>
      </c>
      <c r="E633" s="9" t="s">
        <v>122</v>
      </c>
      <c r="F633" s="9" t="s">
        <v>36</v>
      </c>
      <c r="G633" s="9">
        <v>1</v>
      </c>
      <c r="H633" s="9">
        <v>84219999</v>
      </c>
      <c r="I633" s="11" t="s">
        <v>37</v>
      </c>
      <c r="J633" s="12">
        <v>1.6500000000000001E-2</v>
      </c>
      <c r="K633" s="12">
        <v>7.5999999999999998E-2</v>
      </c>
      <c r="L633" s="12">
        <v>5.1999999999999998E-2</v>
      </c>
      <c r="M633" s="13">
        <v>8003453101944</v>
      </c>
      <c r="N633" s="14">
        <v>0.5</v>
      </c>
      <c r="O633" s="14">
        <v>0.55600000000000005</v>
      </c>
      <c r="P633" s="15" t="s">
        <v>35</v>
      </c>
      <c r="Q633" s="16" t="s">
        <v>3910</v>
      </c>
      <c r="R633" s="17" t="s">
        <v>3911</v>
      </c>
      <c r="S633" s="17" t="s">
        <v>3912</v>
      </c>
      <c r="T633" s="17" t="s">
        <v>3913</v>
      </c>
      <c r="U633" s="17" t="s">
        <v>3914</v>
      </c>
      <c r="V633" s="17" t="s">
        <v>3915</v>
      </c>
      <c r="W633" s="17" t="s">
        <v>35</v>
      </c>
      <c r="X633" s="17" t="s">
        <v>3916</v>
      </c>
      <c r="Y633" s="17" t="s">
        <v>3917</v>
      </c>
      <c r="Z633" s="17" t="s">
        <v>3918</v>
      </c>
      <c r="AA633" s="17" t="s">
        <v>35</v>
      </c>
      <c r="AB633" s="17" t="s">
        <v>3919</v>
      </c>
      <c r="AC633" s="17" t="s">
        <v>9538</v>
      </c>
      <c r="AD633" s="42">
        <v>227.61</v>
      </c>
      <c r="AE633" s="42">
        <v>239.45</v>
      </c>
      <c r="AF633" s="48"/>
      <c r="AG633" s="44"/>
      <c r="AH633" s="7">
        <f t="shared" si="9"/>
        <v>0</v>
      </c>
      <c r="AI633" s="18"/>
      <c r="AJ633" s="18"/>
    </row>
    <row r="634" spans="1:38" ht="26.65" customHeight="1" x14ac:dyDescent="0.25">
      <c r="A634" s="10" t="s">
        <v>3920</v>
      </c>
      <c r="B634" s="9" t="s">
        <v>3030</v>
      </c>
      <c r="C634" s="9" t="s">
        <v>34</v>
      </c>
      <c r="D634" s="9" t="s">
        <v>3207</v>
      </c>
      <c r="E634" s="9" t="s">
        <v>35</v>
      </c>
      <c r="F634" s="9" t="s">
        <v>36</v>
      </c>
      <c r="G634" s="9">
        <v>1</v>
      </c>
      <c r="H634" s="9">
        <v>84219999</v>
      </c>
      <c r="I634" s="11" t="s">
        <v>37</v>
      </c>
      <c r="J634" s="12">
        <v>1.6500000000000001E-2</v>
      </c>
      <c r="K634" s="12">
        <v>7.5999999999999998E-2</v>
      </c>
      <c r="L634" s="12">
        <v>5.1999999999999998E-2</v>
      </c>
      <c r="M634" s="13">
        <v>8003453103481</v>
      </c>
      <c r="N634" s="14">
        <v>0.377</v>
      </c>
      <c r="O634" s="14">
        <v>0.53300000000000003</v>
      </c>
      <c r="P634" s="15">
        <v>44774</v>
      </c>
      <c r="Q634" s="16" t="s">
        <v>3921</v>
      </c>
      <c r="R634" s="17" t="s">
        <v>3922</v>
      </c>
      <c r="S634" s="17" t="s">
        <v>3923</v>
      </c>
      <c r="T634" s="17" t="s">
        <v>3924</v>
      </c>
      <c r="U634" s="17" t="s">
        <v>35</v>
      </c>
      <c r="V634" s="17" t="s">
        <v>3925</v>
      </c>
      <c r="W634" s="17" t="s">
        <v>35</v>
      </c>
      <c r="X634" s="17" t="s">
        <v>3926</v>
      </c>
      <c r="Y634" s="17" t="s">
        <v>35</v>
      </c>
      <c r="Z634" s="17" t="s">
        <v>3927</v>
      </c>
      <c r="AA634" s="17" t="s">
        <v>35</v>
      </c>
      <c r="AB634" s="17" t="s">
        <v>3928</v>
      </c>
      <c r="AC634" s="17" t="s">
        <v>9539</v>
      </c>
      <c r="AD634" s="42">
        <v>41.25</v>
      </c>
      <c r="AE634" s="42">
        <v>43.4</v>
      </c>
      <c r="AF634" s="48"/>
      <c r="AG634" s="44"/>
      <c r="AH634" s="7">
        <f t="shared" si="9"/>
        <v>0</v>
      </c>
      <c r="AI634" s="18"/>
      <c r="AJ634" s="18"/>
    </row>
    <row r="635" spans="1:38" ht="26.65" customHeight="1" x14ac:dyDescent="0.25">
      <c r="A635" s="10" t="s">
        <v>3929</v>
      </c>
      <c r="B635" s="9" t="s">
        <v>3063</v>
      </c>
      <c r="C635" s="9" t="s">
        <v>34</v>
      </c>
      <c r="D635" s="9" t="s">
        <v>3064</v>
      </c>
      <c r="E635" s="9" t="s">
        <v>35</v>
      </c>
      <c r="F635" s="9" t="s">
        <v>36</v>
      </c>
      <c r="G635" s="9">
        <v>1</v>
      </c>
      <c r="H635" s="9">
        <v>84219999</v>
      </c>
      <c r="I635" s="11" t="s">
        <v>37</v>
      </c>
      <c r="J635" s="12">
        <v>1.6500000000000001E-2</v>
      </c>
      <c r="K635" s="12">
        <v>7.5999999999999998E-2</v>
      </c>
      <c r="L635" s="12">
        <v>5.1999999999999998E-2</v>
      </c>
      <c r="M635" s="13">
        <v>8003453103498</v>
      </c>
      <c r="N635" s="14">
        <v>0.22500000000000001</v>
      </c>
      <c r="O635" s="14">
        <v>0.248</v>
      </c>
      <c r="P635" s="15">
        <v>44774</v>
      </c>
      <c r="Q635" s="16" t="s">
        <v>3921</v>
      </c>
      <c r="R635" s="17" t="s">
        <v>3930</v>
      </c>
      <c r="S635" s="17" t="s">
        <v>3931</v>
      </c>
      <c r="T635" s="17" t="s">
        <v>35</v>
      </c>
      <c r="U635" s="17" t="s">
        <v>35</v>
      </c>
      <c r="V635" s="17" t="s">
        <v>3932</v>
      </c>
      <c r="W635" s="17" t="s">
        <v>35</v>
      </c>
      <c r="X635" s="17" t="s">
        <v>3933</v>
      </c>
      <c r="Y635" s="17" t="s">
        <v>35</v>
      </c>
      <c r="Z635" s="17" t="s">
        <v>3934</v>
      </c>
      <c r="AA635" s="17" t="s">
        <v>35</v>
      </c>
      <c r="AB635" s="17" t="s">
        <v>3935</v>
      </c>
      <c r="AC635" s="17" t="s">
        <v>9539</v>
      </c>
      <c r="AD635" s="42">
        <v>21.97</v>
      </c>
      <c r="AE635" s="42">
        <v>23.11</v>
      </c>
      <c r="AF635" s="48"/>
      <c r="AG635" s="44"/>
      <c r="AH635" s="7">
        <f t="shared" si="9"/>
        <v>0</v>
      </c>
      <c r="AI635" s="18"/>
      <c r="AJ635" s="18"/>
    </row>
    <row r="636" spans="1:38" ht="26.65" customHeight="1" x14ac:dyDescent="0.25">
      <c r="A636" s="10" t="s">
        <v>3936</v>
      </c>
      <c r="B636" s="9" t="s">
        <v>3086</v>
      </c>
      <c r="C636" s="9" t="s">
        <v>34</v>
      </c>
      <c r="D636" s="9" t="s">
        <v>3064</v>
      </c>
      <c r="E636" s="9" t="s">
        <v>35</v>
      </c>
      <c r="F636" s="9" t="s">
        <v>36</v>
      </c>
      <c r="G636" s="9">
        <v>1</v>
      </c>
      <c r="H636" s="9">
        <v>84219999</v>
      </c>
      <c r="I636" s="11" t="s">
        <v>37</v>
      </c>
      <c r="J636" s="12">
        <v>1.6500000000000001E-2</v>
      </c>
      <c r="K636" s="12">
        <v>7.5999999999999998E-2</v>
      </c>
      <c r="L636" s="12">
        <v>5.1999999999999998E-2</v>
      </c>
      <c r="M636" s="13">
        <v>8003453104891</v>
      </c>
      <c r="N636" s="14">
        <v>0.17</v>
      </c>
      <c r="O636" s="14">
        <v>0.24099999999999999</v>
      </c>
      <c r="P636" s="15">
        <v>45139</v>
      </c>
      <c r="Q636" s="16" t="s">
        <v>3937</v>
      </c>
      <c r="R636" s="17" t="s">
        <v>3938</v>
      </c>
      <c r="S636" s="17" t="s">
        <v>3939</v>
      </c>
      <c r="T636" s="17" t="s">
        <v>3940</v>
      </c>
      <c r="U636" s="17" t="s">
        <v>35</v>
      </c>
      <c r="V636" s="17" t="s">
        <v>3941</v>
      </c>
      <c r="W636" s="17" t="s">
        <v>3942</v>
      </c>
      <c r="X636" s="17" t="s">
        <v>3943</v>
      </c>
      <c r="Y636" s="17" t="s">
        <v>35</v>
      </c>
      <c r="Z636" s="17" t="s">
        <v>3944</v>
      </c>
      <c r="AA636" s="17" t="s">
        <v>35</v>
      </c>
      <c r="AB636" s="17" t="s">
        <v>3945</v>
      </c>
      <c r="AC636" s="17" t="s">
        <v>9539</v>
      </c>
      <c r="AD636" s="41">
        <v>24.58</v>
      </c>
      <c r="AE636" s="41">
        <v>25.86</v>
      </c>
      <c r="AF636" s="48"/>
      <c r="AG636" s="44"/>
      <c r="AH636" s="7">
        <f t="shared" si="9"/>
        <v>0</v>
      </c>
      <c r="AI636" s="18"/>
      <c r="AJ636" s="18"/>
      <c r="AL636" s="18"/>
    </row>
    <row r="637" spans="1:38" ht="26.65" customHeight="1" x14ac:dyDescent="0.25">
      <c r="A637" s="10" t="s">
        <v>10305</v>
      </c>
      <c r="B637" s="9" t="s">
        <v>3030</v>
      </c>
      <c r="C637" s="9" t="s">
        <v>34</v>
      </c>
      <c r="D637" s="9" t="s">
        <v>3031</v>
      </c>
      <c r="E637" s="9" t="s">
        <v>35</v>
      </c>
      <c r="F637" s="9" t="s">
        <v>36</v>
      </c>
      <c r="G637" s="9">
        <v>5</v>
      </c>
      <c r="H637" s="9">
        <v>84219999</v>
      </c>
      <c r="I637" s="11" t="s">
        <v>37</v>
      </c>
      <c r="J637" s="12">
        <v>1.6500000000000001E-2</v>
      </c>
      <c r="K637" s="12">
        <v>7.5999999999999998E-2</v>
      </c>
      <c r="L637" s="12">
        <v>5.1999999999999998E-2</v>
      </c>
      <c r="M637" s="13">
        <v>8003453803930</v>
      </c>
      <c r="N637" s="14">
        <v>0</v>
      </c>
      <c r="O637" s="14">
        <v>0</v>
      </c>
      <c r="P637" s="15">
        <v>45566</v>
      </c>
      <c r="Q637" s="16" t="s">
        <v>10306</v>
      </c>
      <c r="R637" s="17" t="s">
        <v>10307</v>
      </c>
      <c r="S637" s="17" t="s">
        <v>3939</v>
      </c>
      <c r="T637" s="17" t="s">
        <v>3940</v>
      </c>
      <c r="U637" s="17" t="s">
        <v>10308</v>
      </c>
      <c r="V637" s="17" t="s">
        <v>3941</v>
      </c>
      <c r="W637" s="17" t="s">
        <v>3942</v>
      </c>
      <c r="X637" s="17" t="s">
        <v>3943</v>
      </c>
      <c r="Y637" s="17" t="s">
        <v>35</v>
      </c>
      <c r="Z637" s="17" t="s">
        <v>3944</v>
      </c>
      <c r="AA637" s="17" t="s">
        <v>35</v>
      </c>
      <c r="AB637" s="17" t="s">
        <v>3945</v>
      </c>
      <c r="AC637" s="17" t="s">
        <v>9539</v>
      </c>
      <c r="AD637" s="41">
        <v>18.68</v>
      </c>
      <c r="AE637" s="41">
        <v>19.649999999999999</v>
      </c>
      <c r="AF637" s="48"/>
      <c r="AG637" s="44"/>
      <c r="AH637" s="7">
        <f t="shared" si="9"/>
        <v>0</v>
      </c>
      <c r="AI637" s="18"/>
      <c r="AJ637" s="18"/>
    </row>
    <row r="638" spans="1:38" ht="26.65" customHeight="1" x14ac:dyDescent="0.25">
      <c r="A638" s="10" t="s">
        <v>3946</v>
      </c>
      <c r="B638" s="9" t="s">
        <v>3056</v>
      </c>
      <c r="C638" s="9" t="s">
        <v>34</v>
      </c>
      <c r="D638" s="9" t="s">
        <v>3031</v>
      </c>
      <c r="E638" s="9" t="s">
        <v>35</v>
      </c>
      <c r="F638" s="9" t="s">
        <v>36</v>
      </c>
      <c r="G638" s="9">
        <v>1</v>
      </c>
      <c r="H638" s="9">
        <v>84219999</v>
      </c>
      <c r="I638" s="11" t="s">
        <v>37</v>
      </c>
      <c r="J638" s="12">
        <v>1.6500000000000001E-2</v>
      </c>
      <c r="K638" s="12">
        <v>7.5999999999999998E-2</v>
      </c>
      <c r="L638" s="12">
        <v>5.1999999999999998E-2</v>
      </c>
      <c r="M638" s="13">
        <v>8003453103948</v>
      </c>
      <c r="N638" s="14">
        <v>0.56999999999999995</v>
      </c>
      <c r="O638" s="14">
        <v>0.7</v>
      </c>
      <c r="P638" s="15">
        <v>45139</v>
      </c>
      <c r="Q638" s="16" t="s">
        <v>3947</v>
      </c>
      <c r="R638" s="17" t="s">
        <v>3948</v>
      </c>
      <c r="S638" s="17" t="s">
        <v>35</v>
      </c>
      <c r="T638" s="17" t="s">
        <v>35</v>
      </c>
      <c r="U638" s="17" t="s">
        <v>35</v>
      </c>
      <c r="V638" s="17" t="s">
        <v>35</v>
      </c>
      <c r="W638" s="17" t="s">
        <v>35</v>
      </c>
      <c r="X638" s="17" t="s">
        <v>35</v>
      </c>
      <c r="Y638" s="17" t="s">
        <v>35</v>
      </c>
      <c r="Z638" s="17" t="s">
        <v>3949</v>
      </c>
      <c r="AA638" s="17" t="s">
        <v>35</v>
      </c>
      <c r="AB638" s="17" t="s">
        <v>3950</v>
      </c>
      <c r="AC638" s="17" t="s">
        <v>9539</v>
      </c>
      <c r="AD638" s="42">
        <v>97.12</v>
      </c>
      <c r="AE638" s="42">
        <v>102.17</v>
      </c>
      <c r="AF638" s="48"/>
      <c r="AG638" s="44"/>
      <c r="AH638" s="7">
        <f t="shared" si="9"/>
        <v>0</v>
      </c>
      <c r="AI638" s="18"/>
      <c r="AJ638" s="18"/>
    </row>
    <row r="639" spans="1:38" ht="26.65" customHeight="1" x14ac:dyDescent="0.25">
      <c r="A639" s="10" t="s">
        <v>3951</v>
      </c>
      <c r="B639" s="9" t="s">
        <v>3030</v>
      </c>
      <c r="C639" s="9" t="s">
        <v>34</v>
      </c>
      <c r="D639" s="9" t="s">
        <v>3031</v>
      </c>
      <c r="E639" s="9" t="s">
        <v>35</v>
      </c>
      <c r="F639" s="9" t="s">
        <v>36</v>
      </c>
      <c r="G639" s="9">
        <v>1</v>
      </c>
      <c r="H639" s="9">
        <v>84219999</v>
      </c>
      <c r="I639" s="11" t="s">
        <v>37</v>
      </c>
      <c r="J639" s="12">
        <v>1.6500000000000001E-2</v>
      </c>
      <c r="K639" s="12">
        <v>7.5999999999999998E-2</v>
      </c>
      <c r="L639" s="12">
        <v>5.1999999999999998E-2</v>
      </c>
      <c r="M639" s="13">
        <v>8003453105140</v>
      </c>
      <c r="N639" s="14">
        <v>2.12</v>
      </c>
      <c r="O639" s="14">
        <v>2.6</v>
      </c>
      <c r="P639" s="15" t="s">
        <v>35</v>
      </c>
      <c r="Q639" s="16" t="s">
        <v>3952</v>
      </c>
      <c r="R639" s="17" t="s">
        <v>3953</v>
      </c>
      <c r="S639" s="17" t="s">
        <v>3954</v>
      </c>
      <c r="T639" s="17" t="s">
        <v>35</v>
      </c>
      <c r="U639" s="17" t="s">
        <v>35</v>
      </c>
      <c r="V639" s="17" t="s">
        <v>3955</v>
      </c>
      <c r="W639" s="17" t="s">
        <v>35</v>
      </c>
      <c r="X639" s="17" t="s">
        <v>35</v>
      </c>
      <c r="Y639" s="17" t="s">
        <v>35</v>
      </c>
      <c r="Z639" s="17" t="s">
        <v>3956</v>
      </c>
      <c r="AA639" s="17" t="s">
        <v>35</v>
      </c>
      <c r="AB639" s="17" t="s">
        <v>3957</v>
      </c>
      <c r="AC639" s="17" t="s">
        <v>9539</v>
      </c>
      <c r="AD639" s="42">
        <v>148.59</v>
      </c>
      <c r="AE639" s="42">
        <v>156.32</v>
      </c>
      <c r="AF639" s="48"/>
      <c r="AG639" s="44"/>
      <c r="AH639" s="7">
        <f t="shared" si="9"/>
        <v>0</v>
      </c>
      <c r="AI639" s="18"/>
      <c r="AJ639" s="18"/>
    </row>
    <row r="640" spans="1:38" ht="26.65" customHeight="1" x14ac:dyDescent="0.25">
      <c r="A640" s="10" t="s">
        <v>3958</v>
      </c>
      <c r="B640" s="9" t="s">
        <v>3063</v>
      </c>
      <c r="C640" s="9" t="s">
        <v>34</v>
      </c>
      <c r="D640" s="9" t="s">
        <v>3064</v>
      </c>
      <c r="E640" s="9" t="s">
        <v>122</v>
      </c>
      <c r="F640" s="9" t="s">
        <v>36</v>
      </c>
      <c r="G640" s="9">
        <v>1</v>
      </c>
      <c r="H640" s="9">
        <v>84219999</v>
      </c>
      <c r="I640" s="11" t="s">
        <v>37</v>
      </c>
      <c r="J640" s="12">
        <v>1.6500000000000001E-2</v>
      </c>
      <c r="K640" s="12">
        <v>7.5999999999999998E-2</v>
      </c>
      <c r="L640" s="12">
        <v>5.1999999999999998E-2</v>
      </c>
      <c r="M640" s="13">
        <v>8003453105157</v>
      </c>
      <c r="N640" s="14">
        <v>1.03</v>
      </c>
      <c r="O640" s="14">
        <v>1.26</v>
      </c>
      <c r="P640" s="15">
        <v>44835</v>
      </c>
      <c r="Q640" s="16" t="s">
        <v>3952</v>
      </c>
      <c r="R640" s="17" t="s">
        <v>3959</v>
      </c>
      <c r="S640" s="17" t="s">
        <v>35</v>
      </c>
      <c r="T640" s="17" t="s">
        <v>35</v>
      </c>
      <c r="U640" s="17" t="s">
        <v>35</v>
      </c>
      <c r="V640" s="17" t="s">
        <v>3960</v>
      </c>
      <c r="W640" s="17" t="s">
        <v>35</v>
      </c>
      <c r="X640" s="17" t="s">
        <v>35</v>
      </c>
      <c r="Y640" s="17" t="s">
        <v>35</v>
      </c>
      <c r="Z640" s="17" t="s">
        <v>3961</v>
      </c>
      <c r="AA640" s="17" t="s">
        <v>35</v>
      </c>
      <c r="AB640" s="17" t="s">
        <v>3962</v>
      </c>
      <c r="AC640" s="17" t="s">
        <v>9539</v>
      </c>
      <c r="AD640" s="42">
        <v>65.12</v>
      </c>
      <c r="AE640" s="42">
        <v>68.510000000000005</v>
      </c>
      <c r="AF640" s="48"/>
      <c r="AG640" s="44"/>
      <c r="AH640" s="7">
        <f t="shared" si="9"/>
        <v>0</v>
      </c>
      <c r="AI640" s="18"/>
      <c r="AJ640" s="18"/>
    </row>
    <row r="641" spans="1:38" ht="26.65" customHeight="1" x14ac:dyDescent="0.25">
      <c r="A641" s="10" t="s">
        <v>3963</v>
      </c>
      <c r="B641" s="9" t="s">
        <v>3030</v>
      </c>
      <c r="C641" s="9" t="s">
        <v>34</v>
      </c>
      <c r="D641" s="9" t="s">
        <v>3207</v>
      </c>
      <c r="E641" s="9" t="s">
        <v>35</v>
      </c>
      <c r="F641" s="9" t="s">
        <v>36</v>
      </c>
      <c r="G641" s="9">
        <v>1</v>
      </c>
      <c r="H641" s="9">
        <v>84219999</v>
      </c>
      <c r="I641" s="11" t="s">
        <v>37</v>
      </c>
      <c r="J641" s="12">
        <v>1.6500000000000001E-2</v>
      </c>
      <c r="K641" s="12">
        <v>7.5999999999999998E-2</v>
      </c>
      <c r="L641" s="12">
        <v>5.1999999999999998E-2</v>
      </c>
      <c r="M641" s="13">
        <v>8003453103504</v>
      </c>
      <c r="N641" s="14">
        <v>3.0880000000000001</v>
      </c>
      <c r="O641" s="14">
        <v>4.2009999999999996</v>
      </c>
      <c r="P641" s="15">
        <v>44958</v>
      </c>
      <c r="Q641" s="16" t="s">
        <v>3964</v>
      </c>
      <c r="R641" s="17" t="s">
        <v>3965</v>
      </c>
      <c r="S641" s="17" t="s">
        <v>3966</v>
      </c>
      <c r="T641" s="17" t="s">
        <v>3967</v>
      </c>
      <c r="U641" s="17" t="s">
        <v>35</v>
      </c>
      <c r="V641" s="17" t="s">
        <v>3968</v>
      </c>
      <c r="W641" s="17" t="s">
        <v>3969</v>
      </c>
      <c r="X641" s="17" t="s">
        <v>35</v>
      </c>
      <c r="Y641" s="17" t="s">
        <v>35</v>
      </c>
      <c r="Z641" s="17" t="s">
        <v>3970</v>
      </c>
      <c r="AA641" s="17" t="s">
        <v>35</v>
      </c>
      <c r="AB641" s="17" t="s">
        <v>3971</v>
      </c>
      <c r="AC641" s="17" t="s">
        <v>9539</v>
      </c>
      <c r="AD641" s="41">
        <v>240.58</v>
      </c>
      <c r="AE641" s="41">
        <v>253.09</v>
      </c>
      <c r="AF641" s="48"/>
      <c r="AG641" s="44"/>
      <c r="AH641" s="7">
        <f t="shared" si="9"/>
        <v>0</v>
      </c>
      <c r="AI641" s="18"/>
      <c r="AJ641" s="18"/>
      <c r="AL641" s="18"/>
    </row>
    <row r="642" spans="1:38" ht="26.65" customHeight="1" x14ac:dyDescent="0.25">
      <c r="A642" s="10" t="s">
        <v>9311</v>
      </c>
      <c r="B642" s="9" t="s">
        <v>3030</v>
      </c>
      <c r="C642" s="9" t="s">
        <v>34</v>
      </c>
      <c r="D642" s="9" t="s">
        <v>3031</v>
      </c>
      <c r="E642" s="9" t="s">
        <v>35</v>
      </c>
      <c r="F642" s="9" t="s">
        <v>36</v>
      </c>
      <c r="G642" s="9">
        <v>1</v>
      </c>
      <c r="H642" s="9">
        <v>84219999</v>
      </c>
      <c r="I642" s="11" t="s">
        <v>37</v>
      </c>
      <c r="J642" s="12">
        <v>1.6500000000000001E-2</v>
      </c>
      <c r="K642" s="12">
        <v>7.5999999999999998E-2</v>
      </c>
      <c r="L642" s="12">
        <v>5.1999999999999998E-2</v>
      </c>
      <c r="M642" s="13">
        <v>8003453103436</v>
      </c>
      <c r="N642" s="14">
        <v>1.6919999999999999</v>
      </c>
      <c r="O642" s="14">
        <v>2.198</v>
      </c>
      <c r="P642" s="15">
        <v>45444</v>
      </c>
      <c r="Q642" s="16" t="s">
        <v>9312</v>
      </c>
      <c r="R642" s="17" t="s">
        <v>9313</v>
      </c>
      <c r="S642" s="17" t="s">
        <v>9314</v>
      </c>
      <c r="T642" s="17" t="s">
        <v>9315</v>
      </c>
      <c r="U642" s="17" t="s">
        <v>9315</v>
      </c>
      <c r="V642" s="17" t="s">
        <v>9316</v>
      </c>
      <c r="W642" s="17" t="s">
        <v>9317</v>
      </c>
      <c r="X642" s="17" t="s">
        <v>35</v>
      </c>
      <c r="Y642" s="17" t="s">
        <v>35</v>
      </c>
      <c r="Z642" s="17" t="s">
        <v>9318</v>
      </c>
      <c r="AA642" s="17" t="s">
        <v>9319</v>
      </c>
      <c r="AB642" s="17" t="s">
        <v>9320</v>
      </c>
      <c r="AC642" s="17" t="s">
        <v>9539</v>
      </c>
      <c r="AD642" s="42">
        <v>91.88</v>
      </c>
      <c r="AE642" s="42">
        <v>96.66</v>
      </c>
      <c r="AF642" s="48"/>
      <c r="AG642" s="44"/>
      <c r="AH642" s="7">
        <f t="shared" si="9"/>
        <v>0</v>
      </c>
      <c r="AI642" s="18"/>
      <c r="AJ642" s="18"/>
    </row>
    <row r="643" spans="1:38" ht="26.65" customHeight="1" x14ac:dyDescent="0.25">
      <c r="A643" s="10" t="s">
        <v>3972</v>
      </c>
      <c r="B643" s="9" t="s">
        <v>3206</v>
      </c>
      <c r="C643" s="9" t="s">
        <v>34</v>
      </c>
      <c r="D643" s="9" t="s">
        <v>3207</v>
      </c>
      <c r="E643" s="9" t="s">
        <v>35</v>
      </c>
      <c r="F643" s="9" t="s">
        <v>36</v>
      </c>
      <c r="G643" s="9">
        <v>1</v>
      </c>
      <c r="H643" s="9">
        <v>84219999</v>
      </c>
      <c r="I643" s="11" t="s">
        <v>37</v>
      </c>
      <c r="J643" s="12">
        <v>1.6500000000000001E-2</v>
      </c>
      <c r="K643" s="12">
        <v>7.5999999999999998E-2</v>
      </c>
      <c r="L643" s="12">
        <v>5.1999999999999998E-2</v>
      </c>
      <c r="M643" s="13">
        <v>8003453101968</v>
      </c>
      <c r="N643" s="14">
        <v>0.69</v>
      </c>
      <c r="O643" s="14">
        <v>0.75</v>
      </c>
      <c r="P643" s="15">
        <v>45231</v>
      </c>
      <c r="Q643" s="16" t="s">
        <v>3973</v>
      </c>
      <c r="R643" s="17" t="s">
        <v>3974</v>
      </c>
      <c r="S643" s="17" t="s">
        <v>3975</v>
      </c>
      <c r="T643" s="17" t="s">
        <v>3976</v>
      </c>
      <c r="U643" s="17" t="s">
        <v>3977</v>
      </c>
      <c r="V643" s="17" t="s">
        <v>35</v>
      </c>
      <c r="W643" s="17" t="s">
        <v>35</v>
      </c>
      <c r="X643" s="17" t="s">
        <v>3978</v>
      </c>
      <c r="Y643" s="17" t="s">
        <v>35</v>
      </c>
      <c r="Z643" s="17" t="s">
        <v>3979</v>
      </c>
      <c r="AA643" s="17" t="s">
        <v>35</v>
      </c>
      <c r="AB643" s="17" t="s">
        <v>3980</v>
      </c>
      <c r="AC643" s="17" t="s">
        <v>9539</v>
      </c>
      <c r="AD643" s="42">
        <v>298.94</v>
      </c>
      <c r="AE643" s="42">
        <v>314.48</v>
      </c>
      <c r="AF643" s="48"/>
      <c r="AG643" s="44"/>
      <c r="AH643" s="7">
        <f t="shared" si="9"/>
        <v>0</v>
      </c>
      <c r="AI643" s="18"/>
      <c r="AJ643" s="18"/>
    </row>
    <row r="644" spans="1:38" ht="26.65" customHeight="1" x14ac:dyDescent="0.25">
      <c r="A644" s="10" t="s">
        <v>3981</v>
      </c>
      <c r="B644" s="9" t="s">
        <v>3030</v>
      </c>
      <c r="C644" s="9" t="s">
        <v>58</v>
      </c>
      <c r="D644" s="9" t="s">
        <v>3031</v>
      </c>
      <c r="E644" s="9" t="s">
        <v>35</v>
      </c>
      <c r="F644" s="9" t="s">
        <v>36</v>
      </c>
      <c r="G644" s="9">
        <v>1</v>
      </c>
      <c r="H644" s="9">
        <v>84219999</v>
      </c>
      <c r="I644" s="11" t="s">
        <v>37</v>
      </c>
      <c r="J644" s="12">
        <v>1.6500000000000001E-2</v>
      </c>
      <c r="K644" s="12">
        <v>7.5999999999999998E-2</v>
      </c>
      <c r="L644" s="12">
        <v>5.1999999999999998E-2</v>
      </c>
      <c r="M644" s="13">
        <v>8003453101975</v>
      </c>
      <c r="N644" s="14">
        <v>4.5999999999999996</v>
      </c>
      <c r="O644" s="14">
        <v>5.0999999999999996</v>
      </c>
      <c r="P644" s="15" t="s">
        <v>35</v>
      </c>
      <c r="Q644" s="16" t="s">
        <v>3982</v>
      </c>
      <c r="R644" s="17" t="s">
        <v>3983</v>
      </c>
      <c r="S644" s="17" t="s">
        <v>3984</v>
      </c>
      <c r="T644" s="17" t="s">
        <v>3985</v>
      </c>
      <c r="U644" s="17" t="s">
        <v>35</v>
      </c>
      <c r="V644" s="17" t="s">
        <v>35</v>
      </c>
      <c r="W644" s="17" t="s">
        <v>35</v>
      </c>
      <c r="X644" s="17" t="s">
        <v>3986</v>
      </c>
      <c r="Y644" s="17" t="s">
        <v>35</v>
      </c>
      <c r="Z644" s="17" t="s">
        <v>3987</v>
      </c>
      <c r="AA644" s="17" t="s">
        <v>35</v>
      </c>
      <c r="AB644" s="17" t="s">
        <v>35</v>
      </c>
      <c r="AC644" s="17" t="s">
        <v>9539</v>
      </c>
      <c r="AD644" s="42">
        <v>256.5</v>
      </c>
      <c r="AE644" s="42">
        <v>269.83999999999997</v>
      </c>
      <c r="AF644" s="48"/>
      <c r="AG644" s="44"/>
      <c r="AH644" s="7">
        <f t="shared" ref="AH644:AH707" si="10">AG644*AE644</f>
        <v>0</v>
      </c>
      <c r="AI644" s="18"/>
      <c r="AJ644" s="18"/>
    </row>
    <row r="645" spans="1:38" ht="26.65" customHeight="1" x14ac:dyDescent="0.25">
      <c r="A645" s="10" t="s">
        <v>3988</v>
      </c>
      <c r="B645" s="9" t="s">
        <v>3086</v>
      </c>
      <c r="C645" s="9" t="s">
        <v>34</v>
      </c>
      <c r="D645" s="9" t="s">
        <v>3064</v>
      </c>
      <c r="E645" s="9" t="s">
        <v>35</v>
      </c>
      <c r="F645" s="9" t="s">
        <v>36</v>
      </c>
      <c r="G645" s="9">
        <v>1</v>
      </c>
      <c r="H645" s="9">
        <v>84219999</v>
      </c>
      <c r="I645" s="11" t="s">
        <v>37</v>
      </c>
      <c r="J645" s="12">
        <v>1.6500000000000001E-2</v>
      </c>
      <c r="K645" s="12">
        <v>7.5999999999999998E-2</v>
      </c>
      <c r="L645" s="12">
        <v>5.1999999999999998E-2</v>
      </c>
      <c r="M645" s="13">
        <v>8003453103658</v>
      </c>
      <c r="N645" s="14">
        <v>1.34</v>
      </c>
      <c r="O645" s="14">
        <v>1.64</v>
      </c>
      <c r="P645" s="15">
        <v>45231</v>
      </c>
      <c r="Q645" s="16" t="s">
        <v>3989</v>
      </c>
      <c r="R645" s="17" t="s">
        <v>3990</v>
      </c>
      <c r="S645" s="17" t="s">
        <v>3991</v>
      </c>
      <c r="T645" s="17" t="s">
        <v>3992</v>
      </c>
      <c r="U645" s="17" t="s">
        <v>35</v>
      </c>
      <c r="V645" s="17" t="s">
        <v>3993</v>
      </c>
      <c r="W645" s="17" t="s">
        <v>35</v>
      </c>
      <c r="X645" s="17" t="s">
        <v>3994</v>
      </c>
      <c r="Y645" s="17" t="s">
        <v>35</v>
      </c>
      <c r="Z645" s="17" t="s">
        <v>3995</v>
      </c>
      <c r="AA645" s="17" t="s">
        <v>35</v>
      </c>
      <c r="AB645" s="17" t="s">
        <v>3996</v>
      </c>
      <c r="AC645" s="17" t="s">
        <v>9539</v>
      </c>
      <c r="AD645" s="42">
        <v>95.49</v>
      </c>
      <c r="AE645" s="42">
        <v>100.46</v>
      </c>
      <c r="AF645" s="48"/>
      <c r="AG645" s="44"/>
      <c r="AH645" s="7">
        <f t="shared" si="10"/>
        <v>0</v>
      </c>
      <c r="AI645" s="18"/>
      <c r="AJ645" s="18"/>
    </row>
    <row r="646" spans="1:38" ht="26.65" customHeight="1" x14ac:dyDescent="0.25">
      <c r="A646" s="10" t="s">
        <v>3997</v>
      </c>
      <c r="B646" s="9" t="s">
        <v>3206</v>
      </c>
      <c r="C646" s="9" t="s">
        <v>34</v>
      </c>
      <c r="D646" s="9" t="s">
        <v>3207</v>
      </c>
      <c r="E646" s="9" t="s">
        <v>35</v>
      </c>
      <c r="F646" s="9" t="s">
        <v>36</v>
      </c>
      <c r="G646" s="9">
        <v>1</v>
      </c>
      <c r="H646" s="9">
        <v>84219999</v>
      </c>
      <c r="I646" s="11" t="s">
        <v>37</v>
      </c>
      <c r="J646" s="12">
        <v>1.6500000000000001E-2</v>
      </c>
      <c r="K646" s="12">
        <v>7.5999999999999998E-2</v>
      </c>
      <c r="L646" s="12">
        <v>5.1999999999999998E-2</v>
      </c>
      <c r="M646" s="13">
        <v>8003453105232</v>
      </c>
      <c r="N646" s="14">
        <v>1.5</v>
      </c>
      <c r="O646" s="14">
        <v>1.73</v>
      </c>
      <c r="P646" s="15">
        <v>45231</v>
      </c>
      <c r="Q646" s="16" t="s">
        <v>3998</v>
      </c>
      <c r="R646" s="17" t="s">
        <v>3999</v>
      </c>
      <c r="S646" s="17" t="s">
        <v>4000</v>
      </c>
      <c r="T646" s="17" t="s">
        <v>4001</v>
      </c>
      <c r="U646" s="17" t="s">
        <v>4002</v>
      </c>
      <c r="V646" s="17" t="s">
        <v>4003</v>
      </c>
      <c r="W646" s="17" t="s">
        <v>35</v>
      </c>
      <c r="X646" s="17" t="s">
        <v>4004</v>
      </c>
      <c r="Y646" s="17" t="s">
        <v>4005</v>
      </c>
      <c r="Z646" s="17" t="s">
        <v>4006</v>
      </c>
      <c r="AA646" s="17" t="s">
        <v>35</v>
      </c>
      <c r="AB646" s="17" t="s">
        <v>4007</v>
      </c>
      <c r="AC646" s="17" t="s">
        <v>9539</v>
      </c>
      <c r="AD646" s="42">
        <v>90.68</v>
      </c>
      <c r="AE646" s="42">
        <v>95.4</v>
      </c>
      <c r="AF646" s="48"/>
      <c r="AG646" s="44"/>
      <c r="AH646" s="7">
        <f t="shared" si="10"/>
        <v>0</v>
      </c>
      <c r="AI646" s="18"/>
      <c r="AJ646" s="18"/>
    </row>
    <row r="647" spans="1:38" ht="26.65" customHeight="1" x14ac:dyDescent="0.25">
      <c r="A647" s="10" t="s">
        <v>10309</v>
      </c>
      <c r="B647" s="9" t="s">
        <v>3030</v>
      </c>
      <c r="C647" s="9" t="s">
        <v>34</v>
      </c>
      <c r="D647" s="9" t="s">
        <v>3031</v>
      </c>
      <c r="E647" s="9" t="s">
        <v>35</v>
      </c>
      <c r="F647" s="9" t="s">
        <v>36</v>
      </c>
      <c r="G647" s="9">
        <v>5</v>
      </c>
      <c r="H647" s="9">
        <v>84219999</v>
      </c>
      <c r="I647" s="11" t="s">
        <v>37</v>
      </c>
      <c r="J647" s="12">
        <v>1.6500000000000001E-2</v>
      </c>
      <c r="K647" s="12">
        <v>7.5999999999999998E-2</v>
      </c>
      <c r="L647" s="12">
        <v>5.1999999999999998E-2</v>
      </c>
      <c r="M647" s="13">
        <v>8003453801806</v>
      </c>
      <c r="N647" s="14">
        <v>0</v>
      </c>
      <c r="O647" s="14">
        <v>0</v>
      </c>
      <c r="P647" s="15">
        <v>45566</v>
      </c>
      <c r="Q647" s="16" t="s">
        <v>3998</v>
      </c>
      <c r="R647" s="17" t="s">
        <v>35</v>
      </c>
      <c r="S647" s="17" t="s">
        <v>4000</v>
      </c>
      <c r="T647" s="17" t="s">
        <v>4001</v>
      </c>
      <c r="U647" s="17" t="s">
        <v>4002</v>
      </c>
      <c r="V647" s="17" t="s">
        <v>4003</v>
      </c>
      <c r="W647" s="17" t="s">
        <v>35</v>
      </c>
      <c r="X647" s="17" t="s">
        <v>4004</v>
      </c>
      <c r="Y647" s="17" t="s">
        <v>4005</v>
      </c>
      <c r="Z647" s="17" t="s">
        <v>4006</v>
      </c>
      <c r="AA647" s="17" t="s">
        <v>35</v>
      </c>
      <c r="AB647" s="17" t="s">
        <v>4007</v>
      </c>
      <c r="AC647" s="17" t="s">
        <v>9539</v>
      </c>
      <c r="AD647" s="41">
        <v>83.96</v>
      </c>
      <c r="AE647" s="41">
        <v>88.33</v>
      </c>
      <c r="AF647" s="48"/>
      <c r="AG647" s="44"/>
      <c r="AH647" s="7">
        <f t="shared" si="10"/>
        <v>0</v>
      </c>
      <c r="AI647" s="18"/>
      <c r="AJ647" s="18"/>
    </row>
    <row r="648" spans="1:38" ht="26.65" customHeight="1" x14ac:dyDescent="0.25">
      <c r="A648" s="10" t="s">
        <v>4008</v>
      </c>
      <c r="B648" s="9" t="s">
        <v>3086</v>
      </c>
      <c r="C648" s="9" t="s">
        <v>34</v>
      </c>
      <c r="D648" s="9" t="s">
        <v>3064</v>
      </c>
      <c r="E648" s="9" t="s">
        <v>35</v>
      </c>
      <c r="F648" s="9" t="s">
        <v>36</v>
      </c>
      <c r="G648" s="9">
        <v>1</v>
      </c>
      <c r="H648" s="9">
        <v>84219999</v>
      </c>
      <c r="I648" s="11" t="s">
        <v>37</v>
      </c>
      <c r="J648" s="12">
        <v>1.6500000000000001E-2</v>
      </c>
      <c r="K648" s="12">
        <v>7.5999999999999998E-2</v>
      </c>
      <c r="L648" s="12">
        <v>5.1999999999999998E-2</v>
      </c>
      <c r="M648" s="13">
        <v>8003453105249</v>
      </c>
      <c r="N648" s="14">
        <v>0.80500000000000005</v>
      </c>
      <c r="O648" s="14">
        <v>0.9</v>
      </c>
      <c r="P648" s="15">
        <v>45231</v>
      </c>
      <c r="Q648" s="16" t="s">
        <v>3998</v>
      </c>
      <c r="R648" s="17" t="s">
        <v>4009</v>
      </c>
      <c r="S648" s="17" t="s">
        <v>4010</v>
      </c>
      <c r="T648" s="17" t="s">
        <v>35</v>
      </c>
      <c r="U648" s="17" t="s">
        <v>35</v>
      </c>
      <c r="V648" s="17" t="s">
        <v>4011</v>
      </c>
      <c r="W648" s="17" t="s">
        <v>35</v>
      </c>
      <c r="X648" s="17" t="s">
        <v>4012</v>
      </c>
      <c r="Y648" s="17" t="s">
        <v>4013</v>
      </c>
      <c r="Z648" s="17" t="s">
        <v>4014</v>
      </c>
      <c r="AA648" s="17" t="s">
        <v>35</v>
      </c>
      <c r="AB648" s="17" t="s">
        <v>4015</v>
      </c>
      <c r="AC648" s="17" t="s">
        <v>9539</v>
      </c>
      <c r="AD648" s="42">
        <v>51.71</v>
      </c>
      <c r="AE648" s="42">
        <v>54.4</v>
      </c>
      <c r="AF648" s="48"/>
      <c r="AG648" s="44"/>
      <c r="AH648" s="7">
        <f t="shared" si="10"/>
        <v>0</v>
      </c>
      <c r="AI648" s="18"/>
      <c r="AJ648" s="18"/>
    </row>
    <row r="649" spans="1:38" ht="26.65" customHeight="1" x14ac:dyDescent="0.25">
      <c r="A649" s="10" t="s">
        <v>10310</v>
      </c>
      <c r="B649" s="9" t="s">
        <v>3030</v>
      </c>
      <c r="C649" s="9" t="s">
        <v>34</v>
      </c>
      <c r="D649" s="9" t="s">
        <v>3031</v>
      </c>
      <c r="E649" s="9" t="s">
        <v>35</v>
      </c>
      <c r="F649" s="9" t="s">
        <v>36</v>
      </c>
      <c r="G649" s="9">
        <v>5</v>
      </c>
      <c r="H649" s="9">
        <v>84219999</v>
      </c>
      <c r="I649" s="11" t="s">
        <v>37</v>
      </c>
      <c r="J649" s="12">
        <v>1.6500000000000001E-2</v>
      </c>
      <c r="K649" s="12">
        <v>7.5999999999999998E-2</v>
      </c>
      <c r="L649" s="12">
        <v>5.1999999999999998E-2</v>
      </c>
      <c r="M649" s="13">
        <v>8003453801813</v>
      </c>
      <c r="N649" s="14">
        <v>0</v>
      </c>
      <c r="O649" s="14">
        <v>0</v>
      </c>
      <c r="P649" s="15">
        <v>45566</v>
      </c>
      <c r="Q649" s="16" t="s">
        <v>3998</v>
      </c>
      <c r="R649" s="17" t="s">
        <v>35</v>
      </c>
      <c r="S649" s="17" t="s">
        <v>4010</v>
      </c>
      <c r="T649" s="17" t="s">
        <v>35</v>
      </c>
      <c r="U649" s="17" t="s">
        <v>35</v>
      </c>
      <c r="V649" s="17" t="s">
        <v>4011</v>
      </c>
      <c r="W649" s="17" t="s">
        <v>35</v>
      </c>
      <c r="X649" s="17" t="s">
        <v>4012</v>
      </c>
      <c r="Y649" s="17" t="s">
        <v>4013</v>
      </c>
      <c r="Z649" s="17" t="s">
        <v>4014</v>
      </c>
      <c r="AA649" s="17" t="s">
        <v>35</v>
      </c>
      <c r="AB649" s="17" t="s">
        <v>4015</v>
      </c>
      <c r="AC649" s="17" t="s">
        <v>9539</v>
      </c>
      <c r="AD649" s="41">
        <v>35.369999999999997</v>
      </c>
      <c r="AE649" s="41">
        <v>37.21</v>
      </c>
      <c r="AF649" s="48"/>
      <c r="AG649" s="44"/>
      <c r="AH649" s="7">
        <f t="shared" si="10"/>
        <v>0</v>
      </c>
      <c r="AI649" s="18"/>
      <c r="AJ649" s="18"/>
    </row>
    <row r="650" spans="1:38" ht="26.65" customHeight="1" x14ac:dyDescent="0.25">
      <c r="A650" s="10" t="s">
        <v>4016</v>
      </c>
      <c r="B650" s="9" t="s">
        <v>3030</v>
      </c>
      <c r="C650" s="9" t="s">
        <v>34</v>
      </c>
      <c r="D650" s="9" t="s">
        <v>3207</v>
      </c>
      <c r="E650" s="9" t="s">
        <v>35</v>
      </c>
      <c r="F650" s="9" t="s">
        <v>36</v>
      </c>
      <c r="G650" s="9">
        <v>1</v>
      </c>
      <c r="H650" s="9">
        <v>84219999</v>
      </c>
      <c r="I650" s="11" t="s">
        <v>37</v>
      </c>
      <c r="J650" s="12">
        <v>1.6500000000000001E-2</v>
      </c>
      <c r="K650" s="12">
        <v>7.5999999999999998E-2</v>
      </c>
      <c r="L650" s="12">
        <v>5.1999999999999998E-2</v>
      </c>
      <c r="M650" s="13">
        <v>8003453103955</v>
      </c>
      <c r="N650" s="14">
        <v>0.85</v>
      </c>
      <c r="O650" s="14">
        <v>1</v>
      </c>
      <c r="P650" s="15">
        <v>44868</v>
      </c>
      <c r="Q650" s="16" t="s">
        <v>4017</v>
      </c>
      <c r="R650" s="17" t="s">
        <v>8675</v>
      </c>
      <c r="S650" s="17" t="s">
        <v>4018</v>
      </c>
      <c r="T650" s="17" t="s">
        <v>35</v>
      </c>
      <c r="U650" s="17" t="s">
        <v>35</v>
      </c>
      <c r="V650" s="17" t="s">
        <v>35</v>
      </c>
      <c r="W650" s="17" t="s">
        <v>35</v>
      </c>
      <c r="X650" s="17" t="s">
        <v>35</v>
      </c>
      <c r="Y650" s="17" t="s">
        <v>35</v>
      </c>
      <c r="Z650" s="17" t="s">
        <v>4019</v>
      </c>
      <c r="AA650" s="17" t="s">
        <v>35</v>
      </c>
      <c r="AB650" s="17" t="s">
        <v>4020</v>
      </c>
      <c r="AC650" s="17" t="s">
        <v>9539</v>
      </c>
      <c r="AD650" s="42">
        <v>58.44</v>
      </c>
      <c r="AE650" s="42">
        <v>61.48</v>
      </c>
      <c r="AF650" s="48"/>
      <c r="AG650" s="44"/>
      <c r="AH650" s="7">
        <f t="shared" si="10"/>
        <v>0</v>
      </c>
      <c r="AI650" s="18"/>
      <c r="AJ650" s="18"/>
    </row>
    <row r="651" spans="1:38" ht="26.65" customHeight="1" x14ac:dyDescent="0.25">
      <c r="A651" s="10" t="s">
        <v>4021</v>
      </c>
      <c r="B651" s="9" t="s">
        <v>3063</v>
      </c>
      <c r="C651" s="9" t="s">
        <v>34</v>
      </c>
      <c r="D651" s="9" t="s">
        <v>3064</v>
      </c>
      <c r="E651" s="9" t="s">
        <v>35</v>
      </c>
      <c r="F651" s="9" t="s">
        <v>36</v>
      </c>
      <c r="G651" s="9">
        <v>1</v>
      </c>
      <c r="H651" s="9">
        <v>84219999</v>
      </c>
      <c r="I651" s="11" t="s">
        <v>37</v>
      </c>
      <c r="J651" s="12">
        <v>1.6500000000000001E-2</v>
      </c>
      <c r="K651" s="12">
        <v>7.5999999999999998E-2</v>
      </c>
      <c r="L651" s="12">
        <v>5.1999999999999998E-2</v>
      </c>
      <c r="M651" s="13">
        <v>8003453103962</v>
      </c>
      <c r="N651" s="14">
        <v>0.26800000000000002</v>
      </c>
      <c r="O651" s="14">
        <v>0.34</v>
      </c>
      <c r="P651" s="15">
        <v>44896</v>
      </c>
      <c r="Q651" s="16" t="s">
        <v>4017</v>
      </c>
      <c r="R651" s="17" t="s">
        <v>4022</v>
      </c>
      <c r="S651" s="17" t="s">
        <v>4023</v>
      </c>
      <c r="T651" s="17" t="s">
        <v>4024</v>
      </c>
      <c r="U651" s="17" t="s">
        <v>35</v>
      </c>
      <c r="V651" s="17" t="s">
        <v>35</v>
      </c>
      <c r="W651" s="17" t="s">
        <v>35</v>
      </c>
      <c r="X651" s="17" t="s">
        <v>35</v>
      </c>
      <c r="Y651" s="17" t="s">
        <v>35</v>
      </c>
      <c r="Z651" s="17" t="s">
        <v>4025</v>
      </c>
      <c r="AA651" s="17" t="s">
        <v>35</v>
      </c>
      <c r="AB651" s="17" t="s">
        <v>4026</v>
      </c>
      <c r="AC651" s="17" t="s">
        <v>9539</v>
      </c>
      <c r="AD651" s="42">
        <v>35.53</v>
      </c>
      <c r="AE651" s="42">
        <v>37.380000000000003</v>
      </c>
      <c r="AF651" s="48"/>
      <c r="AG651" s="44"/>
      <c r="AH651" s="7">
        <f t="shared" si="10"/>
        <v>0</v>
      </c>
      <c r="AI651" s="18"/>
      <c r="AJ651" s="18"/>
    </row>
    <row r="652" spans="1:38" ht="26.65" customHeight="1" x14ac:dyDescent="0.25">
      <c r="A652" s="10" t="s">
        <v>9655</v>
      </c>
      <c r="B652" s="9" t="s">
        <v>3030</v>
      </c>
      <c r="C652" s="9" t="s">
        <v>34</v>
      </c>
      <c r="D652" s="9" t="s">
        <v>3031</v>
      </c>
      <c r="E652" s="9" t="s">
        <v>35</v>
      </c>
      <c r="F652" s="9" t="s">
        <v>36</v>
      </c>
      <c r="G652" s="9">
        <v>1</v>
      </c>
      <c r="H652" s="9">
        <v>84219999</v>
      </c>
      <c r="I652" s="11" t="s">
        <v>37</v>
      </c>
      <c r="J652" s="12">
        <v>1.6500000000000001E-2</v>
      </c>
      <c r="K652" s="12">
        <v>7.5999999999999998E-2</v>
      </c>
      <c r="L652" s="12">
        <v>5.1999999999999998E-2</v>
      </c>
      <c r="M652" s="13">
        <v>8003453105492</v>
      </c>
      <c r="N652" s="14">
        <v>3.42</v>
      </c>
      <c r="O652" s="14">
        <v>3.98</v>
      </c>
      <c r="P652" s="15">
        <v>45474</v>
      </c>
      <c r="Q652" s="16" t="s">
        <v>9656</v>
      </c>
      <c r="R652" s="17" t="s">
        <v>9657</v>
      </c>
      <c r="S652" s="17" t="s">
        <v>35</v>
      </c>
      <c r="T652" s="17" t="s">
        <v>35</v>
      </c>
      <c r="U652" s="17" t="s">
        <v>35</v>
      </c>
      <c r="V652" s="17" t="s">
        <v>35</v>
      </c>
      <c r="W652" s="17" t="s">
        <v>35</v>
      </c>
      <c r="X652" s="17" t="s">
        <v>35</v>
      </c>
      <c r="Y652" s="17" t="s">
        <v>35</v>
      </c>
      <c r="Z652" s="17" t="s">
        <v>9658</v>
      </c>
      <c r="AA652" s="17" t="s">
        <v>35</v>
      </c>
      <c r="AB652" s="17" t="s">
        <v>9659</v>
      </c>
      <c r="AC652" s="17" t="s">
        <v>9539</v>
      </c>
      <c r="AD652" s="42">
        <v>338.15</v>
      </c>
      <c r="AE652" s="42">
        <v>355.73</v>
      </c>
      <c r="AF652" s="48"/>
      <c r="AG652" s="44"/>
      <c r="AH652" s="7">
        <f t="shared" si="10"/>
        <v>0</v>
      </c>
      <c r="AI652" s="18"/>
      <c r="AJ652" s="18"/>
    </row>
    <row r="653" spans="1:38" ht="26.65" customHeight="1" x14ac:dyDescent="0.25">
      <c r="A653" s="10" t="s">
        <v>4027</v>
      </c>
      <c r="B653" s="9" t="s">
        <v>3030</v>
      </c>
      <c r="C653" s="9" t="s">
        <v>34</v>
      </c>
      <c r="D653" s="9" t="s">
        <v>3031</v>
      </c>
      <c r="E653" s="9" t="s">
        <v>35</v>
      </c>
      <c r="F653" s="9" t="s">
        <v>36</v>
      </c>
      <c r="G653" s="9">
        <v>1</v>
      </c>
      <c r="H653" s="9">
        <v>84219999</v>
      </c>
      <c r="I653" s="11" t="s">
        <v>37</v>
      </c>
      <c r="J653" s="12">
        <v>1.6500000000000001E-2</v>
      </c>
      <c r="K653" s="12">
        <v>7.5999999999999998E-2</v>
      </c>
      <c r="L653" s="12">
        <v>5.1999999999999998E-2</v>
      </c>
      <c r="M653" s="13">
        <v>8003453102569</v>
      </c>
      <c r="N653" s="14">
        <v>1.663</v>
      </c>
      <c r="O653" s="14">
        <v>2</v>
      </c>
      <c r="P653" s="15" t="s">
        <v>35</v>
      </c>
      <c r="Q653" s="16" t="s">
        <v>8676</v>
      </c>
      <c r="R653" s="17" t="s">
        <v>8677</v>
      </c>
      <c r="S653" s="17" t="s">
        <v>4028</v>
      </c>
      <c r="T653" s="17" t="s">
        <v>4029</v>
      </c>
      <c r="U653" s="17" t="s">
        <v>35</v>
      </c>
      <c r="V653" s="17" t="s">
        <v>4030</v>
      </c>
      <c r="W653" s="17" t="s">
        <v>35</v>
      </c>
      <c r="X653" s="17" t="s">
        <v>4031</v>
      </c>
      <c r="Y653" s="17" t="s">
        <v>4032</v>
      </c>
      <c r="Z653" s="17" t="s">
        <v>4033</v>
      </c>
      <c r="AA653" s="17" t="s">
        <v>35</v>
      </c>
      <c r="AB653" s="17" t="s">
        <v>4034</v>
      </c>
      <c r="AC653" s="17" t="s">
        <v>9539</v>
      </c>
      <c r="AD653" s="42">
        <v>172.39</v>
      </c>
      <c r="AE653" s="42">
        <v>181.35</v>
      </c>
      <c r="AF653" s="48"/>
      <c r="AG653" s="44"/>
      <c r="AH653" s="7">
        <f t="shared" si="10"/>
        <v>0</v>
      </c>
      <c r="AI653" s="18"/>
      <c r="AJ653" s="18"/>
    </row>
    <row r="654" spans="1:38" ht="26.65" customHeight="1" x14ac:dyDescent="0.25">
      <c r="A654" s="10" t="s">
        <v>4035</v>
      </c>
      <c r="B654" s="9" t="s">
        <v>3063</v>
      </c>
      <c r="C654" s="9" t="s">
        <v>58</v>
      </c>
      <c r="D654" s="9" t="s">
        <v>3064</v>
      </c>
      <c r="E654" s="9" t="s">
        <v>35</v>
      </c>
      <c r="F654" s="9" t="s">
        <v>36</v>
      </c>
      <c r="G654" s="9">
        <v>1</v>
      </c>
      <c r="H654" s="9">
        <v>84219999</v>
      </c>
      <c r="I654" s="11" t="s">
        <v>37</v>
      </c>
      <c r="J654" s="12">
        <v>1.6500000000000001E-2</v>
      </c>
      <c r="K654" s="12">
        <v>7.5999999999999998E-2</v>
      </c>
      <c r="L654" s="12">
        <v>5.1999999999999998E-2</v>
      </c>
      <c r="M654" s="13">
        <v>8003453103269</v>
      </c>
      <c r="N654" s="14">
        <v>1.5</v>
      </c>
      <c r="O654" s="14">
        <v>1.728</v>
      </c>
      <c r="P654" s="15" t="s">
        <v>35</v>
      </c>
      <c r="Q654" s="16" t="s">
        <v>4036</v>
      </c>
      <c r="R654" s="17" t="s">
        <v>35</v>
      </c>
      <c r="S654" s="17" t="s">
        <v>4037</v>
      </c>
      <c r="T654" s="17" t="s">
        <v>35</v>
      </c>
      <c r="U654" s="17" t="s">
        <v>4038</v>
      </c>
      <c r="V654" s="17" t="s">
        <v>4039</v>
      </c>
      <c r="W654" s="17" t="s">
        <v>4040</v>
      </c>
      <c r="X654" s="17" t="s">
        <v>35</v>
      </c>
      <c r="Y654" s="17" t="s">
        <v>35</v>
      </c>
      <c r="Z654" s="17" t="s">
        <v>4041</v>
      </c>
      <c r="AA654" s="17" t="s">
        <v>35</v>
      </c>
      <c r="AB654" s="17" t="s">
        <v>35</v>
      </c>
      <c r="AC654" s="17" t="s">
        <v>9539</v>
      </c>
      <c r="AD654" s="41">
        <v>132.77000000000001</v>
      </c>
      <c r="AE654" s="41">
        <v>139.66999999999999</v>
      </c>
      <c r="AF654" s="48"/>
      <c r="AG654" s="44"/>
      <c r="AH654" s="7">
        <f t="shared" si="10"/>
        <v>0</v>
      </c>
      <c r="AI654" s="18"/>
      <c r="AJ654" s="18"/>
    </row>
    <row r="655" spans="1:38" ht="26.65" customHeight="1" x14ac:dyDescent="0.25">
      <c r="A655" s="10" t="s">
        <v>4042</v>
      </c>
      <c r="B655" s="9" t="s">
        <v>3030</v>
      </c>
      <c r="C655" s="9" t="s">
        <v>43</v>
      </c>
      <c r="D655" s="9" t="s">
        <v>3031</v>
      </c>
      <c r="E655" s="9" t="s">
        <v>35</v>
      </c>
      <c r="F655" s="9" t="s">
        <v>36</v>
      </c>
      <c r="G655" s="9">
        <v>5</v>
      </c>
      <c r="H655" s="9">
        <v>84219999</v>
      </c>
      <c r="I655" s="11" t="s">
        <v>37</v>
      </c>
      <c r="J655" s="12">
        <v>1.6500000000000001E-2</v>
      </c>
      <c r="K655" s="12">
        <v>7.5999999999999998E-2</v>
      </c>
      <c r="L655" s="12">
        <v>5.1999999999999998E-2</v>
      </c>
      <c r="M655" s="13">
        <v>8003453101746</v>
      </c>
      <c r="N655" s="14">
        <v>1.0820000000000001</v>
      </c>
      <c r="O655" s="14">
        <v>1.3520000000000001</v>
      </c>
      <c r="P655" s="15" t="s">
        <v>35</v>
      </c>
      <c r="Q655" s="16" t="s">
        <v>4043</v>
      </c>
      <c r="R655" s="17" t="s">
        <v>35</v>
      </c>
      <c r="S655" s="17" t="s">
        <v>4044</v>
      </c>
      <c r="T655" s="17" t="s">
        <v>35</v>
      </c>
      <c r="U655" s="17" t="s">
        <v>35</v>
      </c>
      <c r="V655" s="17" t="s">
        <v>4045</v>
      </c>
      <c r="W655" s="17" t="s">
        <v>35</v>
      </c>
      <c r="X655" s="17" t="s">
        <v>4046</v>
      </c>
      <c r="Y655" s="17" t="s">
        <v>4047</v>
      </c>
      <c r="Z655" s="17" t="s">
        <v>4048</v>
      </c>
      <c r="AA655" s="17" t="s">
        <v>35</v>
      </c>
      <c r="AB655" s="17" t="s">
        <v>4049</v>
      </c>
      <c r="AC655" s="17" t="s">
        <v>9539</v>
      </c>
      <c r="AD655" s="41">
        <v>45.95</v>
      </c>
      <c r="AE655" s="41">
        <v>48.34</v>
      </c>
      <c r="AF655" s="48"/>
      <c r="AG655" s="44"/>
      <c r="AH655" s="7">
        <f t="shared" si="10"/>
        <v>0</v>
      </c>
      <c r="AI655" s="18"/>
      <c r="AJ655" s="18"/>
      <c r="AL655" s="18"/>
    </row>
    <row r="656" spans="1:38" ht="26.65" customHeight="1" x14ac:dyDescent="0.25">
      <c r="A656" s="10" t="s">
        <v>4050</v>
      </c>
      <c r="B656" s="9" t="s">
        <v>3030</v>
      </c>
      <c r="C656" s="9" t="s">
        <v>43</v>
      </c>
      <c r="D656" s="9" t="s">
        <v>3031</v>
      </c>
      <c r="E656" s="9" t="s">
        <v>35</v>
      </c>
      <c r="F656" s="9" t="s">
        <v>36</v>
      </c>
      <c r="G656" s="9">
        <v>1</v>
      </c>
      <c r="H656" s="9">
        <v>84219999</v>
      </c>
      <c r="I656" s="11" t="s">
        <v>37</v>
      </c>
      <c r="J656" s="12">
        <v>1.6500000000000001E-2</v>
      </c>
      <c r="K656" s="12">
        <v>7.5999999999999998E-2</v>
      </c>
      <c r="L656" s="12">
        <v>5.1999999999999998E-2</v>
      </c>
      <c r="M656" s="13">
        <v>8003453101845</v>
      </c>
      <c r="N656" s="14">
        <v>0.19</v>
      </c>
      <c r="O656" s="14">
        <v>0.28499999999999998</v>
      </c>
      <c r="P656" s="15" t="s">
        <v>35</v>
      </c>
      <c r="Q656" s="16" t="s">
        <v>4051</v>
      </c>
      <c r="R656" s="17" t="s">
        <v>35</v>
      </c>
      <c r="S656" s="17" t="s">
        <v>35</v>
      </c>
      <c r="T656" s="17" t="s">
        <v>4052</v>
      </c>
      <c r="U656" s="17" t="s">
        <v>4053</v>
      </c>
      <c r="V656" s="17" t="s">
        <v>35</v>
      </c>
      <c r="W656" s="17" t="s">
        <v>35</v>
      </c>
      <c r="X656" s="17" t="s">
        <v>4054</v>
      </c>
      <c r="Y656" s="17" t="s">
        <v>35</v>
      </c>
      <c r="Z656" s="17" t="s">
        <v>35</v>
      </c>
      <c r="AA656" s="17" t="s">
        <v>35</v>
      </c>
      <c r="AB656" s="17" t="s">
        <v>35</v>
      </c>
      <c r="AC656" s="17" t="s">
        <v>9539</v>
      </c>
      <c r="AD656" s="41">
        <v>47.2</v>
      </c>
      <c r="AE656" s="41">
        <v>49.65</v>
      </c>
      <c r="AF656" s="48"/>
      <c r="AG656" s="44"/>
      <c r="AH656" s="7">
        <f t="shared" si="10"/>
        <v>0</v>
      </c>
      <c r="AI656" s="18"/>
      <c r="AJ656" s="18"/>
    </row>
    <row r="657" spans="1:38" ht="26.65" customHeight="1" x14ac:dyDescent="0.25">
      <c r="A657" s="10" t="s">
        <v>4055</v>
      </c>
      <c r="B657" s="9" t="s">
        <v>3030</v>
      </c>
      <c r="C657" s="9" t="s">
        <v>43</v>
      </c>
      <c r="D657" s="9" t="s">
        <v>3031</v>
      </c>
      <c r="E657" s="9" t="s">
        <v>35</v>
      </c>
      <c r="F657" s="9" t="s">
        <v>36</v>
      </c>
      <c r="G657" s="9">
        <v>5</v>
      </c>
      <c r="H657" s="9">
        <v>84219999</v>
      </c>
      <c r="I657" s="11" t="s">
        <v>37</v>
      </c>
      <c r="J657" s="12">
        <v>1.6500000000000001E-2</v>
      </c>
      <c r="K657" s="12">
        <v>7.5999999999999998E-2</v>
      </c>
      <c r="L657" s="12">
        <v>5.1999999999999998E-2</v>
      </c>
      <c r="M657" s="13">
        <v>8003453101852</v>
      </c>
      <c r="N657" s="14">
        <v>0.16700000000000001</v>
      </c>
      <c r="O657" s="14">
        <v>0.18</v>
      </c>
      <c r="P657" s="15" t="s">
        <v>35</v>
      </c>
      <c r="Q657" s="16" t="s">
        <v>4056</v>
      </c>
      <c r="R657" s="17">
        <v>13717532754</v>
      </c>
      <c r="S657" s="17" t="s">
        <v>4057</v>
      </c>
      <c r="T657" s="17" t="s">
        <v>4058</v>
      </c>
      <c r="U657" s="17" t="s">
        <v>4059</v>
      </c>
      <c r="V657" s="17" t="s">
        <v>4060</v>
      </c>
      <c r="W657" s="17" t="s">
        <v>35</v>
      </c>
      <c r="X657" s="17" t="s">
        <v>4061</v>
      </c>
      <c r="Y657" s="17" t="s">
        <v>4062</v>
      </c>
      <c r="Z657" s="17" t="s">
        <v>35</v>
      </c>
      <c r="AA657" s="17" t="s">
        <v>35</v>
      </c>
      <c r="AB657" s="17" t="s">
        <v>35</v>
      </c>
      <c r="AC657" s="17" t="s">
        <v>9539</v>
      </c>
      <c r="AD657" s="42">
        <v>33.229999999999997</v>
      </c>
      <c r="AE657" s="42">
        <v>34.96</v>
      </c>
      <c r="AF657" s="48"/>
      <c r="AG657" s="44"/>
      <c r="AH657" s="7">
        <f t="shared" si="10"/>
        <v>0</v>
      </c>
      <c r="AI657" s="18"/>
      <c r="AJ657" s="18"/>
    </row>
    <row r="658" spans="1:38" ht="26.65" customHeight="1" x14ac:dyDescent="0.25">
      <c r="A658" s="38" t="s">
        <v>4063</v>
      </c>
      <c r="B658" s="9" t="s">
        <v>3030</v>
      </c>
      <c r="C658" s="9" t="s">
        <v>58</v>
      </c>
      <c r="D658" s="9" t="s">
        <v>3031</v>
      </c>
      <c r="E658" s="9" t="s">
        <v>35</v>
      </c>
      <c r="F658" s="9" t="s">
        <v>2072</v>
      </c>
      <c r="G658" s="9">
        <v>1</v>
      </c>
      <c r="H658" s="9">
        <v>84219999</v>
      </c>
      <c r="I658" s="11" t="s">
        <v>2073</v>
      </c>
      <c r="J658" s="12">
        <v>1.6500000000000001E-2</v>
      </c>
      <c r="K658" s="12">
        <v>7.5999999999999998E-2</v>
      </c>
      <c r="L658" s="12">
        <v>0</v>
      </c>
      <c r="M658" s="13">
        <v>8003453101913</v>
      </c>
      <c r="N658" s="14">
        <v>3.12</v>
      </c>
      <c r="O658" s="14">
        <v>3.45</v>
      </c>
      <c r="P658" s="15" t="s">
        <v>35</v>
      </c>
      <c r="Q658" s="16" t="s">
        <v>4064</v>
      </c>
      <c r="R658" s="17" t="s">
        <v>4065</v>
      </c>
      <c r="S658" s="17" t="s">
        <v>4066</v>
      </c>
      <c r="T658" s="17" t="s">
        <v>4067</v>
      </c>
      <c r="U658" s="17" t="s">
        <v>4068</v>
      </c>
      <c r="V658" s="17" t="s">
        <v>4069</v>
      </c>
      <c r="W658" s="17" t="s">
        <v>4070</v>
      </c>
      <c r="X658" s="17" t="s">
        <v>4071</v>
      </c>
      <c r="Y658" s="17" t="s">
        <v>4072</v>
      </c>
      <c r="Z658" s="17" t="s">
        <v>4073</v>
      </c>
      <c r="AA658" s="17" t="s">
        <v>4074</v>
      </c>
      <c r="AB658" s="17" t="s">
        <v>4075</v>
      </c>
      <c r="AC658" s="17" t="s">
        <v>9538</v>
      </c>
      <c r="AD658" s="41">
        <v>152.35</v>
      </c>
      <c r="AE658" s="41">
        <v>152.35</v>
      </c>
      <c r="AF658" s="48"/>
      <c r="AG658" s="44"/>
      <c r="AH658" s="7">
        <f t="shared" si="10"/>
        <v>0</v>
      </c>
      <c r="AI658" s="18"/>
      <c r="AJ658" s="18"/>
    </row>
    <row r="659" spans="1:38" ht="26.65" customHeight="1" x14ac:dyDescent="0.25">
      <c r="A659" s="10" t="s">
        <v>4076</v>
      </c>
      <c r="B659" s="9" t="s">
        <v>3030</v>
      </c>
      <c r="C659" s="9" t="s">
        <v>34</v>
      </c>
      <c r="D659" s="9" t="s">
        <v>3031</v>
      </c>
      <c r="E659" s="9" t="s">
        <v>35</v>
      </c>
      <c r="F659" s="9" t="s">
        <v>36</v>
      </c>
      <c r="G659" s="9">
        <v>1</v>
      </c>
      <c r="H659" s="9">
        <v>84219999</v>
      </c>
      <c r="I659" s="11" t="s">
        <v>37</v>
      </c>
      <c r="J659" s="12">
        <v>1.6500000000000001E-2</v>
      </c>
      <c r="K659" s="12">
        <v>7.5999999999999998E-2</v>
      </c>
      <c r="L659" s="12">
        <v>5.1999999999999998E-2</v>
      </c>
      <c r="M659" s="13">
        <v>8003453102514</v>
      </c>
      <c r="N659" s="14">
        <v>4.4000000000000004</v>
      </c>
      <c r="O659" s="14">
        <v>5</v>
      </c>
      <c r="P659" s="15">
        <v>44774</v>
      </c>
      <c r="Q659" s="16" t="s">
        <v>4077</v>
      </c>
      <c r="R659" s="17" t="s">
        <v>4078</v>
      </c>
      <c r="S659" s="17" t="s">
        <v>4079</v>
      </c>
      <c r="T659" s="17" t="s">
        <v>4080</v>
      </c>
      <c r="U659" s="17" t="s">
        <v>35</v>
      </c>
      <c r="V659" s="17" t="s">
        <v>4081</v>
      </c>
      <c r="W659" s="17" t="s">
        <v>35</v>
      </c>
      <c r="X659" s="17" t="s">
        <v>4082</v>
      </c>
      <c r="Y659" s="17" t="s">
        <v>35</v>
      </c>
      <c r="Z659" s="17" t="s">
        <v>3659</v>
      </c>
      <c r="AA659" s="17" t="s">
        <v>35</v>
      </c>
      <c r="AB659" s="17" t="s">
        <v>4083</v>
      </c>
      <c r="AC659" s="17" t="s">
        <v>9539</v>
      </c>
      <c r="AD659" s="41">
        <v>210.8</v>
      </c>
      <c r="AE659" s="41">
        <v>221.76</v>
      </c>
      <c r="AF659" s="48"/>
      <c r="AG659" s="44"/>
      <c r="AH659" s="7">
        <f t="shared" si="10"/>
        <v>0</v>
      </c>
      <c r="AI659" s="18"/>
      <c r="AJ659" s="18"/>
    </row>
    <row r="660" spans="1:38" ht="26.65" customHeight="1" x14ac:dyDescent="0.25">
      <c r="A660" s="10" t="s">
        <v>4084</v>
      </c>
      <c r="B660" s="9" t="s">
        <v>3063</v>
      </c>
      <c r="C660" s="9" t="s">
        <v>58</v>
      </c>
      <c r="D660" s="9" t="s">
        <v>3064</v>
      </c>
      <c r="E660" s="9" t="s">
        <v>35</v>
      </c>
      <c r="F660" s="9" t="s">
        <v>36</v>
      </c>
      <c r="G660" s="9">
        <v>1</v>
      </c>
      <c r="H660" s="9">
        <v>84219999</v>
      </c>
      <c r="I660" s="11" t="s">
        <v>37</v>
      </c>
      <c r="J660" s="12">
        <v>1.6500000000000001E-2</v>
      </c>
      <c r="K660" s="12">
        <v>7.5999999999999998E-2</v>
      </c>
      <c r="L660" s="12">
        <v>5.1999999999999998E-2</v>
      </c>
      <c r="M660" s="13">
        <v>8003453102101</v>
      </c>
      <c r="N660" s="14">
        <v>0.72</v>
      </c>
      <c r="O660" s="14">
        <v>0.9</v>
      </c>
      <c r="P660" s="15" t="s">
        <v>35</v>
      </c>
      <c r="Q660" s="16" t="s">
        <v>4085</v>
      </c>
      <c r="R660" s="17" t="s">
        <v>35</v>
      </c>
      <c r="S660" s="17" t="s">
        <v>4086</v>
      </c>
      <c r="T660" s="17" t="s">
        <v>4087</v>
      </c>
      <c r="U660" s="17" t="s">
        <v>4088</v>
      </c>
      <c r="V660" s="17" t="s">
        <v>4089</v>
      </c>
      <c r="W660" s="17" t="s">
        <v>4090</v>
      </c>
      <c r="X660" s="17" t="s">
        <v>4091</v>
      </c>
      <c r="Y660" s="17" t="s">
        <v>4092</v>
      </c>
      <c r="Z660" s="17" t="s">
        <v>4093</v>
      </c>
      <c r="AA660" s="17" t="s">
        <v>35</v>
      </c>
      <c r="AB660" s="17" t="s">
        <v>4094</v>
      </c>
      <c r="AC660" s="17" t="s">
        <v>9539</v>
      </c>
      <c r="AD660" s="42">
        <v>105.02</v>
      </c>
      <c r="AE660" s="42">
        <v>110.48</v>
      </c>
      <c r="AF660" s="48"/>
      <c r="AG660" s="44"/>
      <c r="AH660" s="7">
        <f t="shared" si="10"/>
        <v>0</v>
      </c>
      <c r="AI660" s="18"/>
      <c r="AJ660" s="18"/>
    </row>
    <row r="661" spans="1:38" ht="26.65" customHeight="1" x14ac:dyDescent="0.25">
      <c r="A661" s="10" t="s">
        <v>4095</v>
      </c>
      <c r="B661" s="9" t="s">
        <v>3030</v>
      </c>
      <c r="C661" s="9" t="s">
        <v>58</v>
      </c>
      <c r="D661" s="9" t="s">
        <v>3031</v>
      </c>
      <c r="E661" s="9" t="s">
        <v>35</v>
      </c>
      <c r="F661" s="9" t="s">
        <v>36</v>
      </c>
      <c r="G661" s="9">
        <v>1</v>
      </c>
      <c r="H661" s="9">
        <v>84219999</v>
      </c>
      <c r="I661" s="11" t="s">
        <v>37</v>
      </c>
      <c r="J661" s="12">
        <v>1.6500000000000001E-2</v>
      </c>
      <c r="K661" s="12">
        <v>7.5999999999999998E-2</v>
      </c>
      <c r="L661" s="12">
        <v>5.1999999999999998E-2</v>
      </c>
      <c r="M661" s="13">
        <v>8003453102095</v>
      </c>
      <c r="N661" s="14">
        <v>2.96</v>
      </c>
      <c r="O661" s="14">
        <v>3.32</v>
      </c>
      <c r="P661" s="15" t="s">
        <v>35</v>
      </c>
      <c r="Q661" s="16" t="s">
        <v>4085</v>
      </c>
      <c r="R661" s="17" t="s">
        <v>35</v>
      </c>
      <c r="S661" s="17" t="s">
        <v>4096</v>
      </c>
      <c r="T661" s="17" t="s">
        <v>4097</v>
      </c>
      <c r="U661" s="17" t="s">
        <v>4098</v>
      </c>
      <c r="V661" s="17" t="s">
        <v>4099</v>
      </c>
      <c r="W661" s="17" t="s">
        <v>4100</v>
      </c>
      <c r="X661" s="17" t="s">
        <v>4101</v>
      </c>
      <c r="Y661" s="17" t="s">
        <v>4102</v>
      </c>
      <c r="Z661" s="17" t="s">
        <v>4103</v>
      </c>
      <c r="AA661" s="17" t="s">
        <v>35</v>
      </c>
      <c r="AB661" s="17" t="s">
        <v>4104</v>
      </c>
      <c r="AC661" s="17" t="s">
        <v>9539</v>
      </c>
      <c r="AD661" s="41">
        <v>159.35</v>
      </c>
      <c r="AE661" s="41">
        <v>167.64</v>
      </c>
      <c r="AF661" s="48"/>
      <c r="AG661" s="44"/>
      <c r="AH661" s="7">
        <f t="shared" si="10"/>
        <v>0</v>
      </c>
      <c r="AI661" s="18"/>
      <c r="AJ661" s="18"/>
      <c r="AL661" s="18"/>
    </row>
    <row r="662" spans="1:38" ht="26.65" customHeight="1" x14ac:dyDescent="0.25">
      <c r="A662" s="10" t="s">
        <v>4105</v>
      </c>
      <c r="B662" s="9" t="s">
        <v>3206</v>
      </c>
      <c r="C662" s="9" t="s">
        <v>34</v>
      </c>
      <c r="D662" s="9" t="s">
        <v>3207</v>
      </c>
      <c r="E662" s="9" t="s">
        <v>122</v>
      </c>
      <c r="F662" s="9" t="s">
        <v>36</v>
      </c>
      <c r="G662" s="9">
        <v>1</v>
      </c>
      <c r="H662" s="9">
        <v>84219999</v>
      </c>
      <c r="I662" s="11" t="s">
        <v>37</v>
      </c>
      <c r="J662" s="12">
        <v>1.6500000000000001E-2</v>
      </c>
      <c r="K662" s="12">
        <v>7.5999999999999998E-2</v>
      </c>
      <c r="L662" s="12">
        <v>5.1999999999999998E-2</v>
      </c>
      <c r="M662" s="13">
        <v>8003453103245</v>
      </c>
      <c r="N662" s="14">
        <v>0.70799999999999996</v>
      </c>
      <c r="O662" s="14">
        <v>0.80100000000000005</v>
      </c>
      <c r="P662" s="15">
        <v>45078</v>
      </c>
      <c r="Q662" s="16" t="s">
        <v>4106</v>
      </c>
      <c r="R662" s="17" t="s">
        <v>4107</v>
      </c>
      <c r="S662" s="17" t="s">
        <v>35</v>
      </c>
      <c r="T662" s="17" t="s">
        <v>35</v>
      </c>
      <c r="U662" s="17" t="s">
        <v>35</v>
      </c>
      <c r="V662" s="17" t="s">
        <v>35</v>
      </c>
      <c r="W662" s="17" t="s">
        <v>35</v>
      </c>
      <c r="X662" s="17" t="s">
        <v>35</v>
      </c>
      <c r="Y662" s="17" t="s">
        <v>35</v>
      </c>
      <c r="Z662" s="17" t="s">
        <v>4108</v>
      </c>
      <c r="AA662" s="17" t="s">
        <v>35</v>
      </c>
      <c r="AB662" s="17" t="s">
        <v>4109</v>
      </c>
      <c r="AC662" s="17" t="s">
        <v>9539</v>
      </c>
      <c r="AD662" s="42">
        <v>70.55</v>
      </c>
      <c r="AE662" s="42">
        <v>74.22</v>
      </c>
      <c r="AF662" s="48"/>
      <c r="AG662" s="44"/>
      <c r="AH662" s="7">
        <f t="shared" si="10"/>
        <v>0</v>
      </c>
      <c r="AI662" s="18"/>
      <c r="AJ662" s="18"/>
    </row>
    <row r="663" spans="1:38" ht="26.65" customHeight="1" x14ac:dyDescent="0.25">
      <c r="A663" s="10" t="s">
        <v>4110</v>
      </c>
      <c r="B663" s="9" t="s">
        <v>3030</v>
      </c>
      <c r="C663" s="9" t="s">
        <v>43</v>
      </c>
      <c r="D663" s="9" t="s">
        <v>3031</v>
      </c>
      <c r="E663" s="9" t="s">
        <v>122</v>
      </c>
      <c r="F663" s="9" t="s">
        <v>36</v>
      </c>
      <c r="G663" s="9">
        <v>5</v>
      </c>
      <c r="H663" s="9">
        <v>84219999</v>
      </c>
      <c r="I663" s="11" t="s">
        <v>37</v>
      </c>
      <c r="J663" s="12">
        <v>1.6500000000000001E-2</v>
      </c>
      <c r="K663" s="12">
        <v>7.5999999999999998E-2</v>
      </c>
      <c r="L663" s="12">
        <v>5.1999999999999998E-2</v>
      </c>
      <c r="M663" s="13">
        <v>8003453102194</v>
      </c>
      <c r="N663" s="14">
        <v>0.29599999999999999</v>
      </c>
      <c r="O663" s="14">
        <v>0.38400000000000001</v>
      </c>
      <c r="P663" s="15" t="s">
        <v>35</v>
      </c>
      <c r="Q663" s="16" t="s">
        <v>4111</v>
      </c>
      <c r="R663" s="17" t="s">
        <v>4112</v>
      </c>
      <c r="S663" s="17" t="s">
        <v>4113</v>
      </c>
      <c r="T663" s="17" t="s">
        <v>4114</v>
      </c>
      <c r="U663" s="17" t="s">
        <v>4115</v>
      </c>
      <c r="V663" s="17" t="s">
        <v>4116</v>
      </c>
      <c r="W663" s="17" t="s">
        <v>35</v>
      </c>
      <c r="X663" s="17" t="s">
        <v>4117</v>
      </c>
      <c r="Y663" s="17" t="s">
        <v>4118</v>
      </c>
      <c r="Z663" s="17" t="s">
        <v>35</v>
      </c>
      <c r="AA663" s="17" t="s">
        <v>35</v>
      </c>
      <c r="AB663" s="17" t="s">
        <v>35</v>
      </c>
      <c r="AC663" s="17" t="s">
        <v>9539</v>
      </c>
      <c r="AD663" s="41">
        <v>43.18</v>
      </c>
      <c r="AE663" s="41">
        <v>45.43</v>
      </c>
      <c r="AF663" s="48"/>
      <c r="AG663" s="44"/>
      <c r="AH663" s="7">
        <f t="shared" si="10"/>
        <v>0</v>
      </c>
      <c r="AI663" s="18"/>
      <c r="AJ663" s="18"/>
      <c r="AL663" s="18"/>
    </row>
    <row r="664" spans="1:38" ht="26.65" customHeight="1" x14ac:dyDescent="0.25">
      <c r="A664" s="10" t="s">
        <v>4119</v>
      </c>
      <c r="B664" s="9" t="s">
        <v>3206</v>
      </c>
      <c r="C664" s="9" t="s">
        <v>34</v>
      </c>
      <c r="D664" s="9" t="s">
        <v>3207</v>
      </c>
      <c r="E664" s="9" t="s">
        <v>35</v>
      </c>
      <c r="F664" s="9" t="s">
        <v>36</v>
      </c>
      <c r="G664" s="9">
        <v>1</v>
      </c>
      <c r="H664" s="9">
        <v>84219999</v>
      </c>
      <c r="I664" s="11" t="s">
        <v>37</v>
      </c>
      <c r="J664" s="12">
        <v>1.6500000000000001E-2</v>
      </c>
      <c r="K664" s="12">
        <v>7.5999999999999998E-2</v>
      </c>
      <c r="L664" s="12">
        <v>5.1999999999999998E-2</v>
      </c>
      <c r="M664" s="13">
        <v>8003453102033</v>
      </c>
      <c r="N664" s="14">
        <v>2.052</v>
      </c>
      <c r="O664" s="14">
        <v>2.3380000000000001</v>
      </c>
      <c r="P664" s="15">
        <v>45200</v>
      </c>
      <c r="Q664" s="16" t="s">
        <v>4120</v>
      </c>
      <c r="R664" s="17" t="s">
        <v>4121</v>
      </c>
      <c r="S664" s="17" t="s">
        <v>4122</v>
      </c>
      <c r="T664" s="17" t="s">
        <v>4123</v>
      </c>
      <c r="U664" s="17" t="s">
        <v>4124</v>
      </c>
      <c r="V664" s="17" t="s">
        <v>35</v>
      </c>
      <c r="W664" s="17" t="s">
        <v>35</v>
      </c>
      <c r="X664" s="17" t="s">
        <v>4125</v>
      </c>
      <c r="Y664" s="17" t="s">
        <v>35</v>
      </c>
      <c r="Z664" s="17" t="s">
        <v>4126</v>
      </c>
      <c r="AA664" s="17" t="s">
        <v>35</v>
      </c>
      <c r="AB664" s="17" t="s">
        <v>4127</v>
      </c>
      <c r="AC664" s="17" t="s">
        <v>9539</v>
      </c>
      <c r="AD664" s="42">
        <v>185.43</v>
      </c>
      <c r="AE664" s="42">
        <v>195.07</v>
      </c>
      <c r="AF664" s="48"/>
      <c r="AG664" s="44"/>
      <c r="AH664" s="7">
        <f t="shared" si="10"/>
        <v>0</v>
      </c>
      <c r="AI664" s="18"/>
      <c r="AJ664" s="18"/>
    </row>
    <row r="665" spans="1:38" ht="26.65" customHeight="1" x14ac:dyDescent="0.25">
      <c r="A665" s="10" t="s">
        <v>4128</v>
      </c>
      <c r="B665" s="9" t="s">
        <v>3030</v>
      </c>
      <c r="C665" s="9" t="s">
        <v>43</v>
      </c>
      <c r="D665" s="9" t="s">
        <v>3031</v>
      </c>
      <c r="E665" s="9" t="s">
        <v>35</v>
      </c>
      <c r="F665" s="9" t="s">
        <v>36</v>
      </c>
      <c r="G665" s="9">
        <v>1</v>
      </c>
      <c r="H665" s="9">
        <v>84219999</v>
      </c>
      <c r="I665" s="11" t="s">
        <v>37</v>
      </c>
      <c r="J665" s="12">
        <v>1.6500000000000001E-2</v>
      </c>
      <c r="K665" s="12">
        <v>7.5999999999999998E-2</v>
      </c>
      <c r="L665" s="12">
        <v>5.1999999999999998E-2</v>
      </c>
      <c r="M665" s="13">
        <v>8003453102057</v>
      </c>
      <c r="N665" s="14">
        <v>0.54</v>
      </c>
      <c r="O665" s="14">
        <v>0.88700000000000001</v>
      </c>
      <c r="P665" s="15" t="s">
        <v>35</v>
      </c>
      <c r="Q665" s="16" t="s">
        <v>4129</v>
      </c>
      <c r="R665" s="17" t="s">
        <v>4130</v>
      </c>
      <c r="S665" s="17" t="s">
        <v>4131</v>
      </c>
      <c r="T665" s="17" t="s">
        <v>4132</v>
      </c>
      <c r="U665" s="17" t="s">
        <v>35</v>
      </c>
      <c r="V665" s="17" t="s">
        <v>4133</v>
      </c>
      <c r="W665" s="17" t="s">
        <v>35</v>
      </c>
      <c r="X665" s="17" t="s">
        <v>35</v>
      </c>
      <c r="Y665" s="17" t="s">
        <v>4134</v>
      </c>
      <c r="Z665" s="17" t="s">
        <v>35</v>
      </c>
      <c r="AA665" s="17" t="s">
        <v>35</v>
      </c>
      <c r="AB665" s="17" t="s">
        <v>35</v>
      </c>
      <c r="AC665" s="17" t="s">
        <v>9539</v>
      </c>
      <c r="AD665" s="42">
        <v>37.049999999999997</v>
      </c>
      <c r="AE665" s="42">
        <v>38.979999999999997</v>
      </c>
      <c r="AF665" s="48"/>
      <c r="AG665" s="44"/>
      <c r="AH665" s="7">
        <f t="shared" si="10"/>
        <v>0</v>
      </c>
      <c r="AI665" s="18"/>
      <c r="AJ665" s="18"/>
    </row>
    <row r="666" spans="1:38" ht="26.65" customHeight="1" x14ac:dyDescent="0.25">
      <c r="A666" s="10" t="s">
        <v>4135</v>
      </c>
      <c r="B666" s="9" t="s">
        <v>3030</v>
      </c>
      <c r="C666" s="9" t="s">
        <v>43</v>
      </c>
      <c r="D666" s="9" t="s">
        <v>3031</v>
      </c>
      <c r="E666" s="9" t="s">
        <v>35</v>
      </c>
      <c r="F666" s="9" t="s">
        <v>36</v>
      </c>
      <c r="G666" s="9">
        <v>5</v>
      </c>
      <c r="H666" s="9">
        <v>84219999</v>
      </c>
      <c r="I666" s="11" t="s">
        <v>37</v>
      </c>
      <c r="J666" s="12">
        <v>1.6500000000000001E-2</v>
      </c>
      <c r="K666" s="12">
        <v>7.5999999999999998E-2</v>
      </c>
      <c r="L666" s="12">
        <v>5.1999999999999998E-2</v>
      </c>
      <c r="M666" s="13">
        <v>8003453102125</v>
      </c>
      <c r="N666" s="14">
        <v>0.33</v>
      </c>
      <c r="O666" s="14">
        <v>0.43</v>
      </c>
      <c r="P666" s="15" t="s">
        <v>35</v>
      </c>
      <c r="Q666" s="16" t="s">
        <v>4136</v>
      </c>
      <c r="R666" s="17" t="s">
        <v>35</v>
      </c>
      <c r="S666" s="17" t="s">
        <v>4137</v>
      </c>
      <c r="T666" s="17" t="s">
        <v>4138</v>
      </c>
      <c r="U666" s="17" t="s">
        <v>35</v>
      </c>
      <c r="V666" s="17" t="s">
        <v>4139</v>
      </c>
      <c r="W666" s="17" t="s">
        <v>4140</v>
      </c>
      <c r="X666" s="17" t="s">
        <v>4141</v>
      </c>
      <c r="Y666" s="17" t="s">
        <v>4142</v>
      </c>
      <c r="Z666" s="17" t="s">
        <v>35</v>
      </c>
      <c r="AA666" s="17" t="s">
        <v>35</v>
      </c>
      <c r="AB666" s="17" t="s">
        <v>35</v>
      </c>
      <c r="AC666" s="17" t="s">
        <v>9539</v>
      </c>
      <c r="AD666" s="41">
        <v>19.829999999999998</v>
      </c>
      <c r="AE666" s="41">
        <v>20.86</v>
      </c>
      <c r="AF666" s="48"/>
      <c r="AG666" s="44"/>
      <c r="AH666" s="7">
        <f t="shared" si="10"/>
        <v>0</v>
      </c>
      <c r="AI666" s="18"/>
      <c r="AJ666" s="18"/>
      <c r="AL666" s="18"/>
    </row>
    <row r="667" spans="1:38" ht="26.65" customHeight="1" x14ac:dyDescent="0.25">
      <c r="A667" s="10" t="s">
        <v>4143</v>
      </c>
      <c r="B667" s="9" t="s">
        <v>3030</v>
      </c>
      <c r="C667" s="9" t="s">
        <v>43</v>
      </c>
      <c r="D667" s="9" t="s">
        <v>3031</v>
      </c>
      <c r="E667" s="9" t="s">
        <v>35</v>
      </c>
      <c r="F667" s="9" t="s">
        <v>36</v>
      </c>
      <c r="G667" s="9">
        <v>5</v>
      </c>
      <c r="H667" s="9">
        <v>84219999</v>
      </c>
      <c r="I667" s="11" t="s">
        <v>37</v>
      </c>
      <c r="J667" s="12">
        <v>1.6500000000000001E-2</v>
      </c>
      <c r="K667" s="12">
        <v>7.5999999999999998E-2</v>
      </c>
      <c r="L667" s="12">
        <v>5.1999999999999998E-2</v>
      </c>
      <c r="M667" s="13">
        <v>8003453102187</v>
      </c>
      <c r="N667" s="14">
        <v>0.4</v>
      </c>
      <c r="O667" s="14">
        <v>0.45</v>
      </c>
      <c r="P667" s="15" t="s">
        <v>35</v>
      </c>
      <c r="Q667" s="16" t="s">
        <v>4144</v>
      </c>
      <c r="R667" s="17" t="s">
        <v>35</v>
      </c>
      <c r="S667" s="17" t="s">
        <v>4145</v>
      </c>
      <c r="T667" s="17" t="s">
        <v>4146</v>
      </c>
      <c r="U667" s="17" t="s">
        <v>4147</v>
      </c>
      <c r="V667" s="17" t="s">
        <v>35</v>
      </c>
      <c r="W667" s="17" t="s">
        <v>35</v>
      </c>
      <c r="X667" s="17" t="s">
        <v>4148</v>
      </c>
      <c r="Y667" s="17" t="s">
        <v>4149</v>
      </c>
      <c r="Z667" s="17" t="s">
        <v>35</v>
      </c>
      <c r="AA667" s="17" t="s">
        <v>35</v>
      </c>
      <c r="AB667" s="17" t="s">
        <v>35</v>
      </c>
      <c r="AC667" s="17" t="s">
        <v>9539</v>
      </c>
      <c r="AD667" s="42">
        <v>51.56</v>
      </c>
      <c r="AE667" s="42">
        <v>54.24</v>
      </c>
      <c r="AF667" s="48"/>
      <c r="AG667" s="44"/>
      <c r="AH667" s="7">
        <f t="shared" si="10"/>
        <v>0</v>
      </c>
      <c r="AI667" s="18"/>
      <c r="AJ667" s="18"/>
    </row>
    <row r="668" spans="1:38" ht="26.65" customHeight="1" x14ac:dyDescent="0.25">
      <c r="A668" s="10" t="s">
        <v>4150</v>
      </c>
      <c r="B668" s="9" t="s">
        <v>3030</v>
      </c>
      <c r="C668" s="9" t="s">
        <v>58</v>
      </c>
      <c r="D668" s="9" t="s">
        <v>3031</v>
      </c>
      <c r="E668" s="9" t="s">
        <v>35</v>
      </c>
      <c r="F668" s="9" t="s">
        <v>36</v>
      </c>
      <c r="G668" s="9">
        <v>5</v>
      </c>
      <c r="H668" s="9">
        <v>84219999</v>
      </c>
      <c r="I668" s="11" t="s">
        <v>37</v>
      </c>
      <c r="J668" s="12">
        <v>1.6500000000000001E-2</v>
      </c>
      <c r="K668" s="12">
        <v>7.5999999999999998E-2</v>
      </c>
      <c r="L668" s="12">
        <v>5.1999999999999998E-2</v>
      </c>
      <c r="M668" s="13">
        <v>8003453102354</v>
      </c>
      <c r="N668" s="14">
        <v>6.2</v>
      </c>
      <c r="O668" s="14">
        <v>7</v>
      </c>
      <c r="P668" s="15" t="s">
        <v>35</v>
      </c>
      <c r="Q668" s="16" t="s">
        <v>4151</v>
      </c>
      <c r="R668" s="17" t="s">
        <v>35</v>
      </c>
      <c r="S668" s="17" t="s">
        <v>35</v>
      </c>
      <c r="T668" s="17" t="s">
        <v>4152</v>
      </c>
      <c r="U668" s="17" t="s">
        <v>4153</v>
      </c>
      <c r="V668" s="17" t="s">
        <v>4154</v>
      </c>
      <c r="W668" s="17" t="s">
        <v>35</v>
      </c>
      <c r="X668" s="17" t="s">
        <v>4155</v>
      </c>
      <c r="Y668" s="17" t="s">
        <v>35</v>
      </c>
      <c r="Z668" s="17" t="s">
        <v>4156</v>
      </c>
      <c r="AA668" s="17" t="s">
        <v>35</v>
      </c>
      <c r="AB668" s="17" t="s">
        <v>4157</v>
      </c>
      <c r="AC668" s="17" t="s">
        <v>9539</v>
      </c>
      <c r="AD668" s="41">
        <v>358.38</v>
      </c>
      <c r="AE668" s="41">
        <v>377.02</v>
      </c>
      <c r="AF668" s="48"/>
      <c r="AG668" s="44"/>
      <c r="AH668" s="7">
        <f t="shared" si="10"/>
        <v>0</v>
      </c>
      <c r="AI668" s="18"/>
      <c r="AJ668" s="18"/>
      <c r="AL668" s="18"/>
    </row>
    <row r="669" spans="1:38" ht="26.65" customHeight="1" x14ac:dyDescent="0.25">
      <c r="A669" s="10" t="s">
        <v>9660</v>
      </c>
      <c r="B669" s="9" t="s">
        <v>3030</v>
      </c>
      <c r="C669" s="9" t="s">
        <v>34</v>
      </c>
      <c r="D669" s="9" t="s">
        <v>3207</v>
      </c>
      <c r="E669" s="9" t="s">
        <v>35</v>
      </c>
      <c r="F669" s="9" t="s">
        <v>36</v>
      </c>
      <c r="G669" s="9">
        <v>1</v>
      </c>
      <c r="H669" s="9">
        <v>84219999</v>
      </c>
      <c r="I669" s="11" t="s">
        <v>37</v>
      </c>
      <c r="J669" s="12">
        <v>1.6500000000000001E-2</v>
      </c>
      <c r="K669" s="12">
        <v>7.5999999999999998E-2</v>
      </c>
      <c r="L669" s="12">
        <v>5.1999999999999998E-2</v>
      </c>
      <c r="M669" s="13">
        <v>8003453102378</v>
      </c>
      <c r="N669" s="14">
        <v>4.5999999999999996</v>
      </c>
      <c r="O669" s="14">
        <v>5.2</v>
      </c>
      <c r="P669" s="15">
        <v>45474</v>
      </c>
      <c r="Q669" s="16" t="s">
        <v>9661</v>
      </c>
      <c r="R669" s="17" t="s">
        <v>9662</v>
      </c>
      <c r="S669" s="17" t="s">
        <v>9663</v>
      </c>
      <c r="T669" s="17" t="s">
        <v>9664</v>
      </c>
      <c r="U669" s="17" t="s">
        <v>35</v>
      </c>
      <c r="V669" s="17" t="s">
        <v>35</v>
      </c>
      <c r="W669" s="17" t="s">
        <v>35</v>
      </c>
      <c r="X669" s="17" t="s">
        <v>35</v>
      </c>
      <c r="Y669" s="17" t="s">
        <v>35</v>
      </c>
      <c r="Z669" s="17" t="s">
        <v>9665</v>
      </c>
      <c r="AA669" s="17" t="s">
        <v>35</v>
      </c>
      <c r="AB669" s="17" t="s">
        <v>9666</v>
      </c>
      <c r="AC669" s="17" t="s">
        <v>9539</v>
      </c>
      <c r="AD669" s="42">
        <v>224.05</v>
      </c>
      <c r="AE669" s="42">
        <v>235.7</v>
      </c>
      <c r="AF669" s="48"/>
      <c r="AG669" s="44"/>
      <c r="AH669" s="7">
        <f t="shared" si="10"/>
        <v>0</v>
      </c>
      <c r="AI669" s="18"/>
      <c r="AJ669" s="18"/>
    </row>
    <row r="670" spans="1:38" ht="26.65" customHeight="1" x14ac:dyDescent="0.25">
      <c r="A670" s="10" t="s">
        <v>4158</v>
      </c>
      <c r="B670" s="9" t="s">
        <v>3030</v>
      </c>
      <c r="C670" s="9" t="s">
        <v>58</v>
      </c>
      <c r="D670" s="9" t="s">
        <v>3031</v>
      </c>
      <c r="E670" s="9" t="s">
        <v>35</v>
      </c>
      <c r="F670" s="9" t="s">
        <v>36</v>
      </c>
      <c r="G670" s="9">
        <v>1</v>
      </c>
      <c r="H670" s="9">
        <v>84219999</v>
      </c>
      <c r="I670" s="11" t="s">
        <v>37</v>
      </c>
      <c r="J670" s="12">
        <v>1.6500000000000001E-2</v>
      </c>
      <c r="K670" s="12">
        <v>7.5999999999999998E-2</v>
      </c>
      <c r="L670" s="12">
        <v>5.1999999999999998E-2</v>
      </c>
      <c r="M670" s="13">
        <v>8003453102385</v>
      </c>
      <c r="N670" s="14">
        <v>4.2</v>
      </c>
      <c r="O670" s="14">
        <v>4.5999999999999996</v>
      </c>
      <c r="P670" s="15" t="s">
        <v>35</v>
      </c>
      <c r="Q670" s="16" t="s">
        <v>4159</v>
      </c>
      <c r="R670" s="17" t="s">
        <v>35</v>
      </c>
      <c r="S670" s="17" t="s">
        <v>4160</v>
      </c>
      <c r="T670" s="17" t="s">
        <v>4161</v>
      </c>
      <c r="U670" s="17" t="s">
        <v>35</v>
      </c>
      <c r="V670" s="17" t="s">
        <v>4162</v>
      </c>
      <c r="W670" s="17" t="s">
        <v>35</v>
      </c>
      <c r="X670" s="17" t="s">
        <v>4163</v>
      </c>
      <c r="Y670" s="17" t="s">
        <v>4164</v>
      </c>
      <c r="Z670" s="17" t="s">
        <v>35</v>
      </c>
      <c r="AA670" s="17" t="s">
        <v>35</v>
      </c>
      <c r="AB670" s="17" t="s">
        <v>4165</v>
      </c>
      <c r="AC670" s="17" t="s">
        <v>9539</v>
      </c>
      <c r="AD670" s="42">
        <v>157.44</v>
      </c>
      <c r="AE670" s="42">
        <v>165.63</v>
      </c>
      <c r="AF670" s="48"/>
      <c r="AG670" s="44"/>
      <c r="AH670" s="7">
        <f t="shared" si="10"/>
        <v>0</v>
      </c>
      <c r="AI670" s="18"/>
      <c r="AJ670" s="18"/>
    </row>
    <row r="671" spans="1:38" ht="26.65" customHeight="1" x14ac:dyDescent="0.25">
      <c r="A671" s="10" t="s">
        <v>4166</v>
      </c>
      <c r="B671" s="9" t="s">
        <v>3030</v>
      </c>
      <c r="C671" s="9" t="s">
        <v>58</v>
      </c>
      <c r="D671" s="9" t="s">
        <v>3031</v>
      </c>
      <c r="E671" s="9" t="s">
        <v>35</v>
      </c>
      <c r="F671" s="9" t="s">
        <v>36</v>
      </c>
      <c r="G671" s="9">
        <v>1</v>
      </c>
      <c r="H671" s="9">
        <v>84219999</v>
      </c>
      <c r="I671" s="11" t="s">
        <v>37</v>
      </c>
      <c r="J671" s="12">
        <v>1.6500000000000001E-2</v>
      </c>
      <c r="K671" s="12">
        <v>7.5999999999999998E-2</v>
      </c>
      <c r="L671" s="12">
        <v>5.1999999999999998E-2</v>
      </c>
      <c r="M671" s="13">
        <v>8003453102408</v>
      </c>
      <c r="N671" s="14">
        <v>3.2</v>
      </c>
      <c r="O671" s="14">
        <v>3.6</v>
      </c>
      <c r="P671" s="15" t="s">
        <v>35</v>
      </c>
      <c r="Q671" s="16" t="s">
        <v>4167</v>
      </c>
      <c r="R671" s="17" t="s">
        <v>35</v>
      </c>
      <c r="S671" s="17" t="s">
        <v>4168</v>
      </c>
      <c r="T671" s="17" t="s">
        <v>4169</v>
      </c>
      <c r="U671" s="17" t="s">
        <v>4170</v>
      </c>
      <c r="V671" s="17" t="s">
        <v>35</v>
      </c>
      <c r="W671" s="17" t="s">
        <v>35</v>
      </c>
      <c r="X671" s="17" t="s">
        <v>35</v>
      </c>
      <c r="Y671" s="17" t="s">
        <v>35</v>
      </c>
      <c r="Z671" s="17" t="s">
        <v>4171</v>
      </c>
      <c r="AA671" s="17" t="s">
        <v>35</v>
      </c>
      <c r="AB671" s="17" t="s">
        <v>35</v>
      </c>
      <c r="AC671" s="17" t="s">
        <v>9539</v>
      </c>
      <c r="AD671" s="41">
        <v>257.77</v>
      </c>
      <c r="AE671" s="41">
        <v>271.17</v>
      </c>
      <c r="AF671" s="48"/>
      <c r="AG671" s="44"/>
      <c r="AH671" s="7">
        <f t="shared" si="10"/>
        <v>0</v>
      </c>
      <c r="AI671" s="18"/>
      <c r="AJ671" s="18"/>
      <c r="AL671" s="18"/>
    </row>
    <row r="672" spans="1:38" ht="26.65" customHeight="1" x14ac:dyDescent="0.25">
      <c r="A672" s="10" t="s">
        <v>4172</v>
      </c>
      <c r="B672" s="9" t="s">
        <v>3063</v>
      </c>
      <c r="C672" s="9" t="s">
        <v>58</v>
      </c>
      <c r="D672" s="9" t="s">
        <v>3064</v>
      </c>
      <c r="E672" s="9" t="s">
        <v>35</v>
      </c>
      <c r="F672" s="9" t="s">
        <v>36</v>
      </c>
      <c r="G672" s="9">
        <v>1</v>
      </c>
      <c r="H672" s="9">
        <v>84219999</v>
      </c>
      <c r="I672" s="11" t="s">
        <v>37</v>
      </c>
      <c r="J672" s="12">
        <v>1.6500000000000001E-2</v>
      </c>
      <c r="K672" s="12">
        <v>7.5999999999999998E-2</v>
      </c>
      <c r="L672" s="12">
        <v>5.1999999999999998E-2</v>
      </c>
      <c r="M672" s="13">
        <v>8003453102422</v>
      </c>
      <c r="N672" s="14">
        <v>1.127</v>
      </c>
      <c r="O672" s="14">
        <v>1.35</v>
      </c>
      <c r="P672" s="15">
        <v>44531</v>
      </c>
      <c r="Q672" s="16" t="s">
        <v>4173</v>
      </c>
      <c r="R672" s="17" t="s">
        <v>4174</v>
      </c>
      <c r="S672" s="17" t="s">
        <v>4175</v>
      </c>
      <c r="T672" s="17" t="s">
        <v>4176</v>
      </c>
      <c r="U672" s="17" t="s">
        <v>35</v>
      </c>
      <c r="V672" s="17" t="s">
        <v>35</v>
      </c>
      <c r="W672" s="17" t="s">
        <v>35</v>
      </c>
      <c r="X672" s="17" t="s">
        <v>35</v>
      </c>
      <c r="Y672" s="17" t="s">
        <v>35</v>
      </c>
      <c r="Z672" s="17" t="s">
        <v>4177</v>
      </c>
      <c r="AA672" s="17" t="s">
        <v>35</v>
      </c>
      <c r="AB672" s="17" t="s">
        <v>35</v>
      </c>
      <c r="AC672" s="17" t="s">
        <v>9539</v>
      </c>
      <c r="AD672" s="41">
        <v>139.62</v>
      </c>
      <c r="AE672" s="41">
        <v>146.88</v>
      </c>
      <c r="AF672" s="48"/>
      <c r="AG672" s="44"/>
      <c r="AH672" s="7">
        <f t="shared" si="10"/>
        <v>0</v>
      </c>
      <c r="AI672" s="18"/>
      <c r="AJ672" s="18"/>
    </row>
    <row r="673" spans="1:38" ht="26.65" customHeight="1" x14ac:dyDescent="0.25">
      <c r="A673" s="10" t="s">
        <v>4178</v>
      </c>
      <c r="B673" s="9" t="s">
        <v>3063</v>
      </c>
      <c r="C673" s="9" t="s">
        <v>34</v>
      </c>
      <c r="D673" s="9" t="s">
        <v>3064</v>
      </c>
      <c r="E673" s="9" t="s">
        <v>35</v>
      </c>
      <c r="F673" s="9" t="s">
        <v>36</v>
      </c>
      <c r="G673" s="9">
        <v>1</v>
      </c>
      <c r="H673" s="9">
        <v>84219999</v>
      </c>
      <c r="I673" s="11" t="s">
        <v>37</v>
      </c>
      <c r="J673" s="12">
        <v>1.6500000000000001E-2</v>
      </c>
      <c r="K673" s="12">
        <v>7.5999999999999998E-2</v>
      </c>
      <c r="L673" s="12">
        <v>5.1999999999999998E-2</v>
      </c>
      <c r="M673" s="13">
        <v>8003453102651</v>
      </c>
      <c r="N673" s="14">
        <v>0.9</v>
      </c>
      <c r="O673" s="14">
        <v>1.085</v>
      </c>
      <c r="P673" s="15" t="s">
        <v>35</v>
      </c>
      <c r="Q673" s="16" t="s">
        <v>4179</v>
      </c>
      <c r="R673" s="17" t="s">
        <v>35</v>
      </c>
      <c r="S673" s="17" t="s">
        <v>4180</v>
      </c>
      <c r="T673" s="17" t="s">
        <v>4181</v>
      </c>
      <c r="U673" s="17" t="s">
        <v>4182</v>
      </c>
      <c r="V673" s="17" t="s">
        <v>4183</v>
      </c>
      <c r="W673" s="17" t="s">
        <v>35</v>
      </c>
      <c r="X673" s="17" t="s">
        <v>4184</v>
      </c>
      <c r="Y673" s="17" t="s">
        <v>4185</v>
      </c>
      <c r="Z673" s="17" t="s">
        <v>4186</v>
      </c>
      <c r="AA673" s="17" t="s">
        <v>35</v>
      </c>
      <c r="AB673" s="17" t="s">
        <v>35</v>
      </c>
      <c r="AC673" s="17" t="s">
        <v>9539</v>
      </c>
      <c r="AD673" s="41">
        <v>142.13</v>
      </c>
      <c r="AE673" s="41">
        <v>149.52000000000001</v>
      </c>
      <c r="AF673" s="48"/>
      <c r="AG673" s="44"/>
      <c r="AH673" s="7">
        <f t="shared" si="10"/>
        <v>0</v>
      </c>
      <c r="AI673" s="18"/>
      <c r="AJ673" s="18"/>
      <c r="AL673" s="18"/>
    </row>
    <row r="674" spans="1:38" ht="26.65" customHeight="1" x14ac:dyDescent="0.25">
      <c r="A674" s="10" t="s">
        <v>10311</v>
      </c>
      <c r="B674" s="9" t="s">
        <v>3030</v>
      </c>
      <c r="C674" s="9" t="s">
        <v>58</v>
      </c>
      <c r="D674" s="9" t="s">
        <v>3031</v>
      </c>
      <c r="E674" s="9" t="s">
        <v>35</v>
      </c>
      <c r="F674" s="9" t="s">
        <v>36</v>
      </c>
      <c r="G674" s="9">
        <v>5</v>
      </c>
      <c r="H674" s="9">
        <v>84219999</v>
      </c>
      <c r="I674" s="11" t="s">
        <v>37</v>
      </c>
      <c r="J674" s="12">
        <v>1.6500000000000001E-2</v>
      </c>
      <c r="K674" s="12">
        <v>7.5999999999999998E-2</v>
      </c>
      <c r="L674" s="12">
        <v>5.1999999999999998E-2</v>
      </c>
      <c r="M674" s="13">
        <v>8003453102255</v>
      </c>
      <c r="N674" s="14">
        <v>0</v>
      </c>
      <c r="O674" s="14">
        <v>0</v>
      </c>
      <c r="P674" s="15">
        <v>45566</v>
      </c>
      <c r="Q674" s="16" t="s">
        <v>10312</v>
      </c>
      <c r="R674" s="17" t="s">
        <v>35</v>
      </c>
      <c r="S674" s="17" t="s">
        <v>10313</v>
      </c>
      <c r="T674" s="17" t="s">
        <v>10314</v>
      </c>
      <c r="U674" s="17" t="s">
        <v>10315</v>
      </c>
      <c r="V674" s="17" t="s">
        <v>35</v>
      </c>
      <c r="W674" s="17" t="s">
        <v>35</v>
      </c>
      <c r="X674" s="17" t="s">
        <v>35</v>
      </c>
      <c r="Y674" s="17" t="s">
        <v>35</v>
      </c>
      <c r="Z674" s="17" t="s">
        <v>10316</v>
      </c>
      <c r="AA674" s="17" t="s">
        <v>35</v>
      </c>
      <c r="AB674" s="17" t="s">
        <v>10317</v>
      </c>
      <c r="AC674" s="17" t="s">
        <v>9539</v>
      </c>
      <c r="AD674" s="41">
        <v>229.24</v>
      </c>
      <c r="AE674" s="41">
        <v>241.16</v>
      </c>
      <c r="AF674" s="48"/>
      <c r="AG674" s="44"/>
      <c r="AH674" s="7">
        <f t="shared" si="10"/>
        <v>0</v>
      </c>
      <c r="AI674" s="18"/>
      <c r="AJ674" s="18"/>
    </row>
    <row r="675" spans="1:38" ht="26.65" customHeight="1" x14ac:dyDescent="0.25">
      <c r="A675" s="10" t="s">
        <v>4187</v>
      </c>
      <c r="B675" s="9" t="s">
        <v>3030</v>
      </c>
      <c r="C675" s="9" t="s">
        <v>43</v>
      </c>
      <c r="D675" s="9" t="s">
        <v>3031</v>
      </c>
      <c r="E675" s="9" t="s">
        <v>35</v>
      </c>
      <c r="F675" s="9" t="s">
        <v>36</v>
      </c>
      <c r="G675" s="9">
        <v>6</v>
      </c>
      <c r="H675" s="9">
        <v>84219999</v>
      </c>
      <c r="I675" s="11" t="s">
        <v>37</v>
      </c>
      <c r="J675" s="12">
        <v>1.6500000000000001E-2</v>
      </c>
      <c r="K675" s="12">
        <v>7.5999999999999998E-2</v>
      </c>
      <c r="L675" s="12">
        <v>5.1999999999999998E-2</v>
      </c>
      <c r="M675" s="13">
        <v>8003453102231</v>
      </c>
      <c r="N675" s="14">
        <v>0.33150000000000002</v>
      </c>
      <c r="O675" s="14">
        <v>0.43149999999999999</v>
      </c>
      <c r="P675" s="15" t="s">
        <v>35</v>
      </c>
      <c r="Q675" s="16" t="s">
        <v>4188</v>
      </c>
      <c r="R675" s="17" t="s">
        <v>35</v>
      </c>
      <c r="S675" s="17" t="s">
        <v>4189</v>
      </c>
      <c r="T675" s="17" t="s">
        <v>4190</v>
      </c>
      <c r="U675" s="17" t="s">
        <v>4191</v>
      </c>
      <c r="V675" s="17" t="s">
        <v>4192</v>
      </c>
      <c r="W675" s="17" t="s">
        <v>4193</v>
      </c>
      <c r="X675" s="17" t="s">
        <v>4194</v>
      </c>
      <c r="Y675" s="17" t="s">
        <v>4195</v>
      </c>
      <c r="Z675" s="17" t="s">
        <v>35</v>
      </c>
      <c r="AA675" s="17" t="s">
        <v>35</v>
      </c>
      <c r="AB675" s="17" t="s">
        <v>35</v>
      </c>
      <c r="AC675" s="17" t="s">
        <v>9539</v>
      </c>
      <c r="AD675" s="41">
        <v>22.14</v>
      </c>
      <c r="AE675" s="41">
        <v>23.29</v>
      </c>
      <c r="AF675" s="48"/>
      <c r="AG675" s="44"/>
      <c r="AH675" s="7">
        <f t="shared" si="10"/>
        <v>0</v>
      </c>
      <c r="AI675" s="18"/>
      <c r="AJ675" s="18"/>
      <c r="AL675" s="18"/>
    </row>
    <row r="676" spans="1:38" ht="26.65" customHeight="1" x14ac:dyDescent="0.25">
      <c r="A676" s="10" t="s">
        <v>9667</v>
      </c>
      <c r="B676" s="9" t="s">
        <v>3030</v>
      </c>
      <c r="C676" s="9" t="s">
        <v>34</v>
      </c>
      <c r="D676" s="9" t="s">
        <v>3064</v>
      </c>
      <c r="E676" s="9" t="s">
        <v>35</v>
      </c>
      <c r="F676" s="9" t="s">
        <v>36</v>
      </c>
      <c r="G676" s="9">
        <v>1</v>
      </c>
      <c r="H676" s="9">
        <v>84219999</v>
      </c>
      <c r="I676" s="11" t="s">
        <v>37</v>
      </c>
      <c r="J676" s="12">
        <v>1.6500000000000001E-2</v>
      </c>
      <c r="K676" s="12">
        <v>7.5999999999999998E-2</v>
      </c>
      <c r="L676" s="12">
        <v>5.1999999999999998E-2</v>
      </c>
      <c r="M676" s="13">
        <v>8003453102521</v>
      </c>
      <c r="N676" s="14">
        <v>0.90400000000000003</v>
      </c>
      <c r="O676" s="14">
        <v>1.2</v>
      </c>
      <c r="P676" s="15">
        <v>45474</v>
      </c>
      <c r="Q676" s="16" t="s">
        <v>9661</v>
      </c>
      <c r="R676" s="17" t="s">
        <v>9668</v>
      </c>
      <c r="S676" s="17" t="s">
        <v>9669</v>
      </c>
      <c r="T676" s="17" t="s">
        <v>35</v>
      </c>
      <c r="U676" s="17" t="s">
        <v>35</v>
      </c>
      <c r="V676" s="17" t="s">
        <v>35</v>
      </c>
      <c r="W676" s="17" t="s">
        <v>35</v>
      </c>
      <c r="X676" s="17" t="s">
        <v>35</v>
      </c>
      <c r="Y676" s="17" t="s">
        <v>35</v>
      </c>
      <c r="Z676" s="17" t="s">
        <v>9670</v>
      </c>
      <c r="AA676" s="17" t="s">
        <v>35</v>
      </c>
      <c r="AB676" s="17" t="s">
        <v>9671</v>
      </c>
      <c r="AC676" s="17" t="s">
        <v>9539</v>
      </c>
      <c r="AD676" s="42">
        <v>77.430000000000007</v>
      </c>
      <c r="AE676" s="42">
        <v>81.459999999999994</v>
      </c>
      <c r="AF676" s="48"/>
      <c r="AG676" s="44"/>
      <c r="AH676" s="7">
        <f t="shared" si="10"/>
        <v>0</v>
      </c>
      <c r="AI676" s="18"/>
      <c r="AJ676" s="18"/>
    </row>
    <row r="677" spans="1:38" ht="26.65" customHeight="1" x14ac:dyDescent="0.25">
      <c r="A677" s="10" t="s">
        <v>4196</v>
      </c>
      <c r="B677" s="9" t="s">
        <v>3030</v>
      </c>
      <c r="C677" s="9" t="s">
        <v>34</v>
      </c>
      <c r="D677" s="9" t="s">
        <v>3306</v>
      </c>
      <c r="E677" s="9" t="s">
        <v>35</v>
      </c>
      <c r="F677" s="9" t="s">
        <v>36</v>
      </c>
      <c r="G677" s="9">
        <v>1</v>
      </c>
      <c r="H677" s="9">
        <v>84219999</v>
      </c>
      <c r="I677" s="11" t="s">
        <v>37</v>
      </c>
      <c r="J677" s="12">
        <v>1.6500000000000001E-2</v>
      </c>
      <c r="K677" s="12">
        <v>7.5999999999999998E-2</v>
      </c>
      <c r="L677" s="12">
        <v>5.1999999999999998E-2</v>
      </c>
      <c r="M677" s="13">
        <v>8003453103986</v>
      </c>
      <c r="N677" s="14">
        <v>0.48599999999999999</v>
      </c>
      <c r="O677" s="14">
        <v>0.68899999999999995</v>
      </c>
      <c r="P677" s="15">
        <v>44986</v>
      </c>
      <c r="Q677" s="16" t="s">
        <v>4197</v>
      </c>
      <c r="R677" s="17" t="s">
        <v>4198</v>
      </c>
      <c r="S677" s="17" t="s">
        <v>35</v>
      </c>
      <c r="T677" s="17" t="s">
        <v>35</v>
      </c>
      <c r="U677" s="17" t="s">
        <v>35</v>
      </c>
      <c r="V677" s="17" t="s">
        <v>4199</v>
      </c>
      <c r="W677" s="17" t="s">
        <v>35</v>
      </c>
      <c r="X677" s="17" t="s">
        <v>35</v>
      </c>
      <c r="Y677" s="17" t="s">
        <v>4200</v>
      </c>
      <c r="Z677" s="17" t="s">
        <v>35</v>
      </c>
      <c r="AA677" s="17" t="s">
        <v>35</v>
      </c>
      <c r="AB677" s="17" t="s">
        <v>35</v>
      </c>
      <c r="AC677" s="17" t="s">
        <v>9539</v>
      </c>
      <c r="AD677" s="42">
        <v>125.69</v>
      </c>
      <c r="AE677" s="42">
        <v>132.22999999999999</v>
      </c>
      <c r="AF677" s="48"/>
      <c r="AG677" s="44"/>
      <c r="AH677" s="7">
        <f t="shared" si="10"/>
        <v>0</v>
      </c>
      <c r="AI677" s="18"/>
      <c r="AJ677" s="18"/>
    </row>
    <row r="678" spans="1:38" ht="26.65" customHeight="1" x14ac:dyDescent="0.25">
      <c r="A678" s="10" t="s">
        <v>4201</v>
      </c>
      <c r="B678" s="9" t="s">
        <v>4202</v>
      </c>
      <c r="C678" s="9" t="s">
        <v>58</v>
      </c>
      <c r="D678" s="9" t="s">
        <v>3031</v>
      </c>
      <c r="E678" s="9" t="s">
        <v>122</v>
      </c>
      <c r="F678" s="9" t="s">
        <v>36</v>
      </c>
      <c r="G678" s="9">
        <v>6</v>
      </c>
      <c r="H678" s="9">
        <v>84219999</v>
      </c>
      <c r="I678" s="11" t="s">
        <v>37</v>
      </c>
      <c r="J678" s="12">
        <v>1.6500000000000001E-2</v>
      </c>
      <c r="K678" s="12">
        <v>7.5999999999999998E-2</v>
      </c>
      <c r="L678" s="12">
        <v>5.1999999999999998E-2</v>
      </c>
      <c r="M678" s="13">
        <v>8003453104013</v>
      </c>
      <c r="N678" s="14">
        <v>0.09</v>
      </c>
      <c r="O678" s="14">
        <v>0.11</v>
      </c>
      <c r="P678" s="15" t="s">
        <v>35</v>
      </c>
      <c r="Q678" s="16" t="s">
        <v>4203</v>
      </c>
      <c r="R678" s="17">
        <v>5801686484</v>
      </c>
      <c r="S678" s="17" t="s">
        <v>35</v>
      </c>
      <c r="T678" s="17" t="s">
        <v>35</v>
      </c>
      <c r="U678" s="17" t="s">
        <v>35</v>
      </c>
      <c r="V678" s="17" t="s">
        <v>4204</v>
      </c>
      <c r="W678" s="17" t="s">
        <v>4205</v>
      </c>
      <c r="X678" s="17" t="s">
        <v>35</v>
      </c>
      <c r="Y678" s="17" t="s">
        <v>4206</v>
      </c>
      <c r="Z678" s="17" t="s">
        <v>35</v>
      </c>
      <c r="AA678" s="17" t="s">
        <v>35</v>
      </c>
      <c r="AB678" s="17" t="s">
        <v>35</v>
      </c>
      <c r="AC678" s="17" t="s">
        <v>9539</v>
      </c>
      <c r="AD678" s="41">
        <v>38.840000000000003</v>
      </c>
      <c r="AE678" s="41">
        <v>40.86</v>
      </c>
      <c r="AF678" s="48"/>
      <c r="AG678" s="44"/>
      <c r="AH678" s="7">
        <f t="shared" si="10"/>
        <v>0</v>
      </c>
      <c r="AI678" s="18"/>
      <c r="AJ678" s="18"/>
      <c r="AL678" s="18"/>
    </row>
    <row r="679" spans="1:38" ht="26.65" customHeight="1" x14ac:dyDescent="0.25">
      <c r="A679" s="10" t="s">
        <v>9840</v>
      </c>
      <c r="B679" s="9" t="s">
        <v>3056</v>
      </c>
      <c r="C679" s="9" t="s">
        <v>43</v>
      </c>
      <c r="D679" s="9" t="s">
        <v>3031</v>
      </c>
      <c r="E679" s="9" t="s">
        <v>35</v>
      </c>
      <c r="F679" s="9" t="s">
        <v>36</v>
      </c>
      <c r="G679" s="9">
        <v>4</v>
      </c>
      <c r="H679" s="9">
        <v>84219999</v>
      </c>
      <c r="I679" s="11" t="s">
        <v>37</v>
      </c>
      <c r="J679" s="12">
        <v>1.6500000000000001E-2</v>
      </c>
      <c r="K679" s="12">
        <v>7.5999999999999998E-2</v>
      </c>
      <c r="L679" s="12">
        <v>5.1999999999999998E-2</v>
      </c>
      <c r="M679" s="13">
        <v>8003453810945</v>
      </c>
      <c r="N679" s="14">
        <v>0.86299999999999999</v>
      </c>
      <c r="O679" s="14">
        <v>1.0620000000000001</v>
      </c>
      <c r="P679" s="15">
        <v>45536</v>
      </c>
      <c r="Q679" s="16" t="s">
        <v>9841</v>
      </c>
      <c r="R679" s="17" t="s">
        <v>35</v>
      </c>
      <c r="S679" s="17" t="s">
        <v>9842</v>
      </c>
      <c r="T679" s="17" t="s">
        <v>9843</v>
      </c>
      <c r="U679" s="17" t="s">
        <v>9844</v>
      </c>
      <c r="V679" s="17" t="s">
        <v>9845</v>
      </c>
      <c r="W679" s="17" t="s">
        <v>9846</v>
      </c>
      <c r="X679" s="17" t="s">
        <v>9847</v>
      </c>
      <c r="Y679" s="17" t="s">
        <v>9848</v>
      </c>
      <c r="Z679" s="17" t="s">
        <v>9849</v>
      </c>
      <c r="AA679" s="17" t="s">
        <v>35</v>
      </c>
      <c r="AB679" s="17" t="s">
        <v>9850</v>
      </c>
      <c r="AC679" s="17" t="s">
        <v>9539</v>
      </c>
      <c r="AD679" s="41">
        <v>36.11</v>
      </c>
      <c r="AE679" s="41">
        <v>37.99</v>
      </c>
      <c r="AF679" s="48"/>
      <c r="AG679" s="44"/>
      <c r="AH679" s="7">
        <f t="shared" si="10"/>
        <v>0</v>
      </c>
      <c r="AI679" s="18"/>
      <c r="AJ679" s="18"/>
    </row>
    <row r="680" spans="1:38" ht="26.65" customHeight="1" x14ac:dyDescent="0.25">
      <c r="A680" s="10" t="s">
        <v>4207</v>
      </c>
      <c r="B680" s="9" t="s">
        <v>3030</v>
      </c>
      <c r="C680" s="9" t="s">
        <v>34</v>
      </c>
      <c r="D680" s="9" t="s">
        <v>3031</v>
      </c>
      <c r="E680" s="9" t="s">
        <v>35</v>
      </c>
      <c r="F680" s="9" t="s">
        <v>36</v>
      </c>
      <c r="G680" s="9">
        <v>1</v>
      </c>
      <c r="H680" s="9">
        <v>84219999</v>
      </c>
      <c r="I680" s="11" t="s">
        <v>37</v>
      </c>
      <c r="J680" s="12">
        <v>1.6500000000000001E-2</v>
      </c>
      <c r="K680" s="12">
        <v>7.5999999999999998E-2</v>
      </c>
      <c r="L680" s="12">
        <v>5.1999999999999998E-2</v>
      </c>
      <c r="M680" s="13">
        <v>8003453095915</v>
      </c>
      <c r="N680" s="14">
        <v>0.36499999999999999</v>
      </c>
      <c r="O680" s="14">
        <v>0.46400000000000002</v>
      </c>
      <c r="P680" s="15">
        <v>45139</v>
      </c>
      <c r="Q680" s="16" t="s">
        <v>4208</v>
      </c>
      <c r="R680" s="17" t="s">
        <v>4209</v>
      </c>
      <c r="S680" s="17" t="s">
        <v>4210</v>
      </c>
      <c r="T680" s="17" t="s">
        <v>35</v>
      </c>
      <c r="U680" s="17" t="s">
        <v>35</v>
      </c>
      <c r="V680" s="17" t="s">
        <v>35</v>
      </c>
      <c r="W680" s="17" t="s">
        <v>35</v>
      </c>
      <c r="X680" s="17" t="s">
        <v>4211</v>
      </c>
      <c r="Y680" s="17" t="s">
        <v>35</v>
      </c>
      <c r="Z680" s="17" t="s">
        <v>35</v>
      </c>
      <c r="AA680" s="17" t="s">
        <v>35</v>
      </c>
      <c r="AB680" s="17" t="s">
        <v>35</v>
      </c>
      <c r="AC680" s="17" t="s">
        <v>9539</v>
      </c>
      <c r="AD680" s="41">
        <v>29.42</v>
      </c>
      <c r="AE680" s="41">
        <v>30.95</v>
      </c>
      <c r="AF680" s="48"/>
      <c r="AG680" s="44"/>
      <c r="AH680" s="7">
        <f t="shared" si="10"/>
        <v>0</v>
      </c>
      <c r="AI680" s="18"/>
      <c r="AJ680" s="18"/>
      <c r="AL680" s="18"/>
    </row>
    <row r="681" spans="1:38" ht="26.65" customHeight="1" x14ac:dyDescent="0.25">
      <c r="A681" s="10" t="s">
        <v>4212</v>
      </c>
      <c r="B681" s="9" t="s">
        <v>3030</v>
      </c>
      <c r="C681" s="9" t="s">
        <v>43</v>
      </c>
      <c r="D681" s="9" t="s">
        <v>3306</v>
      </c>
      <c r="E681" s="9" t="s">
        <v>35</v>
      </c>
      <c r="F681" s="9" t="s">
        <v>36</v>
      </c>
      <c r="G681" s="9">
        <v>5</v>
      </c>
      <c r="H681" s="9">
        <v>84219999</v>
      </c>
      <c r="I681" s="11" t="s">
        <v>37</v>
      </c>
      <c r="J681" s="12">
        <v>1.6500000000000001E-2</v>
      </c>
      <c r="K681" s="12">
        <v>7.5999999999999998E-2</v>
      </c>
      <c r="L681" s="12">
        <v>5.1999999999999998E-2</v>
      </c>
      <c r="M681" s="13">
        <v>8003453096035</v>
      </c>
      <c r="N681" s="14">
        <v>0.18</v>
      </c>
      <c r="O681" s="14">
        <v>0.23499999999999999</v>
      </c>
      <c r="P681" s="15" t="s">
        <v>35</v>
      </c>
      <c r="Q681" s="16" t="s">
        <v>4213</v>
      </c>
      <c r="R681" s="17" t="s">
        <v>35</v>
      </c>
      <c r="S681" s="17" t="s">
        <v>4214</v>
      </c>
      <c r="T681" s="17" t="s">
        <v>4215</v>
      </c>
      <c r="U681" s="17" t="s">
        <v>35</v>
      </c>
      <c r="V681" s="17" t="s">
        <v>4216</v>
      </c>
      <c r="W681" s="17" t="s">
        <v>4217</v>
      </c>
      <c r="X681" s="17" t="s">
        <v>4218</v>
      </c>
      <c r="Y681" s="17" t="s">
        <v>35</v>
      </c>
      <c r="Z681" s="17" t="s">
        <v>35</v>
      </c>
      <c r="AA681" s="17" t="s">
        <v>35</v>
      </c>
      <c r="AB681" s="17" t="s">
        <v>35</v>
      </c>
      <c r="AC681" s="17" t="s">
        <v>9539</v>
      </c>
      <c r="AD681" s="41">
        <v>14.1</v>
      </c>
      <c r="AE681" s="41">
        <v>14.83</v>
      </c>
      <c r="AF681" s="48"/>
      <c r="AG681" s="44"/>
      <c r="AH681" s="7">
        <f t="shared" si="10"/>
        <v>0</v>
      </c>
      <c r="AI681" s="18"/>
      <c r="AJ681" s="18"/>
    </row>
    <row r="682" spans="1:38" ht="26.65" customHeight="1" x14ac:dyDescent="0.25">
      <c r="A682" s="10" t="s">
        <v>4219</v>
      </c>
      <c r="B682" s="9" t="s">
        <v>3030</v>
      </c>
      <c r="C682" s="9" t="s">
        <v>34</v>
      </c>
      <c r="D682" s="9" t="s">
        <v>3031</v>
      </c>
      <c r="E682" s="9" t="s">
        <v>35</v>
      </c>
      <c r="F682" s="9" t="s">
        <v>36</v>
      </c>
      <c r="G682" s="9">
        <v>1</v>
      </c>
      <c r="H682" s="9">
        <v>84219999</v>
      </c>
      <c r="I682" s="11" t="s">
        <v>37</v>
      </c>
      <c r="J682" s="12">
        <v>1.6500000000000001E-2</v>
      </c>
      <c r="K682" s="12">
        <v>7.5999999999999998E-2</v>
      </c>
      <c r="L682" s="12">
        <v>5.1999999999999998E-2</v>
      </c>
      <c r="M682" s="13">
        <v>8003453096356</v>
      </c>
      <c r="N682" s="14">
        <v>0.13</v>
      </c>
      <c r="O682" s="14">
        <v>0.17299999999999999</v>
      </c>
      <c r="P682" s="15">
        <v>45139</v>
      </c>
      <c r="Q682" s="16" t="s">
        <v>4220</v>
      </c>
      <c r="R682" s="17" t="s">
        <v>4221</v>
      </c>
      <c r="S682" s="17" t="s">
        <v>4222</v>
      </c>
      <c r="T682" s="17" t="s">
        <v>35</v>
      </c>
      <c r="U682" s="17" t="s">
        <v>35</v>
      </c>
      <c r="V682" s="17" t="s">
        <v>35</v>
      </c>
      <c r="W682" s="17" t="s">
        <v>35</v>
      </c>
      <c r="X682" s="17" t="s">
        <v>4223</v>
      </c>
      <c r="Y682" s="17" t="s">
        <v>35</v>
      </c>
      <c r="Z682" s="17" t="s">
        <v>35</v>
      </c>
      <c r="AA682" s="17" t="s">
        <v>35</v>
      </c>
      <c r="AB682" s="17" t="s">
        <v>35</v>
      </c>
      <c r="AC682" s="17" t="s">
        <v>9539</v>
      </c>
      <c r="AD682" s="41">
        <v>43.95</v>
      </c>
      <c r="AE682" s="41">
        <v>46.24</v>
      </c>
      <c r="AF682" s="48"/>
      <c r="AG682" s="44"/>
      <c r="AH682" s="7">
        <f t="shared" si="10"/>
        <v>0</v>
      </c>
      <c r="AI682" s="18"/>
      <c r="AJ682" s="18"/>
    </row>
    <row r="683" spans="1:38" ht="26.65" customHeight="1" x14ac:dyDescent="0.25">
      <c r="A683" s="10" t="s">
        <v>4224</v>
      </c>
      <c r="B683" s="9" t="s">
        <v>3030</v>
      </c>
      <c r="C683" s="9" t="s">
        <v>34</v>
      </c>
      <c r="D683" s="9" t="s">
        <v>3207</v>
      </c>
      <c r="E683" s="9" t="s">
        <v>35</v>
      </c>
      <c r="F683" s="9" t="s">
        <v>36</v>
      </c>
      <c r="G683" s="9">
        <v>1</v>
      </c>
      <c r="H683" s="9">
        <v>84219999</v>
      </c>
      <c r="I683" s="11" t="s">
        <v>37</v>
      </c>
      <c r="J683" s="12">
        <v>1.6500000000000001E-2</v>
      </c>
      <c r="K683" s="12">
        <v>7.5999999999999998E-2</v>
      </c>
      <c r="L683" s="12">
        <v>5.1999999999999998E-2</v>
      </c>
      <c r="M683" s="13">
        <v>8003453096554</v>
      </c>
      <c r="N683" s="14">
        <v>4</v>
      </c>
      <c r="O683" s="14">
        <v>4.4000000000000004</v>
      </c>
      <c r="P683" s="15">
        <v>44868</v>
      </c>
      <c r="Q683" s="16" t="s">
        <v>4225</v>
      </c>
      <c r="R683" s="17" t="s">
        <v>4226</v>
      </c>
      <c r="S683" s="17" t="s">
        <v>4227</v>
      </c>
      <c r="T683" s="17" t="s">
        <v>35</v>
      </c>
      <c r="U683" s="17" t="s">
        <v>35</v>
      </c>
      <c r="V683" s="17" t="s">
        <v>4228</v>
      </c>
      <c r="W683" s="17" t="s">
        <v>35</v>
      </c>
      <c r="X683" s="17" t="s">
        <v>35</v>
      </c>
      <c r="Y683" s="17" t="s">
        <v>35</v>
      </c>
      <c r="Z683" s="17" t="s">
        <v>4229</v>
      </c>
      <c r="AA683" s="17" t="s">
        <v>35</v>
      </c>
      <c r="AB683" s="17" t="s">
        <v>4230</v>
      </c>
      <c r="AC683" s="17" t="s">
        <v>9539</v>
      </c>
      <c r="AD683" s="42">
        <v>214.38</v>
      </c>
      <c r="AE683" s="42">
        <v>225.53</v>
      </c>
      <c r="AF683" s="48"/>
      <c r="AG683" s="44"/>
      <c r="AH683" s="7">
        <f t="shared" si="10"/>
        <v>0</v>
      </c>
      <c r="AI683" s="18"/>
      <c r="AJ683" s="18"/>
    </row>
    <row r="684" spans="1:38" ht="26.65" customHeight="1" x14ac:dyDescent="0.25">
      <c r="A684" s="10" t="s">
        <v>4231</v>
      </c>
      <c r="B684" s="9" t="s">
        <v>3030</v>
      </c>
      <c r="C684" s="9" t="s">
        <v>34</v>
      </c>
      <c r="D684" s="9" t="s">
        <v>3031</v>
      </c>
      <c r="E684" s="9" t="s">
        <v>35</v>
      </c>
      <c r="F684" s="9" t="s">
        <v>36</v>
      </c>
      <c r="G684" s="9">
        <v>1</v>
      </c>
      <c r="H684" s="9">
        <v>84219999</v>
      </c>
      <c r="I684" s="11" t="s">
        <v>37</v>
      </c>
      <c r="J684" s="12">
        <v>1.6500000000000001E-2</v>
      </c>
      <c r="K684" s="12">
        <v>7.5999999999999998E-2</v>
      </c>
      <c r="L684" s="12">
        <v>5.1999999999999998E-2</v>
      </c>
      <c r="M684" s="13">
        <v>8003453096592</v>
      </c>
      <c r="N684" s="14">
        <v>2.06</v>
      </c>
      <c r="O684" s="14">
        <v>2.2999999999999998</v>
      </c>
      <c r="P684" s="15" t="s">
        <v>35</v>
      </c>
      <c r="Q684" s="16" t="s">
        <v>4232</v>
      </c>
      <c r="R684" s="17">
        <v>79043779</v>
      </c>
      <c r="S684" s="17" t="s">
        <v>4233</v>
      </c>
      <c r="T684" s="17" t="s">
        <v>4234</v>
      </c>
      <c r="U684" s="17" t="s">
        <v>4235</v>
      </c>
      <c r="V684" s="17" t="s">
        <v>4236</v>
      </c>
      <c r="W684" s="17" t="s">
        <v>4237</v>
      </c>
      <c r="X684" s="17" t="s">
        <v>4238</v>
      </c>
      <c r="Y684" s="17" t="s">
        <v>35</v>
      </c>
      <c r="Z684" s="17" t="s">
        <v>4239</v>
      </c>
      <c r="AA684" s="17" t="s">
        <v>35</v>
      </c>
      <c r="AB684" s="17" t="s">
        <v>4240</v>
      </c>
      <c r="AC684" s="17" t="s">
        <v>9539</v>
      </c>
      <c r="AD684" s="41">
        <v>127.85</v>
      </c>
      <c r="AE684" s="41">
        <v>134.5</v>
      </c>
      <c r="AF684" s="48"/>
      <c r="AG684" s="44"/>
      <c r="AH684" s="7">
        <f t="shared" si="10"/>
        <v>0</v>
      </c>
      <c r="AI684" s="18"/>
      <c r="AJ684" s="18"/>
    </row>
    <row r="685" spans="1:38" ht="26.65" customHeight="1" x14ac:dyDescent="0.25">
      <c r="A685" s="10" t="s">
        <v>4241</v>
      </c>
      <c r="B685" s="9" t="s">
        <v>3030</v>
      </c>
      <c r="C685" s="9" t="s">
        <v>34</v>
      </c>
      <c r="D685" s="9" t="s">
        <v>3031</v>
      </c>
      <c r="E685" s="9" t="s">
        <v>35</v>
      </c>
      <c r="F685" s="9" t="s">
        <v>36</v>
      </c>
      <c r="G685" s="9">
        <v>6</v>
      </c>
      <c r="H685" s="9">
        <v>84219999</v>
      </c>
      <c r="I685" s="11" t="s">
        <v>37</v>
      </c>
      <c r="J685" s="12">
        <v>1.6500000000000001E-2</v>
      </c>
      <c r="K685" s="12">
        <v>7.5999999999999998E-2</v>
      </c>
      <c r="L685" s="12">
        <v>5.1999999999999998E-2</v>
      </c>
      <c r="M685" s="13">
        <v>8003453096677</v>
      </c>
      <c r="N685" s="14">
        <v>0.45200000000000001</v>
      </c>
      <c r="O685" s="14">
        <v>0.60199999999999998</v>
      </c>
      <c r="P685" s="15">
        <v>44868</v>
      </c>
      <c r="Q685" s="16" t="s">
        <v>4242</v>
      </c>
      <c r="R685" s="17" t="s">
        <v>4243</v>
      </c>
      <c r="S685" s="17" t="s">
        <v>4244</v>
      </c>
      <c r="T685" s="17" t="s">
        <v>4245</v>
      </c>
      <c r="U685" s="17" t="s">
        <v>4246</v>
      </c>
      <c r="V685" s="17" t="s">
        <v>4247</v>
      </c>
      <c r="W685" s="17" t="s">
        <v>4248</v>
      </c>
      <c r="X685" s="17" t="s">
        <v>4249</v>
      </c>
      <c r="Y685" s="17" t="s">
        <v>4250</v>
      </c>
      <c r="Z685" s="17" t="s">
        <v>4251</v>
      </c>
      <c r="AA685" s="17" t="s">
        <v>35</v>
      </c>
      <c r="AB685" s="17" t="s">
        <v>4252</v>
      </c>
      <c r="AC685" s="17" t="s">
        <v>9539</v>
      </c>
      <c r="AD685" s="41">
        <v>43.68</v>
      </c>
      <c r="AE685" s="41">
        <v>45.95</v>
      </c>
      <c r="AF685" s="48"/>
      <c r="AG685" s="44"/>
      <c r="AH685" s="7">
        <f t="shared" si="10"/>
        <v>0</v>
      </c>
      <c r="AI685" s="18"/>
      <c r="AJ685" s="18"/>
    </row>
    <row r="686" spans="1:38" ht="26.65" customHeight="1" x14ac:dyDescent="0.25">
      <c r="A686" s="10" t="s">
        <v>4253</v>
      </c>
      <c r="B686" s="9" t="s">
        <v>3030</v>
      </c>
      <c r="C686" s="9" t="s">
        <v>154</v>
      </c>
      <c r="D686" s="9" t="s">
        <v>3031</v>
      </c>
      <c r="E686" s="9" t="s">
        <v>35</v>
      </c>
      <c r="F686" s="9" t="s">
        <v>36</v>
      </c>
      <c r="G686" s="9">
        <v>1</v>
      </c>
      <c r="H686" s="9">
        <v>84219999</v>
      </c>
      <c r="I686" s="11" t="s">
        <v>37</v>
      </c>
      <c r="J686" s="12">
        <v>1.6500000000000001E-2</v>
      </c>
      <c r="K686" s="12">
        <v>7.5999999999999998E-2</v>
      </c>
      <c r="L686" s="12">
        <v>5.1999999999999998E-2</v>
      </c>
      <c r="M686" s="13">
        <v>8003453096684</v>
      </c>
      <c r="N686" s="14">
        <v>1.7250000000000001</v>
      </c>
      <c r="O686" s="14">
        <v>1.9470000000000001</v>
      </c>
      <c r="P686" s="15">
        <v>44927</v>
      </c>
      <c r="Q686" s="16" t="s">
        <v>4254</v>
      </c>
      <c r="R686" s="17" t="s">
        <v>4255</v>
      </c>
      <c r="S686" s="17" t="s">
        <v>4256</v>
      </c>
      <c r="T686" s="17" t="s">
        <v>4257</v>
      </c>
      <c r="U686" s="17" t="s">
        <v>4258</v>
      </c>
      <c r="V686" s="17" t="s">
        <v>4259</v>
      </c>
      <c r="W686" s="17" t="s">
        <v>4260</v>
      </c>
      <c r="X686" s="17" t="s">
        <v>4261</v>
      </c>
      <c r="Y686" s="17" t="s">
        <v>4262</v>
      </c>
      <c r="Z686" s="17" t="s">
        <v>4263</v>
      </c>
      <c r="AA686" s="17" t="s">
        <v>35</v>
      </c>
      <c r="AB686" s="17" t="s">
        <v>4264</v>
      </c>
      <c r="AC686" s="17" t="s">
        <v>9539</v>
      </c>
      <c r="AD686" s="42">
        <v>103.34</v>
      </c>
      <c r="AE686" s="42">
        <v>108.71</v>
      </c>
      <c r="AF686" s="48"/>
      <c r="AG686" s="44"/>
      <c r="AH686" s="7">
        <f t="shared" si="10"/>
        <v>0</v>
      </c>
      <c r="AI686" s="18"/>
      <c r="AJ686" s="18"/>
    </row>
    <row r="687" spans="1:38" ht="26.65" customHeight="1" x14ac:dyDescent="0.25">
      <c r="A687" s="10" t="s">
        <v>4265</v>
      </c>
      <c r="B687" s="9" t="s">
        <v>3030</v>
      </c>
      <c r="C687" s="9" t="s">
        <v>58</v>
      </c>
      <c r="D687" s="9" t="s">
        <v>3031</v>
      </c>
      <c r="E687" s="9" t="s">
        <v>35</v>
      </c>
      <c r="F687" s="9" t="s">
        <v>2072</v>
      </c>
      <c r="G687" s="9">
        <v>1</v>
      </c>
      <c r="H687" s="9">
        <v>84219999</v>
      </c>
      <c r="I687" s="11" t="s">
        <v>2073</v>
      </c>
      <c r="J687" s="12">
        <v>1.6500000000000001E-2</v>
      </c>
      <c r="K687" s="12">
        <v>7.5999999999999998E-2</v>
      </c>
      <c r="L687" s="12">
        <v>0</v>
      </c>
      <c r="M687" s="13">
        <v>8003453096714</v>
      </c>
      <c r="N687" s="14">
        <v>1.95</v>
      </c>
      <c r="O687" s="14">
        <v>2.2250000000000001</v>
      </c>
      <c r="P687" s="15" t="s">
        <v>35</v>
      </c>
      <c r="Q687" s="16" t="s">
        <v>4266</v>
      </c>
      <c r="R687" s="17" t="s">
        <v>4267</v>
      </c>
      <c r="S687" s="17" t="s">
        <v>4268</v>
      </c>
      <c r="T687" s="17" t="s">
        <v>4269</v>
      </c>
      <c r="U687" s="17" t="s">
        <v>4270</v>
      </c>
      <c r="V687" s="17" t="s">
        <v>4271</v>
      </c>
      <c r="W687" s="17" t="s">
        <v>4272</v>
      </c>
      <c r="X687" s="17" t="s">
        <v>4273</v>
      </c>
      <c r="Y687" s="17" t="s">
        <v>4274</v>
      </c>
      <c r="Z687" s="17" t="s">
        <v>4275</v>
      </c>
      <c r="AA687" s="17" t="s">
        <v>4276</v>
      </c>
      <c r="AB687" s="17" t="s">
        <v>4277</v>
      </c>
      <c r="AC687" s="17" t="s">
        <v>9539</v>
      </c>
      <c r="AD687" s="41">
        <v>92.62</v>
      </c>
      <c r="AE687" s="41">
        <v>92.62</v>
      </c>
      <c r="AF687" s="48"/>
      <c r="AG687" s="44"/>
      <c r="AH687" s="7">
        <f t="shared" si="10"/>
        <v>0</v>
      </c>
      <c r="AI687" s="18"/>
      <c r="AJ687" s="18"/>
    </row>
    <row r="688" spans="1:38" ht="26.65" customHeight="1" x14ac:dyDescent="0.25">
      <c r="A688" s="10" t="s">
        <v>4278</v>
      </c>
      <c r="B688" s="9" t="s">
        <v>3030</v>
      </c>
      <c r="C688" s="9" t="s">
        <v>58</v>
      </c>
      <c r="D688" s="9" t="s">
        <v>3031</v>
      </c>
      <c r="E688" s="9" t="s">
        <v>35</v>
      </c>
      <c r="F688" s="9" t="s">
        <v>36</v>
      </c>
      <c r="G688" s="9">
        <v>1</v>
      </c>
      <c r="H688" s="9">
        <v>84219999</v>
      </c>
      <c r="I688" s="11" t="s">
        <v>37</v>
      </c>
      <c r="J688" s="12">
        <v>1.6500000000000001E-2</v>
      </c>
      <c r="K688" s="12">
        <v>7.5999999999999998E-2</v>
      </c>
      <c r="L688" s="12">
        <v>5.1999999999999998E-2</v>
      </c>
      <c r="M688" s="13">
        <v>8003453096721</v>
      </c>
      <c r="N688" s="14">
        <v>3.0960000000000001</v>
      </c>
      <c r="O688" s="14">
        <v>3.2040000000000002</v>
      </c>
      <c r="P688" s="15" t="s">
        <v>35</v>
      </c>
      <c r="Q688" s="16" t="s">
        <v>4279</v>
      </c>
      <c r="R688" s="17" t="s">
        <v>35</v>
      </c>
      <c r="S688" s="17" t="s">
        <v>4280</v>
      </c>
      <c r="T688" s="17" t="s">
        <v>4281</v>
      </c>
      <c r="U688" s="17" t="s">
        <v>4282</v>
      </c>
      <c r="V688" s="17" t="s">
        <v>4283</v>
      </c>
      <c r="W688" s="17" t="s">
        <v>4284</v>
      </c>
      <c r="X688" s="17" t="s">
        <v>4285</v>
      </c>
      <c r="Y688" s="17" t="s">
        <v>4286</v>
      </c>
      <c r="Z688" s="17" t="s">
        <v>4287</v>
      </c>
      <c r="AA688" s="17" t="s">
        <v>35</v>
      </c>
      <c r="AB688" s="17" t="s">
        <v>4288</v>
      </c>
      <c r="AC688" s="17" t="s">
        <v>9539</v>
      </c>
      <c r="AD688" s="42">
        <v>143.22</v>
      </c>
      <c r="AE688" s="42">
        <v>150.66999999999999</v>
      </c>
      <c r="AF688" s="48"/>
      <c r="AG688" s="44"/>
      <c r="AH688" s="7">
        <f t="shared" si="10"/>
        <v>0</v>
      </c>
      <c r="AI688" s="18"/>
      <c r="AJ688" s="18"/>
    </row>
    <row r="689" spans="1:38" ht="26.65" customHeight="1" x14ac:dyDescent="0.25">
      <c r="A689" s="10" t="s">
        <v>4289</v>
      </c>
      <c r="B689" s="9" t="s">
        <v>3030</v>
      </c>
      <c r="C689" s="9" t="s">
        <v>34</v>
      </c>
      <c r="D689" s="9" t="s">
        <v>3306</v>
      </c>
      <c r="E689" s="9" t="s">
        <v>35</v>
      </c>
      <c r="F689" s="9" t="s">
        <v>36</v>
      </c>
      <c r="G689" s="9">
        <v>1</v>
      </c>
      <c r="H689" s="9">
        <v>84219999</v>
      </c>
      <c r="I689" s="11" t="s">
        <v>37</v>
      </c>
      <c r="J689" s="12">
        <v>1.6500000000000001E-2</v>
      </c>
      <c r="K689" s="12">
        <v>7.5999999999999998E-2</v>
      </c>
      <c r="L689" s="12">
        <v>5.1999999999999998E-2</v>
      </c>
      <c r="M689" s="13">
        <v>8003453096745</v>
      </c>
      <c r="N689" s="14">
        <v>0.26200000000000001</v>
      </c>
      <c r="O689" s="14">
        <v>0.33100000000000002</v>
      </c>
      <c r="P689" s="15" t="s">
        <v>35</v>
      </c>
      <c r="Q689" s="16" t="s">
        <v>4290</v>
      </c>
      <c r="R689" s="17" t="s">
        <v>35</v>
      </c>
      <c r="S689" s="17" t="s">
        <v>4291</v>
      </c>
      <c r="T689" s="17" t="s">
        <v>4292</v>
      </c>
      <c r="U689" s="17" t="s">
        <v>4293</v>
      </c>
      <c r="V689" s="17" t="s">
        <v>35</v>
      </c>
      <c r="W689" s="17" t="s">
        <v>35</v>
      </c>
      <c r="X689" s="17" t="s">
        <v>4294</v>
      </c>
      <c r="Y689" s="17" t="s">
        <v>35</v>
      </c>
      <c r="Z689" s="17" t="s">
        <v>4295</v>
      </c>
      <c r="AA689" s="17" t="s">
        <v>35</v>
      </c>
      <c r="AB689" s="17" t="s">
        <v>35</v>
      </c>
      <c r="AC689" s="17" t="s">
        <v>9539</v>
      </c>
      <c r="AD689" s="41">
        <v>49.31</v>
      </c>
      <c r="AE689" s="41">
        <v>51.87</v>
      </c>
      <c r="AF689" s="48"/>
      <c r="AG689" s="44"/>
      <c r="AH689" s="7">
        <f t="shared" si="10"/>
        <v>0</v>
      </c>
      <c r="AI689" s="18"/>
      <c r="AJ689" s="18"/>
    </row>
    <row r="690" spans="1:38" ht="26.65" customHeight="1" x14ac:dyDescent="0.25">
      <c r="A690" s="10" t="s">
        <v>4296</v>
      </c>
      <c r="B690" s="9" t="s">
        <v>3030</v>
      </c>
      <c r="C690" s="9" t="s">
        <v>34</v>
      </c>
      <c r="D690" s="9" t="s">
        <v>3031</v>
      </c>
      <c r="E690" s="9" t="s">
        <v>35</v>
      </c>
      <c r="F690" s="9" t="s">
        <v>36</v>
      </c>
      <c r="G690" s="9">
        <v>1</v>
      </c>
      <c r="H690" s="9">
        <v>84219999</v>
      </c>
      <c r="I690" s="11" t="s">
        <v>37</v>
      </c>
      <c r="J690" s="12">
        <v>1.6500000000000001E-2</v>
      </c>
      <c r="K690" s="12">
        <v>7.5999999999999998E-2</v>
      </c>
      <c r="L690" s="12">
        <v>5.1999999999999998E-2</v>
      </c>
      <c r="M690" s="13">
        <v>8003453096776</v>
      </c>
      <c r="N690" s="14">
        <v>0.8</v>
      </c>
      <c r="O690" s="14">
        <v>0.9</v>
      </c>
      <c r="P690" s="15">
        <v>45139</v>
      </c>
      <c r="Q690" s="16" t="s">
        <v>4297</v>
      </c>
      <c r="R690" s="17" t="s">
        <v>4298</v>
      </c>
      <c r="S690" s="17" t="s">
        <v>4299</v>
      </c>
      <c r="T690" s="17" t="s">
        <v>4300</v>
      </c>
      <c r="U690" s="17" t="s">
        <v>35</v>
      </c>
      <c r="V690" s="17" t="s">
        <v>35</v>
      </c>
      <c r="W690" s="17" t="s">
        <v>35</v>
      </c>
      <c r="X690" s="17" t="s">
        <v>4301</v>
      </c>
      <c r="Y690" s="17" t="s">
        <v>35</v>
      </c>
      <c r="Z690" s="17" t="s">
        <v>35</v>
      </c>
      <c r="AA690" s="17" t="s">
        <v>35</v>
      </c>
      <c r="AB690" s="17" t="s">
        <v>35</v>
      </c>
      <c r="AC690" s="17" t="s">
        <v>9539</v>
      </c>
      <c r="AD690" s="41">
        <v>47.93</v>
      </c>
      <c r="AE690" s="41">
        <v>50.42</v>
      </c>
      <c r="AF690" s="48"/>
      <c r="AG690" s="44"/>
      <c r="AH690" s="7">
        <f t="shared" si="10"/>
        <v>0</v>
      </c>
      <c r="AI690" s="18"/>
      <c r="AJ690" s="18"/>
      <c r="AL690" s="18"/>
    </row>
    <row r="691" spans="1:38" ht="26.65" customHeight="1" x14ac:dyDescent="0.25">
      <c r="A691" s="10" t="s">
        <v>4302</v>
      </c>
      <c r="B691" s="9" t="s">
        <v>3030</v>
      </c>
      <c r="C691" s="9" t="s">
        <v>43</v>
      </c>
      <c r="D691" s="9" t="s">
        <v>3031</v>
      </c>
      <c r="E691" s="9" t="s">
        <v>35</v>
      </c>
      <c r="F691" s="9" t="s">
        <v>36</v>
      </c>
      <c r="G691" s="9">
        <v>1</v>
      </c>
      <c r="H691" s="9">
        <v>84219999</v>
      </c>
      <c r="I691" s="11" t="s">
        <v>37</v>
      </c>
      <c r="J691" s="12">
        <v>1.6500000000000001E-2</v>
      </c>
      <c r="K691" s="12">
        <v>7.5999999999999998E-2</v>
      </c>
      <c r="L691" s="12">
        <v>5.1999999999999998E-2</v>
      </c>
      <c r="M691" s="13">
        <v>8003453096844</v>
      </c>
      <c r="N691" s="14">
        <v>0.22500000000000001</v>
      </c>
      <c r="O691" s="14">
        <v>0.34100000000000003</v>
      </c>
      <c r="P691" s="15" t="s">
        <v>35</v>
      </c>
      <c r="Q691" s="16" t="s">
        <v>4303</v>
      </c>
      <c r="R691" s="17" t="s">
        <v>35</v>
      </c>
      <c r="S691" s="17" t="s">
        <v>4304</v>
      </c>
      <c r="T691" s="17" t="s">
        <v>4305</v>
      </c>
      <c r="U691" s="17" t="s">
        <v>4306</v>
      </c>
      <c r="V691" s="17" t="s">
        <v>4307</v>
      </c>
      <c r="W691" s="17" t="s">
        <v>4308</v>
      </c>
      <c r="X691" s="17" t="s">
        <v>4309</v>
      </c>
      <c r="Y691" s="17" t="s">
        <v>4310</v>
      </c>
      <c r="Z691" s="17" t="s">
        <v>35</v>
      </c>
      <c r="AA691" s="17" t="s">
        <v>35</v>
      </c>
      <c r="AB691" s="17" t="s">
        <v>35</v>
      </c>
      <c r="AC691" s="17" t="s">
        <v>9539</v>
      </c>
      <c r="AD691" s="42">
        <v>22.45</v>
      </c>
      <c r="AE691" s="42">
        <v>23.62</v>
      </c>
      <c r="AF691" s="48"/>
      <c r="AG691" s="44"/>
      <c r="AH691" s="7">
        <f t="shared" si="10"/>
        <v>0</v>
      </c>
      <c r="AI691" s="18"/>
      <c r="AJ691" s="18"/>
    </row>
    <row r="692" spans="1:38" ht="26.65" customHeight="1" x14ac:dyDescent="0.25">
      <c r="A692" s="10" t="s">
        <v>4311</v>
      </c>
      <c r="B692" s="9" t="s">
        <v>3030</v>
      </c>
      <c r="C692" s="9" t="s">
        <v>34</v>
      </c>
      <c r="D692" s="9" t="s">
        <v>3031</v>
      </c>
      <c r="E692" s="9" t="s">
        <v>35</v>
      </c>
      <c r="F692" s="9" t="s">
        <v>36</v>
      </c>
      <c r="G692" s="9">
        <v>1</v>
      </c>
      <c r="H692" s="9">
        <v>84219999</v>
      </c>
      <c r="I692" s="11" t="s">
        <v>37</v>
      </c>
      <c r="J692" s="12">
        <v>1.6500000000000001E-2</v>
      </c>
      <c r="K692" s="12">
        <v>7.5999999999999998E-2</v>
      </c>
      <c r="L692" s="12">
        <v>5.1999999999999998E-2</v>
      </c>
      <c r="M692" s="13">
        <v>8003453096950</v>
      </c>
      <c r="N692" s="14">
        <v>0.89700000000000002</v>
      </c>
      <c r="O692" s="14">
        <v>1.036</v>
      </c>
      <c r="P692" s="15">
        <v>45139</v>
      </c>
      <c r="Q692" s="16" t="s">
        <v>4312</v>
      </c>
      <c r="R692" s="17" t="s">
        <v>4313</v>
      </c>
      <c r="S692" s="17" t="s">
        <v>4314</v>
      </c>
      <c r="T692" s="17" t="s">
        <v>4315</v>
      </c>
      <c r="U692" s="17" t="s">
        <v>35</v>
      </c>
      <c r="V692" s="17" t="s">
        <v>35</v>
      </c>
      <c r="W692" s="17" t="s">
        <v>35</v>
      </c>
      <c r="X692" s="17" t="s">
        <v>4316</v>
      </c>
      <c r="Y692" s="17" t="s">
        <v>35</v>
      </c>
      <c r="Z692" s="17" t="s">
        <v>4317</v>
      </c>
      <c r="AA692" s="17" t="s">
        <v>35</v>
      </c>
      <c r="AB692" s="17" t="s">
        <v>4318</v>
      </c>
      <c r="AC692" s="17" t="s">
        <v>9539</v>
      </c>
      <c r="AD692" s="41">
        <v>70.13</v>
      </c>
      <c r="AE692" s="41">
        <v>73.78</v>
      </c>
      <c r="AF692" s="48"/>
      <c r="AG692" s="44"/>
      <c r="AH692" s="7">
        <f t="shared" si="10"/>
        <v>0</v>
      </c>
      <c r="AI692" s="18"/>
      <c r="AJ692" s="18"/>
    </row>
    <row r="693" spans="1:38" ht="26.65" customHeight="1" x14ac:dyDescent="0.25">
      <c r="A693" s="10" t="s">
        <v>4319</v>
      </c>
      <c r="B693" s="9" t="s">
        <v>3030</v>
      </c>
      <c r="C693" s="9" t="s">
        <v>58</v>
      </c>
      <c r="D693" s="9" t="s">
        <v>3031</v>
      </c>
      <c r="E693" s="9" t="s">
        <v>35</v>
      </c>
      <c r="F693" s="9" t="s">
        <v>2072</v>
      </c>
      <c r="G693" s="9">
        <v>1</v>
      </c>
      <c r="H693" s="9">
        <v>84219999</v>
      </c>
      <c r="I693" s="11" t="s">
        <v>2073</v>
      </c>
      <c r="J693" s="12">
        <v>1.6500000000000001E-2</v>
      </c>
      <c r="K693" s="12">
        <v>7.5999999999999998E-2</v>
      </c>
      <c r="L693" s="12">
        <v>0</v>
      </c>
      <c r="M693" s="13">
        <v>8003453096974</v>
      </c>
      <c r="N693" s="14">
        <v>1.835</v>
      </c>
      <c r="O693" s="14">
        <v>2.11</v>
      </c>
      <c r="P693" s="15" t="s">
        <v>35</v>
      </c>
      <c r="Q693" s="16" t="s">
        <v>4320</v>
      </c>
      <c r="R693" s="17" t="s">
        <v>4321</v>
      </c>
      <c r="S693" s="17" t="s">
        <v>4322</v>
      </c>
      <c r="T693" s="17" t="s">
        <v>4323</v>
      </c>
      <c r="U693" s="17" t="s">
        <v>4324</v>
      </c>
      <c r="V693" s="17" t="s">
        <v>4325</v>
      </c>
      <c r="W693" s="17" t="s">
        <v>35</v>
      </c>
      <c r="X693" s="17" t="s">
        <v>4326</v>
      </c>
      <c r="Y693" s="17" t="s">
        <v>4327</v>
      </c>
      <c r="Z693" s="17" t="s">
        <v>4328</v>
      </c>
      <c r="AA693" s="17" t="s">
        <v>35</v>
      </c>
      <c r="AB693" s="17" t="s">
        <v>35</v>
      </c>
      <c r="AC693" s="17" t="s">
        <v>9539</v>
      </c>
      <c r="AD693" s="41">
        <v>95.63</v>
      </c>
      <c r="AE693" s="41">
        <v>95.63</v>
      </c>
      <c r="AF693" s="48"/>
      <c r="AG693" s="44"/>
      <c r="AH693" s="7">
        <f t="shared" si="10"/>
        <v>0</v>
      </c>
      <c r="AI693" s="18"/>
      <c r="AJ693" s="18"/>
      <c r="AL693" s="18"/>
    </row>
    <row r="694" spans="1:38" ht="26.65" customHeight="1" x14ac:dyDescent="0.25">
      <c r="A694" s="10" t="s">
        <v>4329</v>
      </c>
      <c r="B694" s="9" t="s">
        <v>3030</v>
      </c>
      <c r="C694" s="9" t="s">
        <v>43</v>
      </c>
      <c r="D694" s="9" t="s">
        <v>3031</v>
      </c>
      <c r="E694" s="9" t="s">
        <v>35</v>
      </c>
      <c r="F694" s="9" t="s">
        <v>36</v>
      </c>
      <c r="G694" s="9">
        <v>5</v>
      </c>
      <c r="H694" s="9">
        <v>84219999</v>
      </c>
      <c r="I694" s="11" t="s">
        <v>37</v>
      </c>
      <c r="J694" s="12">
        <v>1.6500000000000001E-2</v>
      </c>
      <c r="K694" s="12">
        <v>7.5999999999999998E-2</v>
      </c>
      <c r="L694" s="12">
        <v>5.1999999999999998E-2</v>
      </c>
      <c r="M694" s="13">
        <v>8003453097049</v>
      </c>
      <c r="N694" s="14">
        <v>0.22500000000000001</v>
      </c>
      <c r="O694" s="14">
        <v>0.32600000000000001</v>
      </c>
      <c r="P694" s="15" t="s">
        <v>35</v>
      </c>
      <c r="Q694" s="16" t="s">
        <v>4330</v>
      </c>
      <c r="R694" s="17" t="s">
        <v>35</v>
      </c>
      <c r="S694" s="17" t="s">
        <v>4331</v>
      </c>
      <c r="T694" s="17" t="s">
        <v>4332</v>
      </c>
      <c r="U694" s="17" t="s">
        <v>4333</v>
      </c>
      <c r="V694" s="17" t="s">
        <v>4334</v>
      </c>
      <c r="W694" s="17" t="s">
        <v>35</v>
      </c>
      <c r="X694" s="17" t="s">
        <v>4335</v>
      </c>
      <c r="Y694" s="17" t="s">
        <v>4336</v>
      </c>
      <c r="Z694" s="17" t="s">
        <v>35</v>
      </c>
      <c r="AA694" s="17" t="s">
        <v>35</v>
      </c>
      <c r="AB694" s="17" t="s">
        <v>35</v>
      </c>
      <c r="AC694" s="17" t="s">
        <v>9539</v>
      </c>
      <c r="AD694" s="41">
        <v>18.399999999999999</v>
      </c>
      <c r="AE694" s="41">
        <v>19.36</v>
      </c>
      <c r="AF694" s="48"/>
      <c r="AG694" s="44"/>
      <c r="AH694" s="7">
        <f t="shared" si="10"/>
        <v>0</v>
      </c>
      <c r="AI694" s="18"/>
      <c r="AJ694" s="18"/>
      <c r="AL694" s="18"/>
    </row>
    <row r="695" spans="1:38" ht="26.65" customHeight="1" x14ac:dyDescent="0.25">
      <c r="A695" s="10" t="s">
        <v>4337</v>
      </c>
      <c r="B695" s="9" t="s">
        <v>3030</v>
      </c>
      <c r="C695" s="9" t="s">
        <v>34</v>
      </c>
      <c r="D695" s="9" t="s">
        <v>3031</v>
      </c>
      <c r="E695" s="9" t="s">
        <v>35</v>
      </c>
      <c r="F695" s="9" t="s">
        <v>36</v>
      </c>
      <c r="G695" s="9">
        <v>1</v>
      </c>
      <c r="H695" s="9">
        <v>84219999</v>
      </c>
      <c r="I695" s="11" t="s">
        <v>37</v>
      </c>
      <c r="J695" s="12">
        <v>1.6500000000000001E-2</v>
      </c>
      <c r="K695" s="12">
        <v>7.5999999999999998E-2</v>
      </c>
      <c r="L695" s="12">
        <v>5.1999999999999998E-2</v>
      </c>
      <c r="M695" s="13">
        <v>8003453097292</v>
      </c>
      <c r="N695" s="14">
        <v>1</v>
      </c>
      <c r="O695" s="14">
        <v>1.302</v>
      </c>
      <c r="P695" s="15" t="s">
        <v>35</v>
      </c>
      <c r="Q695" s="16" t="s">
        <v>4338</v>
      </c>
      <c r="R695" s="17" t="s">
        <v>35</v>
      </c>
      <c r="S695" s="17" t="s">
        <v>4339</v>
      </c>
      <c r="T695" s="17" t="s">
        <v>4340</v>
      </c>
      <c r="U695" s="17" t="s">
        <v>4341</v>
      </c>
      <c r="V695" s="17" t="s">
        <v>4342</v>
      </c>
      <c r="W695" s="17" t="s">
        <v>35</v>
      </c>
      <c r="X695" s="17" t="s">
        <v>4343</v>
      </c>
      <c r="Y695" s="17" t="s">
        <v>4344</v>
      </c>
      <c r="Z695" s="17" t="s">
        <v>4345</v>
      </c>
      <c r="AA695" s="17" t="s">
        <v>35</v>
      </c>
      <c r="AB695" s="17" t="s">
        <v>4346</v>
      </c>
      <c r="AC695" s="17" t="s">
        <v>9539</v>
      </c>
      <c r="AD695" s="42">
        <v>74.48</v>
      </c>
      <c r="AE695" s="42">
        <v>78.349999999999994</v>
      </c>
      <c r="AF695" s="48"/>
      <c r="AG695" s="44"/>
      <c r="AH695" s="7">
        <f t="shared" si="10"/>
        <v>0</v>
      </c>
      <c r="AI695" s="18"/>
      <c r="AJ695" s="18"/>
    </row>
    <row r="696" spans="1:38" ht="26.65" customHeight="1" x14ac:dyDescent="0.25">
      <c r="A696" s="10" t="s">
        <v>4347</v>
      </c>
      <c r="B696" s="9" t="s">
        <v>3030</v>
      </c>
      <c r="C696" s="9" t="s">
        <v>43</v>
      </c>
      <c r="D696" s="9" t="s">
        <v>3031</v>
      </c>
      <c r="E696" s="9" t="s">
        <v>35</v>
      </c>
      <c r="F696" s="9" t="s">
        <v>36</v>
      </c>
      <c r="G696" s="9">
        <v>5</v>
      </c>
      <c r="H696" s="9">
        <v>84219999</v>
      </c>
      <c r="I696" s="11" t="s">
        <v>37</v>
      </c>
      <c r="J696" s="12">
        <v>1.6500000000000001E-2</v>
      </c>
      <c r="K696" s="12">
        <v>7.5999999999999998E-2</v>
      </c>
      <c r="L696" s="12">
        <v>5.1999999999999998E-2</v>
      </c>
      <c r="M696" s="13">
        <v>8003453097377</v>
      </c>
      <c r="N696" s="14">
        <v>0.379</v>
      </c>
      <c r="O696" s="14">
        <v>0.499</v>
      </c>
      <c r="P696" s="15" t="s">
        <v>35</v>
      </c>
      <c r="Q696" s="16" t="s">
        <v>4348</v>
      </c>
      <c r="R696" s="17" t="s">
        <v>35</v>
      </c>
      <c r="S696" s="17" t="s">
        <v>4349</v>
      </c>
      <c r="T696" s="17" t="s">
        <v>4350</v>
      </c>
      <c r="U696" s="17" t="s">
        <v>4351</v>
      </c>
      <c r="V696" s="17" t="s">
        <v>35</v>
      </c>
      <c r="W696" s="17" t="s">
        <v>35</v>
      </c>
      <c r="X696" s="17" t="s">
        <v>4352</v>
      </c>
      <c r="Y696" s="17" t="s">
        <v>4353</v>
      </c>
      <c r="Z696" s="17" t="s">
        <v>4354</v>
      </c>
      <c r="AA696" s="17" t="s">
        <v>35</v>
      </c>
      <c r="AB696" s="17" t="s">
        <v>35</v>
      </c>
      <c r="AC696" s="17" t="s">
        <v>9539</v>
      </c>
      <c r="AD696" s="41">
        <v>39.99</v>
      </c>
      <c r="AE696" s="41">
        <v>42.07</v>
      </c>
      <c r="AF696" s="48"/>
      <c r="AG696" s="44"/>
      <c r="AH696" s="7">
        <f t="shared" si="10"/>
        <v>0</v>
      </c>
      <c r="AI696" s="18"/>
      <c r="AJ696" s="18"/>
    </row>
    <row r="697" spans="1:38" ht="26.65" customHeight="1" x14ac:dyDescent="0.25">
      <c r="A697" s="10" t="s">
        <v>4355</v>
      </c>
      <c r="B697" s="9" t="s">
        <v>3056</v>
      </c>
      <c r="C697" s="9" t="s">
        <v>34</v>
      </c>
      <c r="D697" s="9" t="s">
        <v>3031</v>
      </c>
      <c r="E697" s="9" t="s">
        <v>35</v>
      </c>
      <c r="F697" s="9" t="s">
        <v>36</v>
      </c>
      <c r="G697" s="9">
        <v>1</v>
      </c>
      <c r="H697" s="9">
        <v>84219999</v>
      </c>
      <c r="I697" s="11" t="s">
        <v>37</v>
      </c>
      <c r="J697" s="12">
        <v>1.6500000000000001E-2</v>
      </c>
      <c r="K697" s="12">
        <v>7.5999999999999998E-2</v>
      </c>
      <c r="L697" s="12">
        <v>5.1999999999999998E-2</v>
      </c>
      <c r="M697" s="13">
        <v>8003453097421</v>
      </c>
      <c r="N697" s="14">
        <v>3.07</v>
      </c>
      <c r="O697" s="14">
        <v>3.4159999999999999</v>
      </c>
      <c r="P697" s="15">
        <v>45200</v>
      </c>
      <c r="Q697" s="16" t="s">
        <v>4356</v>
      </c>
      <c r="R697" s="17" t="s">
        <v>4357</v>
      </c>
      <c r="S697" s="17" t="s">
        <v>4358</v>
      </c>
      <c r="T697" s="17" t="s">
        <v>4359</v>
      </c>
      <c r="U697" s="17" t="s">
        <v>4360</v>
      </c>
      <c r="V697" s="17" t="s">
        <v>4361</v>
      </c>
      <c r="W697" s="17" t="s">
        <v>35</v>
      </c>
      <c r="X697" s="17" t="s">
        <v>4362</v>
      </c>
      <c r="Y697" s="17" t="s">
        <v>35</v>
      </c>
      <c r="Z697" s="17" t="s">
        <v>4363</v>
      </c>
      <c r="AA697" s="17" t="s">
        <v>35</v>
      </c>
      <c r="AB697" s="17" t="s">
        <v>4364</v>
      </c>
      <c r="AC697" s="17" t="s">
        <v>9539</v>
      </c>
      <c r="AD697" s="42">
        <v>187.96</v>
      </c>
      <c r="AE697" s="42">
        <v>197.73</v>
      </c>
      <c r="AF697" s="48"/>
      <c r="AG697" s="44"/>
      <c r="AH697" s="7">
        <f t="shared" si="10"/>
        <v>0</v>
      </c>
      <c r="AI697" s="18"/>
      <c r="AJ697" s="18"/>
    </row>
    <row r="698" spans="1:38" ht="26.65" customHeight="1" x14ac:dyDescent="0.25">
      <c r="A698" s="10" t="s">
        <v>4365</v>
      </c>
      <c r="B698" s="9" t="s">
        <v>3063</v>
      </c>
      <c r="C698" s="9" t="s">
        <v>34</v>
      </c>
      <c r="D698" s="9" t="s">
        <v>3064</v>
      </c>
      <c r="E698" s="9" t="s">
        <v>35</v>
      </c>
      <c r="F698" s="9" t="s">
        <v>36</v>
      </c>
      <c r="G698" s="9">
        <v>1</v>
      </c>
      <c r="H698" s="9">
        <v>84219999</v>
      </c>
      <c r="I698" s="11" t="s">
        <v>37</v>
      </c>
      <c r="J698" s="12">
        <v>1.6500000000000001E-2</v>
      </c>
      <c r="K698" s="12">
        <v>7.5999999999999998E-2</v>
      </c>
      <c r="L698" s="12">
        <v>5.1999999999999998E-2</v>
      </c>
      <c r="M698" s="13">
        <v>8003453097438</v>
      </c>
      <c r="N698" s="14">
        <v>1.0840000000000001</v>
      </c>
      <c r="O698" s="14">
        <v>1.393</v>
      </c>
      <c r="P698" s="15">
        <v>44896</v>
      </c>
      <c r="Q698" s="16" t="s">
        <v>4366</v>
      </c>
      <c r="R698" s="17" t="s">
        <v>4367</v>
      </c>
      <c r="S698" s="17" t="s">
        <v>4368</v>
      </c>
      <c r="T698" s="17" t="s">
        <v>35</v>
      </c>
      <c r="U698" s="17" t="s">
        <v>35</v>
      </c>
      <c r="V698" s="17" t="s">
        <v>4369</v>
      </c>
      <c r="W698" s="17" t="s">
        <v>35</v>
      </c>
      <c r="X698" s="17" t="s">
        <v>4370</v>
      </c>
      <c r="Y698" s="17" t="s">
        <v>35</v>
      </c>
      <c r="Z698" s="17" t="s">
        <v>4371</v>
      </c>
      <c r="AA698" s="17" t="s">
        <v>35</v>
      </c>
      <c r="AB698" s="17" t="s">
        <v>4372</v>
      </c>
      <c r="AC698" s="17" t="s">
        <v>9539</v>
      </c>
      <c r="AD698" s="42">
        <v>102.9</v>
      </c>
      <c r="AE698" s="42">
        <v>108.25</v>
      </c>
      <c r="AF698" s="48"/>
      <c r="AG698" s="44"/>
      <c r="AH698" s="7">
        <f t="shared" si="10"/>
        <v>0</v>
      </c>
      <c r="AI698" s="18"/>
      <c r="AJ698" s="18"/>
    </row>
    <row r="699" spans="1:38" ht="26.65" customHeight="1" x14ac:dyDescent="0.25">
      <c r="A699" s="10" t="s">
        <v>4373</v>
      </c>
      <c r="B699" s="9" t="s">
        <v>3030</v>
      </c>
      <c r="C699" s="9" t="s">
        <v>43</v>
      </c>
      <c r="D699" s="9" t="s">
        <v>3031</v>
      </c>
      <c r="E699" s="9" t="s">
        <v>35</v>
      </c>
      <c r="F699" s="9" t="s">
        <v>36</v>
      </c>
      <c r="G699" s="9">
        <v>1</v>
      </c>
      <c r="H699" s="9">
        <v>84219999</v>
      </c>
      <c r="I699" s="11" t="s">
        <v>37</v>
      </c>
      <c r="J699" s="12">
        <v>1.6500000000000001E-2</v>
      </c>
      <c r="K699" s="12">
        <v>7.5999999999999998E-2</v>
      </c>
      <c r="L699" s="12">
        <v>5.1999999999999998E-2</v>
      </c>
      <c r="M699" s="13">
        <v>8003453097674</v>
      </c>
      <c r="N699" s="14">
        <v>0.99</v>
      </c>
      <c r="O699" s="14">
        <v>1.1000000000000001</v>
      </c>
      <c r="P699" s="15" t="s">
        <v>35</v>
      </c>
      <c r="Q699" s="16" t="s">
        <v>4374</v>
      </c>
      <c r="R699" s="17" t="s">
        <v>35</v>
      </c>
      <c r="S699" s="17" t="s">
        <v>4375</v>
      </c>
      <c r="T699" s="17" t="s">
        <v>4376</v>
      </c>
      <c r="U699" s="17" t="s">
        <v>35</v>
      </c>
      <c r="V699" s="17" t="s">
        <v>4377</v>
      </c>
      <c r="W699" s="17" t="s">
        <v>4378</v>
      </c>
      <c r="X699" s="17" t="s">
        <v>4379</v>
      </c>
      <c r="Y699" s="17" t="s">
        <v>4380</v>
      </c>
      <c r="Z699" s="17" t="s">
        <v>4381</v>
      </c>
      <c r="AA699" s="17" t="s">
        <v>35</v>
      </c>
      <c r="AB699" s="17" t="s">
        <v>4382</v>
      </c>
      <c r="AC699" s="17" t="s">
        <v>9539</v>
      </c>
      <c r="AD699" s="41">
        <v>61.52</v>
      </c>
      <c r="AE699" s="41">
        <v>64.72</v>
      </c>
      <c r="AF699" s="48"/>
      <c r="AG699" s="44"/>
      <c r="AH699" s="7">
        <f t="shared" si="10"/>
        <v>0</v>
      </c>
      <c r="AI699" s="18"/>
      <c r="AJ699" s="18"/>
      <c r="AL699" s="18"/>
    </row>
    <row r="700" spans="1:38" ht="26.65" customHeight="1" x14ac:dyDescent="0.25">
      <c r="A700" s="10" t="s">
        <v>4383</v>
      </c>
      <c r="B700" s="9" t="s">
        <v>3056</v>
      </c>
      <c r="C700" s="9" t="s">
        <v>34</v>
      </c>
      <c r="D700" s="9" t="s">
        <v>3031</v>
      </c>
      <c r="E700" s="9" t="s">
        <v>35</v>
      </c>
      <c r="F700" s="9" t="s">
        <v>36</v>
      </c>
      <c r="G700" s="9">
        <v>1</v>
      </c>
      <c r="H700" s="9">
        <v>84219999</v>
      </c>
      <c r="I700" s="11" t="s">
        <v>37</v>
      </c>
      <c r="J700" s="12">
        <v>1.6500000000000001E-2</v>
      </c>
      <c r="K700" s="12">
        <v>7.5999999999999998E-2</v>
      </c>
      <c r="L700" s="12">
        <v>5.1999999999999998E-2</v>
      </c>
      <c r="M700" s="13">
        <v>8003453097698</v>
      </c>
      <c r="N700" s="14">
        <v>2.2000000000000002</v>
      </c>
      <c r="O700" s="14">
        <v>2.4</v>
      </c>
      <c r="P700" s="15">
        <v>45139</v>
      </c>
      <c r="Q700" s="16" t="s">
        <v>4384</v>
      </c>
      <c r="R700" s="17" t="s">
        <v>4385</v>
      </c>
      <c r="S700" s="17" t="s">
        <v>4386</v>
      </c>
      <c r="T700" s="17" t="s">
        <v>4387</v>
      </c>
      <c r="U700" s="17" t="s">
        <v>4388</v>
      </c>
      <c r="V700" s="17" t="s">
        <v>4389</v>
      </c>
      <c r="W700" s="17" t="s">
        <v>4390</v>
      </c>
      <c r="X700" s="17" t="s">
        <v>4391</v>
      </c>
      <c r="Y700" s="17" t="s">
        <v>4392</v>
      </c>
      <c r="Z700" s="17" t="s">
        <v>4393</v>
      </c>
      <c r="AA700" s="17" t="s">
        <v>4394</v>
      </c>
      <c r="AB700" s="17" t="s">
        <v>4395</v>
      </c>
      <c r="AC700" s="17" t="s">
        <v>9539</v>
      </c>
      <c r="AD700" s="41">
        <v>124.43</v>
      </c>
      <c r="AE700" s="41">
        <v>130.9</v>
      </c>
      <c r="AF700" s="48"/>
      <c r="AG700" s="44"/>
      <c r="AH700" s="7">
        <f t="shared" si="10"/>
        <v>0</v>
      </c>
      <c r="AI700" s="18"/>
      <c r="AJ700" s="18"/>
    </row>
    <row r="701" spans="1:38" ht="26.65" customHeight="1" x14ac:dyDescent="0.25">
      <c r="A701" s="10" t="s">
        <v>4396</v>
      </c>
      <c r="B701" s="9" t="s">
        <v>3030</v>
      </c>
      <c r="C701" s="9" t="s">
        <v>34</v>
      </c>
      <c r="D701" s="9" t="s">
        <v>3031</v>
      </c>
      <c r="E701" s="9" t="s">
        <v>35</v>
      </c>
      <c r="F701" s="9" t="s">
        <v>36</v>
      </c>
      <c r="G701" s="9">
        <v>1</v>
      </c>
      <c r="H701" s="9">
        <v>84219999</v>
      </c>
      <c r="I701" s="11" t="s">
        <v>37</v>
      </c>
      <c r="J701" s="12">
        <v>1.6500000000000001E-2</v>
      </c>
      <c r="K701" s="12">
        <v>7.5999999999999998E-2</v>
      </c>
      <c r="L701" s="12">
        <v>5.1999999999999998E-2</v>
      </c>
      <c r="M701" s="13">
        <v>8003453097735</v>
      </c>
      <c r="N701" s="14">
        <v>3.4860000000000002</v>
      </c>
      <c r="O701" s="14">
        <v>3.8740000000000001</v>
      </c>
      <c r="P701" s="15" t="s">
        <v>35</v>
      </c>
      <c r="Q701" s="16" t="s">
        <v>4397</v>
      </c>
      <c r="R701" s="17" t="s">
        <v>4398</v>
      </c>
      <c r="S701" s="17" t="s">
        <v>4399</v>
      </c>
      <c r="T701" s="17" t="s">
        <v>35</v>
      </c>
      <c r="U701" s="17" t="s">
        <v>4400</v>
      </c>
      <c r="V701" s="17" t="s">
        <v>35</v>
      </c>
      <c r="W701" s="17" t="s">
        <v>35</v>
      </c>
      <c r="X701" s="17" t="s">
        <v>35</v>
      </c>
      <c r="Y701" s="17" t="s">
        <v>35</v>
      </c>
      <c r="Z701" s="17" t="s">
        <v>4401</v>
      </c>
      <c r="AA701" s="17" t="s">
        <v>35</v>
      </c>
      <c r="AB701" s="17" t="s">
        <v>4402</v>
      </c>
      <c r="AC701" s="17" t="s">
        <v>9539</v>
      </c>
      <c r="AD701" s="42">
        <v>190.65</v>
      </c>
      <c r="AE701" s="42">
        <v>200.56</v>
      </c>
      <c r="AF701" s="48"/>
      <c r="AG701" s="44"/>
      <c r="AH701" s="7">
        <f t="shared" si="10"/>
        <v>0</v>
      </c>
      <c r="AI701" s="18"/>
      <c r="AJ701" s="18"/>
    </row>
    <row r="702" spans="1:38" ht="26.65" customHeight="1" x14ac:dyDescent="0.25">
      <c r="A702" s="10" t="s">
        <v>4403</v>
      </c>
      <c r="B702" s="9" t="s">
        <v>3030</v>
      </c>
      <c r="C702" s="9" t="s">
        <v>58</v>
      </c>
      <c r="D702" s="9" t="s">
        <v>3031</v>
      </c>
      <c r="E702" s="9" t="s">
        <v>35</v>
      </c>
      <c r="F702" s="9" t="s">
        <v>36</v>
      </c>
      <c r="G702" s="9">
        <v>1</v>
      </c>
      <c r="H702" s="9">
        <v>84219999</v>
      </c>
      <c r="I702" s="11" t="s">
        <v>37</v>
      </c>
      <c r="J702" s="12">
        <v>1.6500000000000001E-2</v>
      </c>
      <c r="K702" s="12">
        <v>7.5999999999999998E-2</v>
      </c>
      <c r="L702" s="12">
        <v>5.1999999999999998E-2</v>
      </c>
      <c r="M702" s="13">
        <v>8003453097797</v>
      </c>
      <c r="N702" s="14">
        <v>2.1080000000000001</v>
      </c>
      <c r="O702" s="14">
        <v>2.33</v>
      </c>
      <c r="P702" s="15" t="s">
        <v>35</v>
      </c>
      <c r="Q702" s="16" t="s">
        <v>4404</v>
      </c>
      <c r="R702" s="17" t="s">
        <v>35</v>
      </c>
      <c r="S702" s="17" t="s">
        <v>4405</v>
      </c>
      <c r="T702" s="17" t="s">
        <v>4406</v>
      </c>
      <c r="U702" s="17" t="s">
        <v>35</v>
      </c>
      <c r="V702" s="17" t="s">
        <v>4407</v>
      </c>
      <c r="W702" s="17" t="s">
        <v>35</v>
      </c>
      <c r="X702" s="17" t="s">
        <v>35</v>
      </c>
      <c r="Y702" s="17" t="s">
        <v>4408</v>
      </c>
      <c r="Z702" s="17" t="s">
        <v>4409</v>
      </c>
      <c r="AA702" s="17" t="s">
        <v>35</v>
      </c>
      <c r="AB702" s="17" t="s">
        <v>4410</v>
      </c>
      <c r="AC702" s="17" t="s">
        <v>9539</v>
      </c>
      <c r="AD702" s="42">
        <v>83.57</v>
      </c>
      <c r="AE702" s="42">
        <v>87.92</v>
      </c>
      <c r="AF702" s="48"/>
      <c r="AG702" s="44"/>
      <c r="AH702" s="7">
        <f t="shared" si="10"/>
        <v>0</v>
      </c>
      <c r="AI702" s="18"/>
      <c r="AJ702" s="18"/>
    </row>
    <row r="703" spans="1:38" ht="26.65" customHeight="1" x14ac:dyDescent="0.25">
      <c r="A703" s="10" t="s">
        <v>4411</v>
      </c>
      <c r="B703" s="9" t="s">
        <v>3030</v>
      </c>
      <c r="C703" s="9" t="s">
        <v>34</v>
      </c>
      <c r="D703" s="9" t="s">
        <v>3031</v>
      </c>
      <c r="E703" s="9" t="s">
        <v>35</v>
      </c>
      <c r="F703" s="9" t="s">
        <v>36</v>
      </c>
      <c r="G703" s="9">
        <v>1</v>
      </c>
      <c r="H703" s="9">
        <v>84219999</v>
      </c>
      <c r="I703" s="11" t="s">
        <v>37</v>
      </c>
      <c r="J703" s="12">
        <v>1.6500000000000001E-2</v>
      </c>
      <c r="K703" s="12">
        <v>7.5999999999999998E-2</v>
      </c>
      <c r="L703" s="12">
        <v>5.1999999999999998E-2</v>
      </c>
      <c r="M703" s="13">
        <v>8003453097919</v>
      </c>
      <c r="N703" s="14">
        <v>3.57</v>
      </c>
      <c r="O703" s="14">
        <v>3.9849999999999999</v>
      </c>
      <c r="P703" s="15" t="s">
        <v>35</v>
      </c>
      <c r="Q703" s="16" t="s">
        <v>4412</v>
      </c>
      <c r="R703" s="17">
        <v>35277078</v>
      </c>
      <c r="S703" s="17" t="s">
        <v>4413</v>
      </c>
      <c r="T703" s="17" t="s">
        <v>35</v>
      </c>
      <c r="U703" s="17" t="s">
        <v>4414</v>
      </c>
      <c r="V703" s="17" t="s">
        <v>35</v>
      </c>
      <c r="W703" s="17" t="s">
        <v>35</v>
      </c>
      <c r="X703" s="17" t="s">
        <v>35</v>
      </c>
      <c r="Y703" s="17" t="s">
        <v>35</v>
      </c>
      <c r="Z703" s="17" t="s">
        <v>4415</v>
      </c>
      <c r="AA703" s="17" t="s">
        <v>35</v>
      </c>
      <c r="AB703" s="17" t="s">
        <v>4416</v>
      </c>
      <c r="AC703" s="17" t="s">
        <v>9539</v>
      </c>
      <c r="AD703" s="41">
        <v>170.06</v>
      </c>
      <c r="AE703" s="41">
        <v>178.9</v>
      </c>
      <c r="AF703" s="48"/>
      <c r="AG703" s="44"/>
      <c r="AH703" s="7">
        <f t="shared" si="10"/>
        <v>0</v>
      </c>
      <c r="AI703" s="18"/>
      <c r="AJ703" s="18"/>
    </row>
    <row r="704" spans="1:38" ht="26.65" customHeight="1" x14ac:dyDescent="0.25">
      <c r="A704" s="10" t="s">
        <v>4417</v>
      </c>
      <c r="B704" s="9" t="s">
        <v>3030</v>
      </c>
      <c r="C704" s="9" t="s">
        <v>34</v>
      </c>
      <c r="D704" s="9" t="s">
        <v>3031</v>
      </c>
      <c r="E704" s="9" t="s">
        <v>35</v>
      </c>
      <c r="F704" s="9" t="s">
        <v>2072</v>
      </c>
      <c r="G704" s="9">
        <v>1</v>
      </c>
      <c r="H704" s="9">
        <v>84219999</v>
      </c>
      <c r="I704" s="11" t="s">
        <v>2073</v>
      </c>
      <c r="J704" s="12">
        <v>1.6500000000000001E-2</v>
      </c>
      <c r="K704" s="12">
        <v>7.5999999999999998E-2</v>
      </c>
      <c r="L704" s="12">
        <v>0</v>
      </c>
      <c r="M704" s="13">
        <v>8003453097926</v>
      </c>
      <c r="N704" s="14">
        <v>3.48</v>
      </c>
      <c r="O704" s="14">
        <v>3.78</v>
      </c>
      <c r="P704" s="15" t="s">
        <v>35</v>
      </c>
      <c r="Q704" s="16" t="s">
        <v>4418</v>
      </c>
      <c r="R704" s="17" t="s">
        <v>4419</v>
      </c>
      <c r="S704" s="17" t="s">
        <v>4420</v>
      </c>
      <c r="T704" s="17" t="s">
        <v>4421</v>
      </c>
      <c r="U704" s="17" t="s">
        <v>4422</v>
      </c>
      <c r="V704" s="17" t="s">
        <v>4423</v>
      </c>
      <c r="W704" s="17" t="s">
        <v>4424</v>
      </c>
      <c r="X704" s="17" t="s">
        <v>4425</v>
      </c>
      <c r="Y704" s="17" t="s">
        <v>35</v>
      </c>
      <c r="Z704" s="17" t="s">
        <v>4426</v>
      </c>
      <c r="AA704" s="17" t="s">
        <v>35</v>
      </c>
      <c r="AB704" s="17" t="s">
        <v>4427</v>
      </c>
      <c r="AC704" s="17" t="s">
        <v>9539</v>
      </c>
      <c r="AD704" s="41">
        <v>186.84</v>
      </c>
      <c r="AE704" s="41">
        <v>186.84</v>
      </c>
      <c r="AF704" s="48"/>
      <c r="AG704" s="44"/>
      <c r="AH704" s="7">
        <f t="shared" si="10"/>
        <v>0</v>
      </c>
      <c r="AI704" s="18"/>
      <c r="AJ704" s="18"/>
    </row>
    <row r="705" spans="1:38" ht="26.65" customHeight="1" x14ac:dyDescent="0.25">
      <c r="A705" s="10" t="s">
        <v>4428</v>
      </c>
      <c r="B705" s="9" t="s">
        <v>3030</v>
      </c>
      <c r="C705" s="9" t="s">
        <v>58</v>
      </c>
      <c r="D705" s="9" t="s">
        <v>3064</v>
      </c>
      <c r="E705" s="9" t="s">
        <v>35</v>
      </c>
      <c r="F705" s="9" t="s">
        <v>36</v>
      </c>
      <c r="G705" s="9">
        <v>1</v>
      </c>
      <c r="H705" s="9">
        <v>84219999</v>
      </c>
      <c r="I705" s="11" t="s">
        <v>37</v>
      </c>
      <c r="J705" s="12">
        <v>1.6500000000000001E-2</v>
      </c>
      <c r="K705" s="12">
        <v>7.5999999999999998E-2</v>
      </c>
      <c r="L705" s="12">
        <v>5.1999999999999998E-2</v>
      </c>
      <c r="M705" s="13">
        <v>8003453097964</v>
      </c>
      <c r="N705" s="14">
        <v>0.29799999999999999</v>
      </c>
      <c r="O705" s="14">
        <v>0.42699999999999999</v>
      </c>
      <c r="P705" s="15" t="s">
        <v>35</v>
      </c>
      <c r="Q705" s="16" t="s">
        <v>4429</v>
      </c>
      <c r="R705" s="17" t="s">
        <v>35</v>
      </c>
      <c r="S705" s="17" t="s">
        <v>4430</v>
      </c>
      <c r="T705" s="17" t="s">
        <v>4431</v>
      </c>
      <c r="U705" s="17" t="s">
        <v>35</v>
      </c>
      <c r="V705" s="17" t="s">
        <v>4432</v>
      </c>
      <c r="W705" s="17" t="s">
        <v>35</v>
      </c>
      <c r="X705" s="17" t="s">
        <v>35</v>
      </c>
      <c r="Y705" s="17" t="s">
        <v>35</v>
      </c>
      <c r="Z705" s="17" t="s">
        <v>4433</v>
      </c>
      <c r="AA705" s="17" t="s">
        <v>35</v>
      </c>
      <c r="AB705" s="17" t="s">
        <v>4434</v>
      </c>
      <c r="AC705" s="17" t="s">
        <v>9539</v>
      </c>
      <c r="AD705" s="42">
        <v>63.67</v>
      </c>
      <c r="AE705" s="42">
        <v>66.98</v>
      </c>
      <c r="AF705" s="48"/>
      <c r="AG705" s="44"/>
      <c r="AH705" s="7">
        <f t="shared" si="10"/>
        <v>0</v>
      </c>
      <c r="AI705" s="18"/>
      <c r="AJ705" s="18"/>
    </row>
    <row r="706" spans="1:38" ht="26.65" customHeight="1" x14ac:dyDescent="0.25">
      <c r="A706" s="10" t="s">
        <v>9672</v>
      </c>
      <c r="B706" s="9" t="s">
        <v>3030</v>
      </c>
      <c r="C706" s="9" t="s">
        <v>34</v>
      </c>
      <c r="D706" s="9" t="s">
        <v>3031</v>
      </c>
      <c r="E706" s="9" t="s">
        <v>35</v>
      </c>
      <c r="F706" s="9" t="s">
        <v>36</v>
      </c>
      <c r="G706" s="9">
        <v>1</v>
      </c>
      <c r="H706" s="9">
        <v>84219999</v>
      </c>
      <c r="I706" s="11" t="s">
        <v>37</v>
      </c>
      <c r="J706" s="12">
        <v>1.6500000000000001E-2</v>
      </c>
      <c r="K706" s="12">
        <v>7.5999999999999998E-2</v>
      </c>
      <c r="L706" s="12">
        <v>5.1999999999999998E-2</v>
      </c>
      <c r="M706" s="13">
        <v>8003453098114</v>
      </c>
      <c r="N706" s="14">
        <v>0.38700000000000001</v>
      </c>
      <c r="O706" s="14">
        <v>0.52300000000000002</v>
      </c>
      <c r="P706" s="15">
        <v>45474</v>
      </c>
      <c r="Q706" s="16" t="s">
        <v>9673</v>
      </c>
      <c r="R706" s="17" t="s">
        <v>9674</v>
      </c>
      <c r="S706" s="17" t="s">
        <v>9675</v>
      </c>
      <c r="T706" s="17" t="s">
        <v>35</v>
      </c>
      <c r="U706" s="17" t="s">
        <v>35</v>
      </c>
      <c r="V706" s="17" t="s">
        <v>35</v>
      </c>
      <c r="W706" s="17" t="s">
        <v>35</v>
      </c>
      <c r="X706" s="17" t="s">
        <v>9676</v>
      </c>
      <c r="Y706" s="17" t="s">
        <v>35</v>
      </c>
      <c r="Z706" s="17" t="s">
        <v>9677</v>
      </c>
      <c r="AA706" s="17" t="s">
        <v>35</v>
      </c>
      <c r="AB706" s="17" t="s">
        <v>9678</v>
      </c>
      <c r="AC706" s="17" t="s">
        <v>9539</v>
      </c>
      <c r="AD706" s="42">
        <v>96.49</v>
      </c>
      <c r="AE706" s="42">
        <v>101.51</v>
      </c>
      <c r="AF706" s="48"/>
      <c r="AG706" s="44"/>
      <c r="AH706" s="7">
        <f t="shared" si="10"/>
        <v>0</v>
      </c>
      <c r="AI706" s="18"/>
      <c r="AJ706" s="18"/>
    </row>
    <row r="707" spans="1:38" ht="26.65" customHeight="1" x14ac:dyDescent="0.25">
      <c r="A707" s="10" t="s">
        <v>9679</v>
      </c>
      <c r="B707" s="9" t="s">
        <v>3030</v>
      </c>
      <c r="C707" s="9" t="s">
        <v>34</v>
      </c>
      <c r="D707" s="9" t="s">
        <v>3031</v>
      </c>
      <c r="E707" s="9" t="s">
        <v>35</v>
      </c>
      <c r="F707" s="9" t="s">
        <v>36</v>
      </c>
      <c r="G707" s="9">
        <v>1</v>
      </c>
      <c r="H707" s="9">
        <v>84219999</v>
      </c>
      <c r="I707" s="11" t="s">
        <v>37</v>
      </c>
      <c r="J707" s="12">
        <v>1.6500000000000001E-2</v>
      </c>
      <c r="K707" s="12">
        <v>7.5999999999999998E-2</v>
      </c>
      <c r="L707" s="12">
        <v>5.1999999999999998E-2</v>
      </c>
      <c r="M707" s="13">
        <v>8003453098121</v>
      </c>
      <c r="N707" s="14">
        <v>1.6</v>
      </c>
      <c r="O707" s="14">
        <v>1.78</v>
      </c>
      <c r="P707" s="15">
        <v>45474</v>
      </c>
      <c r="Q707" s="16" t="s">
        <v>9680</v>
      </c>
      <c r="R707" s="17" t="s">
        <v>35</v>
      </c>
      <c r="S707" s="17" t="s">
        <v>35</v>
      </c>
      <c r="T707" s="17" t="s">
        <v>35</v>
      </c>
      <c r="U707" s="17" t="s">
        <v>35</v>
      </c>
      <c r="V707" s="17" t="s">
        <v>35</v>
      </c>
      <c r="W707" s="17" t="s">
        <v>35</v>
      </c>
      <c r="X707" s="17" t="s">
        <v>9681</v>
      </c>
      <c r="Y707" s="17" t="s">
        <v>35</v>
      </c>
      <c r="Z707" s="17" t="s">
        <v>9682</v>
      </c>
      <c r="AA707" s="17" t="s">
        <v>35</v>
      </c>
      <c r="AB707" s="17" t="s">
        <v>9683</v>
      </c>
      <c r="AC707" s="17" t="s">
        <v>9539</v>
      </c>
      <c r="AD707" s="42">
        <v>101.03</v>
      </c>
      <c r="AE707" s="42">
        <v>106.28</v>
      </c>
      <c r="AF707" s="48"/>
      <c r="AG707" s="44"/>
      <c r="AH707" s="7">
        <f t="shared" si="10"/>
        <v>0</v>
      </c>
      <c r="AI707" s="18"/>
      <c r="AJ707" s="18"/>
    </row>
    <row r="708" spans="1:38" ht="26.65" customHeight="1" x14ac:dyDescent="0.25">
      <c r="A708" s="10" t="s">
        <v>9321</v>
      </c>
      <c r="B708" s="9" t="s">
        <v>3030</v>
      </c>
      <c r="C708" s="9" t="s">
        <v>58</v>
      </c>
      <c r="D708" s="9" t="s">
        <v>3031</v>
      </c>
      <c r="E708" s="9" t="s">
        <v>35</v>
      </c>
      <c r="F708" s="9" t="s">
        <v>36</v>
      </c>
      <c r="G708" s="9">
        <v>6</v>
      </c>
      <c r="H708" s="9">
        <v>84219999</v>
      </c>
      <c r="I708" s="11" t="s">
        <v>37</v>
      </c>
      <c r="J708" s="12">
        <v>1.6500000000000001E-2</v>
      </c>
      <c r="K708" s="12">
        <v>7.5999999999999998E-2</v>
      </c>
      <c r="L708" s="12">
        <v>5.1999999999999998E-2</v>
      </c>
      <c r="M708" s="13" t="s">
        <v>35</v>
      </c>
      <c r="N708" s="14">
        <v>0</v>
      </c>
      <c r="O708" s="14">
        <v>0</v>
      </c>
      <c r="P708" s="15">
        <v>45444</v>
      </c>
      <c r="Q708" s="16" t="s">
        <v>9322</v>
      </c>
      <c r="R708" s="17" t="s">
        <v>35</v>
      </c>
      <c r="S708" s="17" t="s">
        <v>9323</v>
      </c>
      <c r="T708" s="17" t="s">
        <v>35</v>
      </c>
      <c r="U708" s="17" t="s">
        <v>9324</v>
      </c>
      <c r="V708" s="17" t="s">
        <v>9325</v>
      </c>
      <c r="W708" s="17" t="s">
        <v>35</v>
      </c>
      <c r="X708" s="17" t="s">
        <v>9326</v>
      </c>
      <c r="Y708" s="17" t="s">
        <v>9327</v>
      </c>
      <c r="Z708" s="17" t="s">
        <v>9328</v>
      </c>
      <c r="AA708" s="17" t="s">
        <v>35</v>
      </c>
      <c r="AB708" s="17" t="s">
        <v>9329</v>
      </c>
      <c r="AC708" s="17" t="s">
        <v>9539</v>
      </c>
      <c r="AD708" s="42">
        <v>113.41</v>
      </c>
      <c r="AE708" s="42">
        <v>119.31</v>
      </c>
      <c r="AF708" s="48"/>
      <c r="AG708" s="44"/>
      <c r="AH708" s="7">
        <f t="shared" ref="AH708:AH771" si="11">AG708*AE708</f>
        <v>0</v>
      </c>
      <c r="AI708" s="18"/>
      <c r="AJ708" s="18"/>
    </row>
    <row r="709" spans="1:38" ht="26.65" customHeight="1" x14ac:dyDescent="0.25">
      <c r="A709" s="10" t="s">
        <v>4435</v>
      </c>
      <c r="B709" s="9" t="s">
        <v>3056</v>
      </c>
      <c r="C709" s="9" t="s">
        <v>34</v>
      </c>
      <c r="D709" s="9" t="s">
        <v>3031</v>
      </c>
      <c r="E709" s="9" t="s">
        <v>35</v>
      </c>
      <c r="F709" s="9" t="s">
        <v>36</v>
      </c>
      <c r="G709" s="9">
        <v>1</v>
      </c>
      <c r="H709" s="9">
        <v>84219999</v>
      </c>
      <c r="I709" s="11" t="s">
        <v>37</v>
      </c>
      <c r="J709" s="12">
        <v>1.6500000000000001E-2</v>
      </c>
      <c r="K709" s="12">
        <v>7.5999999999999998E-2</v>
      </c>
      <c r="L709" s="12">
        <v>5.1999999999999998E-2</v>
      </c>
      <c r="M709" s="13">
        <v>8003453098206</v>
      </c>
      <c r="N709" s="14">
        <v>1.35</v>
      </c>
      <c r="O709" s="14">
        <v>1.5</v>
      </c>
      <c r="P709" s="15">
        <v>45170</v>
      </c>
      <c r="Q709" s="16" t="s">
        <v>4436</v>
      </c>
      <c r="R709" s="17" t="s">
        <v>4437</v>
      </c>
      <c r="S709" s="17" t="s">
        <v>4438</v>
      </c>
      <c r="T709" s="17" t="s">
        <v>4439</v>
      </c>
      <c r="U709" s="17" t="s">
        <v>35</v>
      </c>
      <c r="V709" s="17" t="s">
        <v>35</v>
      </c>
      <c r="W709" s="17" t="s">
        <v>35</v>
      </c>
      <c r="X709" s="17" t="s">
        <v>4440</v>
      </c>
      <c r="Y709" s="17" t="s">
        <v>35</v>
      </c>
      <c r="Z709" s="17" t="s">
        <v>4441</v>
      </c>
      <c r="AA709" s="17" t="s">
        <v>35</v>
      </c>
      <c r="AB709" s="17" t="s">
        <v>4442</v>
      </c>
      <c r="AC709" s="17" t="s">
        <v>9539</v>
      </c>
      <c r="AD709" s="42">
        <v>84.77</v>
      </c>
      <c r="AE709" s="42">
        <v>89.18</v>
      </c>
      <c r="AF709" s="48"/>
      <c r="AG709" s="44"/>
      <c r="AH709" s="7">
        <f t="shared" si="11"/>
        <v>0</v>
      </c>
      <c r="AI709" s="18"/>
      <c r="AJ709" s="18"/>
    </row>
    <row r="710" spans="1:38" ht="26.65" customHeight="1" x14ac:dyDescent="0.25">
      <c r="A710" s="10" t="s">
        <v>4443</v>
      </c>
      <c r="B710" s="9" t="s">
        <v>3063</v>
      </c>
      <c r="C710" s="9" t="s">
        <v>58</v>
      </c>
      <c r="D710" s="9" t="s">
        <v>3064</v>
      </c>
      <c r="E710" s="9" t="s">
        <v>35</v>
      </c>
      <c r="F710" s="9" t="s">
        <v>36</v>
      </c>
      <c r="G710" s="9">
        <v>1</v>
      </c>
      <c r="H710" s="9">
        <v>84219999</v>
      </c>
      <c r="I710" s="11" t="s">
        <v>37</v>
      </c>
      <c r="J710" s="12">
        <v>1.6500000000000001E-2</v>
      </c>
      <c r="K710" s="12">
        <v>7.5999999999999998E-2</v>
      </c>
      <c r="L710" s="12">
        <v>5.1999999999999998E-2</v>
      </c>
      <c r="M710" s="13">
        <v>8003453098268</v>
      </c>
      <c r="N710" s="14">
        <v>0.97099999999999997</v>
      </c>
      <c r="O710" s="14">
        <v>1.1870000000000001</v>
      </c>
      <c r="P710" s="15" t="s">
        <v>35</v>
      </c>
      <c r="Q710" s="16" t="s">
        <v>4444</v>
      </c>
      <c r="R710" s="17" t="s">
        <v>35</v>
      </c>
      <c r="S710" s="17" t="s">
        <v>4445</v>
      </c>
      <c r="T710" s="17" t="s">
        <v>4446</v>
      </c>
      <c r="U710" s="17" t="s">
        <v>4447</v>
      </c>
      <c r="V710" s="17" t="s">
        <v>4448</v>
      </c>
      <c r="W710" s="17" t="s">
        <v>4449</v>
      </c>
      <c r="X710" s="17" t="s">
        <v>4450</v>
      </c>
      <c r="Y710" s="17" t="s">
        <v>4451</v>
      </c>
      <c r="Z710" s="17" t="s">
        <v>4452</v>
      </c>
      <c r="AA710" s="17" t="s">
        <v>35</v>
      </c>
      <c r="AB710" s="17" t="s">
        <v>4453</v>
      </c>
      <c r="AC710" s="17" t="s">
        <v>9539</v>
      </c>
      <c r="AD710" s="42">
        <v>68.040000000000006</v>
      </c>
      <c r="AE710" s="42">
        <v>71.58</v>
      </c>
      <c r="AF710" s="48"/>
      <c r="AG710" s="44"/>
      <c r="AH710" s="7">
        <f t="shared" si="11"/>
        <v>0</v>
      </c>
      <c r="AI710" s="18"/>
      <c r="AJ710" s="18"/>
    </row>
    <row r="711" spans="1:38" ht="26.65" customHeight="1" x14ac:dyDescent="0.25">
      <c r="A711" s="10" t="s">
        <v>4454</v>
      </c>
      <c r="B711" s="9" t="s">
        <v>3030</v>
      </c>
      <c r="C711" s="9" t="s">
        <v>34</v>
      </c>
      <c r="D711" s="9" t="s">
        <v>3031</v>
      </c>
      <c r="E711" s="9" t="s">
        <v>35</v>
      </c>
      <c r="F711" s="9" t="s">
        <v>2072</v>
      </c>
      <c r="G711" s="9">
        <v>1</v>
      </c>
      <c r="H711" s="9">
        <v>84219999</v>
      </c>
      <c r="I711" s="11" t="s">
        <v>2073</v>
      </c>
      <c r="J711" s="12">
        <v>1.6500000000000001E-2</v>
      </c>
      <c r="K711" s="12">
        <v>7.5999999999999998E-2</v>
      </c>
      <c r="L711" s="12">
        <v>0</v>
      </c>
      <c r="M711" s="13">
        <v>8003453098312</v>
      </c>
      <c r="N711" s="14">
        <v>0.9</v>
      </c>
      <c r="O711" s="14">
        <v>1.08</v>
      </c>
      <c r="P711" s="15" t="s">
        <v>35</v>
      </c>
      <c r="Q711" s="16" t="s">
        <v>4455</v>
      </c>
      <c r="R711" s="17" t="s">
        <v>4456</v>
      </c>
      <c r="S711" s="17" t="s">
        <v>4457</v>
      </c>
      <c r="T711" s="17" t="s">
        <v>4458</v>
      </c>
      <c r="U711" s="17" t="s">
        <v>4459</v>
      </c>
      <c r="V711" s="17" t="s">
        <v>4460</v>
      </c>
      <c r="W711" s="17" t="s">
        <v>4461</v>
      </c>
      <c r="X711" s="17" t="s">
        <v>4462</v>
      </c>
      <c r="Y711" s="17" t="s">
        <v>4463</v>
      </c>
      <c r="Z711" s="17" t="s">
        <v>4464</v>
      </c>
      <c r="AA711" s="17" t="s">
        <v>4465</v>
      </c>
      <c r="AB711" s="17" t="s">
        <v>4466</v>
      </c>
      <c r="AC711" s="17" t="s">
        <v>9539</v>
      </c>
      <c r="AD711" s="41">
        <v>108.3</v>
      </c>
      <c r="AE711" s="41">
        <v>108.3</v>
      </c>
      <c r="AF711" s="48"/>
      <c r="AG711" s="44"/>
      <c r="AH711" s="7">
        <f t="shared" si="11"/>
        <v>0</v>
      </c>
      <c r="AI711" s="18"/>
      <c r="AJ711" s="18"/>
    </row>
    <row r="712" spans="1:38" ht="26.65" customHeight="1" x14ac:dyDescent="0.25">
      <c r="A712" s="10" t="s">
        <v>4467</v>
      </c>
      <c r="B712" s="9" t="s">
        <v>3030</v>
      </c>
      <c r="C712" s="9" t="s">
        <v>34</v>
      </c>
      <c r="D712" s="9" t="s">
        <v>3064</v>
      </c>
      <c r="E712" s="9" t="s">
        <v>35</v>
      </c>
      <c r="F712" s="9" t="s">
        <v>2072</v>
      </c>
      <c r="G712" s="9">
        <v>1</v>
      </c>
      <c r="H712" s="9">
        <v>84219999</v>
      </c>
      <c r="I712" s="11" t="s">
        <v>2073</v>
      </c>
      <c r="J712" s="12">
        <v>1.6500000000000001E-2</v>
      </c>
      <c r="K712" s="12">
        <v>7.5999999999999998E-2</v>
      </c>
      <c r="L712" s="12">
        <v>0</v>
      </c>
      <c r="M712" s="13">
        <v>8003453098329</v>
      </c>
      <c r="N712" s="14">
        <v>1.345</v>
      </c>
      <c r="O712" s="14">
        <v>1.59</v>
      </c>
      <c r="P712" s="15" t="s">
        <v>35</v>
      </c>
      <c r="Q712" s="16" t="s">
        <v>4468</v>
      </c>
      <c r="R712" s="17" t="s">
        <v>4469</v>
      </c>
      <c r="S712" s="17" t="s">
        <v>4470</v>
      </c>
      <c r="T712" s="17" t="s">
        <v>4471</v>
      </c>
      <c r="U712" s="17" t="s">
        <v>4472</v>
      </c>
      <c r="V712" s="17" t="s">
        <v>4473</v>
      </c>
      <c r="W712" s="17" t="s">
        <v>4474</v>
      </c>
      <c r="X712" s="17" t="s">
        <v>4475</v>
      </c>
      <c r="Y712" s="17" t="s">
        <v>4476</v>
      </c>
      <c r="Z712" s="17" t="s">
        <v>4477</v>
      </c>
      <c r="AA712" s="17" t="s">
        <v>35</v>
      </c>
      <c r="AB712" s="17" t="s">
        <v>4478</v>
      </c>
      <c r="AC712" s="17" t="s">
        <v>9539</v>
      </c>
      <c r="AD712" s="41">
        <v>142.72</v>
      </c>
      <c r="AE712" s="41">
        <v>142.72</v>
      </c>
      <c r="AF712" s="48"/>
      <c r="AG712" s="44"/>
      <c r="AH712" s="7">
        <f t="shared" si="11"/>
        <v>0</v>
      </c>
      <c r="AI712" s="18"/>
      <c r="AJ712" s="18"/>
    </row>
    <row r="713" spans="1:38" ht="26.65" customHeight="1" x14ac:dyDescent="0.25">
      <c r="A713" s="10" t="s">
        <v>4479</v>
      </c>
      <c r="B713" s="9" t="s">
        <v>3063</v>
      </c>
      <c r="C713" s="9" t="s">
        <v>34</v>
      </c>
      <c r="D713" s="9" t="s">
        <v>3064</v>
      </c>
      <c r="E713" s="9" t="s">
        <v>35</v>
      </c>
      <c r="F713" s="9" t="s">
        <v>36</v>
      </c>
      <c r="G713" s="9">
        <v>1</v>
      </c>
      <c r="H713" s="9">
        <v>84219999</v>
      </c>
      <c r="I713" s="11" t="s">
        <v>37</v>
      </c>
      <c r="J713" s="12">
        <v>1.6500000000000001E-2</v>
      </c>
      <c r="K713" s="12">
        <v>7.5999999999999998E-2</v>
      </c>
      <c r="L713" s="12">
        <v>5.1999999999999998E-2</v>
      </c>
      <c r="M713" s="13">
        <v>8003453098435</v>
      </c>
      <c r="N713" s="14">
        <v>1.7430000000000001</v>
      </c>
      <c r="O713" s="14">
        <v>2.1179999999999999</v>
      </c>
      <c r="P713" s="15">
        <v>44805</v>
      </c>
      <c r="Q713" s="16" t="s">
        <v>4480</v>
      </c>
      <c r="R713" s="17" t="s">
        <v>4481</v>
      </c>
      <c r="S713" s="17" t="s">
        <v>4482</v>
      </c>
      <c r="T713" s="17" t="s">
        <v>35</v>
      </c>
      <c r="U713" s="17" t="s">
        <v>35</v>
      </c>
      <c r="V713" s="17" t="s">
        <v>35</v>
      </c>
      <c r="W713" s="17" t="s">
        <v>35</v>
      </c>
      <c r="X713" s="17" t="s">
        <v>35</v>
      </c>
      <c r="Y713" s="17" t="s">
        <v>35</v>
      </c>
      <c r="Z713" s="17" t="s">
        <v>4483</v>
      </c>
      <c r="AA713" s="17" t="s">
        <v>35</v>
      </c>
      <c r="AB713" s="17" t="s">
        <v>4484</v>
      </c>
      <c r="AC713" s="17" t="s">
        <v>9539</v>
      </c>
      <c r="AD713" s="42">
        <v>121.92</v>
      </c>
      <c r="AE713" s="42">
        <v>128.26</v>
      </c>
      <c r="AF713" s="48"/>
      <c r="AG713" s="44"/>
      <c r="AH713" s="7">
        <f t="shared" si="11"/>
        <v>0</v>
      </c>
      <c r="AI713" s="18"/>
      <c r="AJ713" s="18"/>
    </row>
    <row r="714" spans="1:38" ht="26.65" customHeight="1" x14ac:dyDescent="0.25">
      <c r="A714" s="10" t="s">
        <v>8927</v>
      </c>
      <c r="B714" s="9" t="s">
        <v>3030</v>
      </c>
      <c r="C714" s="9" t="s">
        <v>58</v>
      </c>
      <c r="D714" s="9" t="s">
        <v>3031</v>
      </c>
      <c r="E714" s="9" t="s">
        <v>122</v>
      </c>
      <c r="F714" s="9" t="s">
        <v>36</v>
      </c>
      <c r="G714" s="9">
        <v>1</v>
      </c>
      <c r="H714" s="9">
        <v>84219999</v>
      </c>
      <c r="I714" s="11" t="s">
        <v>37</v>
      </c>
      <c r="J714" s="12">
        <v>1.6500000000000001E-2</v>
      </c>
      <c r="K714" s="12">
        <v>7.5999999999999998E-2</v>
      </c>
      <c r="L714" s="12">
        <v>5.1999999999999998E-2</v>
      </c>
      <c r="M714" s="13">
        <v>8003453104204</v>
      </c>
      <c r="N714" s="14">
        <v>0.4</v>
      </c>
      <c r="O714" s="14">
        <v>0.63500000000000001</v>
      </c>
      <c r="P714" s="15">
        <v>45352</v>
      </c>
      <c r="Q714" s="16" t="s">
        <v>8928</v>
      </c>
      <c r="R714" s="17" t="s">
        <v>8929</v>
      </c>
      <c r="S714" s="17" t="s">
        <v>8930</v>
      </c>
      <c r="T714" s="17" t="s">
        <v>8931</v>
      </c>
      <c r="U714" s="17" t="s">
        <v>35</v>
      </c>
      <c r="V714" s="17" t="s">
        <v>35</v>
      </c>
      <c r="W714" s="17" t="s">
        <v>35</v>
      </c>
      <c r="X714" s="17" t="s">
        <v>35</v>
      </c>
      <c r="Y714" s="17" t="s">
        <v>35</v>
      </c>
      <c r="Z714" s="17" t="s">
        <v>35</v>
      </c>
      <c r="AA714" s="17" t="s">
        <v>35</v>
      </c>
      <c r="AB714" s="17" t="s">
        <v>35</v>
      </c>
      <c r="AC714" s="17" t="s">
        <v>9539</v>
      </c>
      <c r="AD714" s="42">
        <v>375.73</v>
      </c>
      <c r="AE714" s="42">
        <v>395.27</v>
      </c>
      <c r="AF714" s="48"/>
      <c r="AG714" s="44"/>
      <c r="AH714" s="7">
        <f t="shared" si="11"/>
        <v>0</v>
      </c>
      <c r="AI714" s="18"/>
      <c r="AJ714" s="18"/>
    </row>
    <row r="715" spans="1:38" ht="26.65" customHeight="1" x14ac:dyDescent="0.25">
      <c r="A715" s="10" t="s">
        <v>8678</v>
      </c>
      <c r="B715" s="9" t="s">
        <v>3206</v>
      </c>
      <c r="C715" s="9" t="s">
        <v>34</v>
      </c>
      <c r="D715" s="9" t="s">
        <v>3207</v>
      </c>
      <c r="E715" s="9" t="s">
        <v>35</v>
      </c>
      <c r="F715" s="9" t="s">
        <v>36</v>
      </c>
      <c r="G715" s="9">
        <v>1</v>
      </c>
      <c r="H715" s="9">
        <v>84219999</v>
      </c>
      <c r="I715" s="11" t="s">
        <v>37</v>
      </c>
      <c r="J715" s="12">
        <v>1.6500000000000001E-2</v>
      </c>
      <c r="K715" s="12">
        <v>7.5999999999999998E-2</v>
      </c>
      <c r="L715" s="12">
        <v>5.1999999999999998E-2</v>
      </c>
      <c r="M715" s="13">
        <v>8003453102712</v>
      </c>
      <c r="N715" s="14">
        <v>0.5</v>
      </c>
      <c r="O715" s="14">
        <v>0.57299999999999995</v>
      </c>
      <c r="P715" s="15">
        <v>45292</v>
      </c>
      <c r="Q715" s="16" t="s">
        <v>4485</v>
      </c>
      <c r="R715" s="17" t="s">
        <v>4486</v>
      </c>
      <c r="S715" s="17" t="s">
        <v>4487</v>
      </c>
      <c r="T715" s="17" t="s">
        <v>4488</v>
      </c>
      <c r="U715" s="17" t="s">
        <v>4489</v>
      </c>
      <c r="V715" s="17" t="s">
        <v>4490</v>
      </c>
      <c r="W715" s="17" t="s">
        <v>4491</v>
      </c>
      <c r="X715" s="17" t="s">
        <v>4492</v>
      </c>
      <c r="Y715" s="17" t="s">
        <v>4493</v>
      </c>
      <c r="Z715" s="17" t="s">
        <v>4494</v>
      </c>
      <c r="AA715" s="17" t="s">
        <v>35</v>
      </c>
      <c r="AB715" s="17" t="s">
        <v>4495</v>
      </c>
      <c r="AC715" s="17" t="s">
        <v>9539</v>
      </c>
      <c r="AD715" s="42">
        <v>37.5</v>
      </c>
      <c r="AE715" s="42">
        <v>39.450000000000003</v>
      </c>
      <c r="AF715" s="48"/>
      <c r="AG715" s="44"/>
      <c r="AH715" s="7">
        <f t="shared" si="11"/>
        <v>0</v>
      </c>
      <c r="AI715" s="18"/>
      <c r="AJ715" s="18"/>
    </row>
    <row r="716" spans="1:38" ht="26.65" customHeight="1" x14ac:dyDescent="0.25">
      <c r="A716" s="10" t="s">
        <v>4496</v>
      </c>
      <c r="B716" s="9" t="s">
        <v>3030</v>
      </c>
      <c r="C716" s="9" t="s">
        <v>58</v>
      </c>
      <c r="D716" s="9" t="s">
        <v>3031</v>
      </c>
      <c r="E716" s="9" t="s">
        <v>35</v>
      </c>
      <c r="F716" s="9" t="s">
        <v>36</v>
      </c>
      <c r="G716" s="9">
        <v>1</v>
      </c>
      <c r="H716" s="9">
        <v>84219999</v>
      </c>
      <c r="I716" s="11" t="s">
        <v>37</v>
      </c>
      <c r="J716" s="12">
        <v>1.6500000000000001E-2</v>
      </c>
      <c r="K716" s="12">
        <v>7.5999999999999998E-2</v>
      </c>
      <c r="L716" s="12">
        <v>5.1999999999999998E-2</v>
      </c>
      <c r="M716" s="13">
        <v>8003453102729</v>
      </c>
      <c r="N716" s="14">
        <v>3.1</v>
      </c>
      <c r="O716" s="14">
        <v>3.42</v>
      </c>
      <c r="P716" s="15" t="s">
        <v>35</v>
      </c>
      <c r="Q716" s="16" t="s">
        <v>4497</v>
      </c>
      <c r="R716" s="17" t="s">
        <v>4498</v>
      </c>
      <c r="S716" s="17" t="s">
        <v>4499</v>
      </c>
      <c r="T716" s="17" t="s">
        <v>4500</v>
      </c>
      <c r="U716" s="17" t="s">
        <v>4501</v>
      </c>
      <c r="V716" s="17" t="s">
        <v>4502</v>
      </c>
      <c r="W716" s="17" t="s">
        <v>4503</v>
      </c>
      <c r="X716" s="17" t="s">
        <v>4504</v>
      </c>
      <c r="Y716" s="17" t="s">
        <v>4505</v>
      </c>
      <c r="Z716" s="17" t="s">
        <v>4506</v>
      </c>
      <c r="AA716" s="17" t="s">
        <v>35</v>
      </c>
      <c r="AB716" s="17" t="s">
        <v>4507</v>
      </c>
      <c r="AC716" s="17" t="s">
        <v>9539</v>
      </c>
      <c r="AD716" s="42">
        <v>168.64</v>
      </c>
      <c r="AE716" s="42">
        <v>177.41</v>
      </c>
      <c r="AF716" s="48"/>
      <c r="AG716" s="44"/>
      <c r="AH716" s="7">
        <f t="shared" si="11"/>
        <v>0</v>
      </c>
      <c r="AI716" s="18"/>
      <c r="AJ716" s="18"/>
    </row>
    <row r="717" spans="1:38" ht="26.65" customHeight="1" x14ac:dyDescent="0.25">
      <c r="A717" s="10" t="s">
        <v>4508</v>
      </c>
      <c r="B717" s="9" t="s">
        <v>3063</v>
      </c>
      <c r="C717" s="9" t="s">
        <v>34</v>
      </c>
      <c r="D717" s="9" t="s">
        <v>3031</v>
      </c>
      <c r="E717" s="9" t="s">
        <v>35</v>
      </c>
      <c r="F717" s="9" t="s">
        <v>36</v>
      </c>
      <c r="G717" s="9">
        <v>1</v>
      </c>
      <c r="H717" s="9">
        <v>84219999</v>
      </c>
      <c r="I717" s="11" t="s">
        <v>37</v>
      </c>
      <c r="J717" s="12">
        <v>1.6500000000000001E-2</v>
      </c>
      <c r="K717" s="12">
        <v>7.5999999999999998E-2</v>
      </c>
      <c r="L717" s="12">
        <v>5.1999999999999998E-2</v>
      </c>
      <c r="M717" s="13">
        <v>8003453102736</v>
      </c>
      <c r="N717" s="14">
        <v>0.93</v>
      </c>
      <c r="O717" s="14">
        <v>1.121</v>
      </c>
      <c r="P717" s="15" t="s">
        <v>35</v>
      </c>
      <c r="Q717" s="16" t="s">
        <v>4509</v>
      </c>
      <c r="R717" s="17" t="s">
        <v>35</v>
      </c>
      <c r="S717" s="17" t="s">
        <v>4510</v>
      </c>
      <c r="T717" s="17" t="s">
        <v>4511</v>
      </c>
      <c r="U717" s="17" t="s">
        <v>4512</v>
      </c>
      <c r="V717" s="17" t="s">
        <v>4513</v>
      </c>
      <c r="W717" s="17" t="s">
        <v>35</v>
      </c>
      <c r="X717" s="17" t="s">
        <v>35</v>
      </c>
      <c r="Y717" s="17" t="s">
        <v>35</v>
      </c>
      <c r="Z717" s="17" t="s">
        <v>35</v>
      </c>
      <c r="AA717" s="17" t="s">
        <v>35</v>
      </c>
      <c r="AB717" s="17" t="s">
        <v>35</v>
      </c>
      <c r="AC717" s="17" t="s">
        <v>9539</v>
      </c>
      <c r="AD717" s="41">
        <v>102.55</v>
      </c>
      <c r="AE717" s="41">
        <v>107.88</v>
      </c>
      <c r="AF717" s="48"/>
      <c r="AG717" s="44"/>
      <c r="AH717" s="7">
        <f t="shared" si="11"/>
        <v>0</v>
      </c>
      <c r="AI717" s="18"/>
      <c r="AJ717" s="18"/>
      <c r="AL717" s="18"/>
    </row>
    <row r="718" spans="1:38" ht="26.65" customHeight="1" x14ac:dyDescent="0.25">
      <c r="A718" s="10" t="s">
        <v>4514</v>
      </c>
      <c r="B718" s="9" t="s">
        <v>3030</v>
      </c>
      <c r="C718" s="9" t="s">
        <v>34</v>
      </c>
      <c r="D718" s="9" t="s">
        <v>3031</v>
      </c>
      <c r="E718" s="9" t="s">
        <v>35</v>
      </c>
      <c r="F718" s="9" t="s">
        <v>36</v>
      </c>
      <c r="G718" s="9">
        <v>1</v>
      </c>
      <c r="H718" s="9">
        <v>84219999</v>
      </c>
      <c r="I718" s="11" t="s">
        <v>37</v>
      </c>
      <c r="J718" s="12">
        <v>1.6500000000000001E-2</v>
      </c>
      <c r="K718" s="12">
        <v>7.5999999999999998E-2</v>
      </c>
      <c r="L718" s="12">
        <v>5.1999999999999998E-2</v>
      </c>
      <c r="M718" s="13">
        <v>8003453102743</v>
      </c>
      <c r="N718" s="14">
        <v>0.28000000000000003</v>
      </c>
      <c r="O718" s="14">
        <v>0.33</v>
      </c>
      <c r="P718" s="15" t="s">
        <v>35</v>
      </c>
      <c r="Q718" s="16" t="s">
        <v>4515</v>
      </c>
      <c r="R718" s="17" t="s">
        <v>35</v>
      </c>
      <c r="S718" s="17" t="s">
        <v>4516</v>
      </c>
      <c r="T718" s="17" t="s">
        <v>4517</v>
      </c>
      <c r="U718" s="17" t="s">
        <v>4518</v>
      </c>
      <c r="V718" s="17" t="s">
        <v>35</v>
      </c>
      <c r="W718" s="17" t="s">
        <v>35</v>
      </c>
      <c r="X718" s="17" t="s">
        <v>35</v>
      </c>
      <c r="Y718" s="17" t="s">
        <v>35</v>
      </c>
      <c r="Z718" s="17" t="s">
        <v>4519</v>
      </c>
      <c r="AA718" s="17" t="s">
        <v>35</v>
      </c>
      <c r="AB718" s="17" t="s">
        <v>4520</v>
      </c>
      <c r="AC718" s="17" t="s">
        <v>9539</v>
      </c>
      <c r="AD718" s="42">
        <v>35.450000000000003</v>
      </c>
      <c r="AE718" s="42">
        <v>37.29</v>
      </c>
      <c r="AF718" s="48"/>
      <c r="AG718" s="44"/>
      <c r="AH718" s="7">
        <f t="shared" si="11"/>
        <v>0</v>
      </c>
      <c r="AI718" s="18"/>
      <c r="AJ718" s="18"/>
    </row>
    <row r="719" spans="1:38" ht="26.65" customHeight="1" x14ac:dyDescent="0.25">
      <c r="A719" s="10" t="s">
        <v>10318</v>
      </c>
      <c r="B719" s="9" t="s">
        <v>3030</v>
      </c>
      <c r="C719" s="9" t="s">
        <v>34</v>
      </c>
      <c r="D719" s="9" t="s">
        <v>3031</v>
      </c>
      <c r="E719" s="9" t="s">
        <v>35</v>
      </c>
      <c r="F719" s="9" t="s">
        <v>36</v>
      </c>
      <c r="G719" s="9">
        <v>5</v>
      </c>
      <c r="H719" s="9">
        <v>84219999</v>
      </c>
      <c r="I719" s="11" t="s">
        <v>37</v>
      </c>
      <c r="J719" s="12">
        <v>1.6500000000000001E-2</v>
      </c>
      <c r="K719" s="12">
        <v>7.5999999999999998E-2</v>
      </c>
      <c r="L719" s="12">
        <v>5.1999999999999998E-2</v>
      </c>
      <c r="M719" s="13" t="s">
        <v>10319</v>
      </c>
      <c r="N719" s="14">
        <v>0</v>
      </c>
      <c r="O719" s="14">
        <v>0</v>
      </c>
      <c r="P719" s="15">
        <v>45566</v>
      </c>
      <c r="Q719" s="16" t="s">
        <v>4515</v>
      </c>
      <c r="R719" s="17" t="s">
        <v>35</v>
      </c>
      <c r="S719" s="17" t="s">
        <v>4516</v>
      </c>
      <c r="T719" s="17" t="s">
        <v>4517</v>
      </c>
      <c r="U719" s="17" t="s">
        <v>4518</v>
      </c>
      <c r="V719" s="17" t="s">
        <v>10320</v>
      </c>
      <c r="W719" s="17" t="s">
        <v>35</v>
      </c>
      <c r="X719" s="17" t="s">
        <v>35</v>
      </c>
      <c r="Y719" s="17" t="s">
        <v>10321</v>
      </c>
      <c r="Z719" s="17" t="s">
        <v>4519</v>
      </c>
      <c r="AA719" s="17" t="s">
        <v>35</v>
      </c>
      <c r="AB719" s="17" t="s">
        <v>4520</v>
      </c>
      <c r="AC719" s="17" t="s">
        <v>9539</v>
      </c>
      <c r="AD719" s="41">
        <v>32.82</v>
      </c>
      <c r="AE719" s="41">
        <v>34.53</v>
      </c>
      <c r="AF719" s="48"/>
      <c r="AG719" s="44"/>
      <c r="AH719" s="7">
        <f t="shared" si="11"/>
        <v>0</v>
      </c>
      <c r="AI719" s="18"/>
      <c r="AJ719" s="18"/>
    </row>
    <row r="720" spans="1:38" ht="26.65" customHeight="1" x14ac:dyDescent="0.25">
      <c r="A720" s="10" t="s">
        <v>4521</v>
      </c>
      <c r="B720" s="9" t="s">
        <v>3030</v>
      </c>
      <c r="C720" s="9" t="s">
        <v>34</v>
      </c>
      <c r="D720" s="9" t="s">
        <v>3031</v>
      </c>
      <c r="E720" s="9" t="s">
        <v>35</v>
      </c>
      <c r="F720" s="9" t="s">
        <v>36</v>
      </c>
      <c r="G720" s="9">
        <v>1</v>
      </c>
      <c r="H720" s="9">
        <v>84219999</v>
      </c>
      <c r="I720" s="11" t="s">
        <v>37</v>
      </c>
      <c r="J720" s="12">
        <v>1.6500000000000001E-2</v>
      </c>
      <c r="K720" s="12">
        <v>7.5999999999999998E-2</v>
      </c>
      <c r="L720" s="12">
        <v>5.1999999999999998E-2</v>
      </c>
      <c r="M720" s="13">
        <v>8003453102750</v>
      </c>
      <c r="N720" s="14">
        <v>2.7189999999999999</v>
      </c>
      <c r="O720" s="14">
        <v>3.1070000000000002</v>
      </c>
      <c r="P720" s="15">
        <v>44774</v>
      </c>
      <c r="Q720" s="16" t="s">
        <v>4522</v>
      </c>
      <c r="R720" s="17">
        <v>24424482</v>
      </c>
      <c r="S720" s="17" t="s">
        <v>4523</v>
      </c>
      <c r="T720" s="17" t="s">
        <v>4524</v>
      </c>
      <c r="U720" s="17" t="s">
        <v>4525</v>
      </c>
      <c r="V720" s="17" t="s">
        <v>4526</v>
      </c>
      <c r="W720" s="17" t="s">
        <v>4527</v>
      </c>
      <c r="X720" s="17" t="s">
        <v>4528</v>
      </c>
      <c r="Y720" s="17" t="s">
        <v>4529</v>
      </c>
      <c r="Z720" s="17" t="s">
        <v>4530</v>
      </c>
      <c r="AA720" s="17" t="s">
        <v>35</v>
      </c>
      <c r="AB720" s="17" t="s">
        <v>4531</v>
      </c>
      <c r="AC720" s="17" t="s">
        <v>9539</v>
      </c>
      <c r="AD720" s="42">
        <v>141.44</v>
      </c>
      <c r="AE720" s="42">
        <v>148.79</v>
      </c>
      <c r="AF720" s="48"/>
      <c r="AG720" s="44"/>
      <c r="AH720" s="7">
        <f t="shared" si="11"/>
        <v>0</v>
      </c>
      <c r="AI720" s="18"/>
      <c r="AJ720" s="18"/>
    </row>
    <row r="721" spans="1:38" ht="26.65" customHeight="1" x14ac:dyDescent="0.25">
      <c r="A721" s="10" t="s">
        <v>4532</v>
      </c>
      <c r="B721" s="9" t="s">
        <v>3056</v>
      </c>
      <c r="C721" s="9" t="s">
        <v>34</v>
      </c>
      <c r="D721" s="9" t="s">
        <v>3031</v>
      </c>
      <c r="E721" s="9" t="s">
        <v>35</v>
      </c>
      <c r="F721" s="9" t="s">
        <v>36</v>
      </c>
      <c r="G721" s="9">
        <v>1</v>
      </c>
      <c r="H721" s="9">
        <v>84219999</v>
      </c>
      <c r="I721" s="11" t="s">
        <v>37</v>
      </c>
      <c r="J721" s="12">
        <v>1.6500000000000001E-2</v>
      </c>
      <c r="K721" s="12">
        <v>7.5999999999999998E-2</v>
      </c>
      <c r="L721" s="12">
        <v>5.1999999999999998E-2</v>
      </c>
      <c r="M721" s="13">
        <v>8003453102767</v>
      </c>
      <c r="N721" s="14">
        <v>1</v>
      </c>
      <c r="O721" s="14">
        <v>1.1080000000000001</v>
      </c>
      <c r="P721" s="15">
        <v>45170</v>
      </c>
      <c r="Q721" s="16" t="s">
        <v>4533</v>
      </c>
      <c r="R721" s="17" t="s">
        <v>4534</v>
      </c>
      <c r="S721" s="17" t="s">
        <v>4535</v>
      </c>
      <c r="T721" s="17" t="s">
        <v>35</v>
      </c>
      <c r="U721" s="17" t="s">
        <v>35</v>
      </c>
      <c r="V721" s="17" t="s">
        <v>35</v>
      </c>
      <c r="W721" s="17" t="s">
        <v>35</v>
      </c>
      <c r="X721" s="17" t="s">
        <v>35</v>
      </c>
      <c r="Y721" s="17" t="s">
        <v>35</v>
      </c>
      <c r="Z721" s="17" t="s">
        <v>35</v>
      </c>
      <c r="AA721" s="17" t="s">
        <v>35</v>
      </c>
      <c r="AB721" s="17" t="s">
        <v>35</v>
      </c>
      <c r="AC721" s="17" t="s">
        <v>9539</v>
      </c>
      <c r="AD721" s="42">
        <v>104.01</v>
      </c>
      <c r="AE721" s="42">
        <v>109.42</v>
      </c>
      <c r="AF721" s="48"/>
      <c r="AG721" s="44"/>
      <c r="AH721" s="7">
        <f t="shared" si="11"/>
        <v>0</v>
      </c>
      <c r="AI721" s="18"/>
      <c r="AJ721" s="18"/>
    </row>
    <row r="722" spans="1:38" ht="26.65" customHeight="1" x14ac:dyDescent="0.25">
      <c r="A722" s="10" t="s">
        <v>4536</v>
      </c>
      <c r="B722" s="9" t="s">
        <v>3086</v>
      </c>
      <c r="C722" s="9" t="s">
        <v>34</v>
      </c>
      <c r="D722" s="9" t="s">
        <v>3064</v>
      </c>
      <c r="E722" s="9" t="s">
        <v>35</v>
      </c>
      <c r="F722" s="9" t="s">
        <v>36</v>
      </c>
      <c r="G722" s="9">
        <v>1</v>
      </c>
      <c r="H722" s="9">
        <v>84219999</v>
      </c>
      <c r="I722" s="11" t="s">
        <v>37</v>
      </c>
      <c r="J722" s="12">
        <v>1.6500000000000001E-2</v>
      </c>
      <c r="K722" s="12">
        <v>7.5999999999999998E-2</v>
      </c>
      <c r="L722" s="12">
        <v>5.1999999999999998E-2</v>
      </c>
      <c r="M722" s="13">
        <v>8003453102774</v>
      </c>
      <c r="N722" s="14">
        <v>0.69199999999999995</v>
      </c>
      <c r="O722" s="14">
        <v>0.85499999999999998</v>
      </c>
      <c r="P722" s="15">
        <v>45139</v>
      </c>
      <c r="Q722" s="16" t="s">
        <v>4537</v>
      </c>
      <c r="R722" s="17" t="s">
        <v>35</v>
      </c>
      <c r="S722" s="17" t="s">
        <v>35</v>
      </c>
      <c r="T722" s="17" t="s">
        <v>35</v>
      </c>
      <c r="U722" s="17" t="s">
        <v>35</v>
      </c>
      <c r="V722" s="17" t="s">
        <v>35</v>
      </c>
      <c r="W722" s="17" t="s">
        <v>35</v>
      </c>
      <c r="X722" s="17" t="s">
        <v>35</v>
      </c>
      <c r="Y722" s="17" t="s">
        <v>35</v>
      </c>
      <c r="Z722" s="17" t="s">
        <v>4538</v>
      </c>
      <c r="AA722" s="17" t="s">
        <v>35</v>
      </c>
      <c r="AB722" s="17" t="s">
        <v>4539</v>
      </c>
      <c r="AC722" s="17" t="s">
        <v>9539</v>
      </c>
      <c r="AD722" s="42">
        <v>72.13</v>
      </c>
      <c r="AE722" s="42">
        <v>75.88</v>
      </c>
      <c r="AF722" s="48"/>
      <c r="AG722" s="44"/>
      <c r="AH722" s="7">
        <f t="shared" si="11"/>
        <v>0</v>
      </c>
      <c r="AI722" s="18"/>
      <c r="AJ722" s="18"/>
    </row>
    <row r="723" spans="1:38" ht="26.65" customHeight="1" x14ac:dyDescent="0.25">
      <c r="A723" s="10" t="s">
        <v>4540</v>
      </c>
      <c r="B723" s="9" t="s">
        <v>3206</v>
      </c>
      <c r="C723" s="9" t="s">
        <v>34</v>
      </c>
      <c r="D723" s="9" t="s">
        <v>3207</v>
      </c>
      <c r="E723" s="9" t="s">
        <v>35</v>
      </c>
      <c r="F723" s="9" t="s">
        <v>36</v>
      </c>
      <c r="G723" s="9">
        <v>1</v>
      </c>
      <c r="H723" s="9">
        <v>84219999</v>
      </c>
      <c r="I723" s="11" t="s">
        <v>37</v>
      </c>
      <c r="J723" s="12">
        <v>1.6500000000000001E-2</v>
      </c>
      <c r="K723" s="12">
        <v>7.5999999999999998E-2</v>
      </c>
      <c r="L723" s="12">
        <v>5.1999999999999998E-2</v>
      </c>
      <c r="M723" s="13">
        <v>8003453102781</v>
      </c>
      <c r="N723" s="14">
        <v>2.7</v>
      </c>
      <c r="O723" s="14">
        <v>3</v>
      </c>
      <c r="P723" s="15">
        <v>45200</v>
      </c>
      <c r="Q723" s="16" t="s">
        <v>4541</v>
      </c>
      <c r="R723" s="17" t="s">
        <v>4542</v>
      </c>
      <c r="S723" s="17" t="s">
        <v>4543</v>
      </c>
      <c r="T723" s="17" t="s">
        <v>4544</v>
      </c>
      <c r="U723" s="17" t="s">
        <v>35</v>
      </c>
      <c r="V723" s="17" t="s">
        <v>35</v>
      </c>
      <c r="W723" s="17" t="s">
        <v>35</v>
      </c>
      <c r="X723" s="17" t="s">
        <v>35</v>
      </c>
      <c r="Y723" s="17" t="s">
        <v>35</v>
      </c>
      <c r="Z723" s="17" t="s">
        <v>4545</v>
      </c>
      <c r="AA723" s="17" t="s">
        <v>35</v>
      </c>
      <c r="AB723" s="17" t="s">
        <v>35</v>
      </c>
      <c r="AC723" s="17" t="s">
        <v>9539</v>
      </c>
      <c r="AD723" s="42">
        <v>225.85</v>
      </c>
      <c r="AE723" s="42">
        <v>237.59</v>
      </c>
      <c r="AF723" s="48"/>
      <c r="AG723" s="44"/>
      <c r="AH723" s="7">
        <f t="shared" si="11"/>
        <v>0</v>
      </c>
      <c r="AI723" s="18"/>
      <c r="AJ723" s="18"/>
    </row>
    <row r="724" spans="1:38" ht="26.65" customHeight="1" x14ac:dyDescent="0.25">
      <c r="A724" s="10" t="s">
        <v>4546</v>
      </c>
      <c r="B724" s="9" t="s">
        <v>4202</v>
      </c>
      <c r="C724" s="9" t="s">
        <v>58</v>
      </c>
      <c r="D724" s="9" t="s">
        <v>3306</v>
      </c>
      <c r="E724" s="9" t="s">
        <v>122</v>
      </c>
      <c r="F724" s="9" t="s">
        <v>36</v>
      </c>
      <c r="G724" s="9">
        <v>6</v>
      </c>
      <c r="H724" s="9">
        <v>84219999</v>
      </c>
      <c r="I724" s="11" t="s">
        <v>37</v>
      </c>
      <c r="J724" s="12">
        <v>1.6500000000000001E-2</v>
      </c>
      <c r="K724" s="12">
        <v>7.5999999999999998E-2</v>
      </c>
      <c r="L724" s="12">
        <v>5.1999999999999998E-2</v>
      </c>
      <c r="M724" s="13">
        <v>8003453104211</v>
      </c>
      <c r="N724" s="14">
        <v>0.37</v>
      </c>
      <c r="O724" s="14">
        <v>0.38600000000000001</v>
      </c>
      <c r="P724" s="15">
        <v>44774</v>
      </c>
      <c r="Q724" s="16" t="s">
        <v>4547</v>
      </c>
      <c r="R724" s="17" t="s">
        <v>4548</v>
      </c>
      <c r="S724" s="17" t="s">
        <v>35</v>
      </c>
      <c r="T724" s="17" t="s">
        <v>35</v>
      </c>
      <c r="U724" s="17" t="s">
        <v>35</v>
      </c>
      <c r="V724" s="17" t="s">
        <v>4549</v>
      </c>
      <c r="W724" s="17" t="s">
        <v>35</v>
      </c>
      <c r="X724" s="17" t="s">
        <v>35</v>
      </c>
      <c r="Y724" s="17" t="s">
        <v>4550</v>
      </c>
      <c r="Z724" s="17" t="s">
        <v>35</v>
      </c>
      <c r="AA724" s="17" t="s">
        <v>4551</v>
      </c>
      <c r="AB724" s="17" t="s">
        <v>35</v>
      </c>
      <c r="AC724" s="17" t="s">
        <v>9539</v>
      </c>
      <c r="AD724" s="42">
        <v>133.18</v>
      </c>
      <c r="AE724" s="42">
        <v>140.11000000000001</v>
      </c>
      <c r="AF724" s="48"/>
      <c r="AG724" s="44"/>
      <c r="AH724" s="7">
        <f t="shared" si="11"/>
        <v>0</v>
      </c>
      <c r="AI724" s="18"/>
      <c r="AJ724" s="18"/>
    </row>
    <row r="725" spans="1:38" ht="26.65" customHeight="1" x14ac:dyDescent="0.25">
      <c r="A725" s="10" t="s">
        <v>4552</v>
      </c>
      <c r="B725" s="9" t="s">
        <v>3030</v>
      </c>
      <c r="C725" s="9" t="s">
        <v>58</v>
      </c>
      <c r="D725" s="9" t="s">
        <v>3031</v>
      </c>
      <c r="E725" s="9" t="s">
        <v>35</v>
      </c>
      <c r="F725" s="9" t="s">
        <v>36</v>
      </c>
      <c r="G725" s="9">
        <v>1</v>
      </c>
      <c r="H725" s="9">
        <v>84219999</v>
      </c>
      <c r="I725" s="11" t="s">
        <v>37</v>
      </c>
      <c r="J725" s="12">
        <v>1.6500000000000001E-2</v>
      </c>
      <c r="K725" s="12">
        <v>7.5999999999999998E-2</v>
      </c>
      <c r="L725" s="12">
        <v>5.1999999999999998E-2</v>
      </c>
      <c r="M725" s="13">
        <v>8003453102798</v>
      </c>
      <c r="N725" s="14">
        <v>2.9</v>
      </c>
      <c r="O725" s="14">
        <v>3.28</v>
      </c>
      <c r="P725" s="15" t="s">
        <v>35</v>
      </c>
      <c r="Q725" s="16" t="s">
        <v>4553</v>
      </c>
      <c r="R725" s="17" t="s">
        <v>35</v>
      </c>
      <c r="S725" s="17" t="s">
        <v>4554</v>
      </c>
      <c r="T725" s="17" t="s">
        <v>4555</v>
      </c>
      <c r="U725" s="17" t="s">
        <v>35</v>
      </c>
      <c r="V725" s="17" t="s">
        <v>4556</v>
      </c>
      <c r="W725" s="17" t="s">
        <v>35</v>
      </c>
      <c r="X725" s="17" t="s">
        <v>4557</v>
      </c>
      <c r="Y725" s="17" t="s">
        <v>4558</v>
      </c>
      <c r="Z725" s="17" t="s">
        <v>4559</v>
      </c>
      <c r="AA725" s="17" t="s">
        <v>35</v>
      </c>
      <c r="AB725" s="17" t="s">
        <v>35</v>
      </c>
      <c r="AC725" s="17" t="s">
        <v>9539</v>
      </c>
      <c r="AD725" s="42">
        <v>172.7</v>
      </c>
      <c r="AE725" s="42">
        <v>181.68</v>
      </c>
      <c r="AF725" s="48"/>
      <c r="AG725" s="44"/>
      <c r="AH725" s="7">
        <f t="shared" si="11"/>
        <v>0</v>
      </c>
      <c r="AI725" s="18"/>
      <c r="AJ725" s="18"/>
    </row>
    <row r="726" spans="1:38" ht="26.65" customHeight="1" x14ac:dyDescent="0.25">
      <c r="A726" s="10" t="s">
        <v>4560</v>
      </c>
      <c r="B726" s="9" t="s">
        <v>3030</v>
      </c>
      <c r="C726" s="9" t="s">
        <v>58</v>
      </c>
      <c r="D726" s="9" t="s">
        <v>3031</v>
      </c>
      <c r="E726" s="9" t="s">
        <v>35</v>
      </c>
      <c r="F726" s="9" t="s">
        <v>2072</v>
      </c>
      <c r="G726" s="9">
        <v>1</v>
      </c>
      <c r="H726" s="9">
        <v>84219999</v>
      </c>
      <c r="I726" s="11" t="s">
        <v>2073</v>
      </c>
      <c r="J726" s="12">
        <v>1.6500000000000001E-2</v>
      </c>
      <c r="K726" s="12">
        <v>7.5999999999999998E-2</v>
      </c>
      <c r="L726" s="12">
        <v>0</v>
      </c>
      <c r="M726" s="13">
        <v>8003453102804</v>
      </c>
      <c r="N726" s="14">
        <v>2.39</v>
      </c>
      <c r="O726" s="14">
        <v>2.71</v>
      </c>
      <c r="P726" s="15" t="s">
        <v>35</v>
      </c>
      <c r="Q726" s="16" t="s">
        <v>4561</v>
      </c>
      <c r="R726" s="17" t="s">
        <v>35</v>
      </c>
      <c r="S726" s="17" t="s">
        <v>4562</v>
      </c>
      <c r="T726" s="17" t="s">
        <v>4563</v>
      </c>
      <c r="U726" s="17" t="s">
        <v>4564</v>
      </c>
      <c r="V726" s="17" t="s">
        <v>4565</v>
      </c>
      <c r="W726" s="17" t="s">
        <v>4566</v>
      </c>
      <c r="X726" s="17" t="s">
        <v>4567</v>
      </c>
      <c r="Y726" s="17" t="s">
        <v>4568</v>
      </c>
      <c r="Z726" s="17" t="s">
        <v>4569</v>
      </c>
      <c r="AA726" s="17" t="s">
        <v>4570</v>
      </c>
      <c r="AB726" s="17" t="s">
        <v>4571</v>
      </c>
      <c r="AC726" s="17" t="s">
        <v>9539</v>
      </c>
      <c r="AD726" s="41">
        <v>106.57</v>
      </c>
      <c r="AE726" s="41">
        <v>106.57</v>
      </c>
      <c r="AF726" s="48"/>
      <c r="AG726" s="44"/>
      <c r="AH726" s="7">
        <f t="shared" si="11"/>
        <v>0</v>
      </c>
      <c r="AI726" s="18"/>
      <c r="AJ726" s="18"/>
    </row>
    <row r="727" spans="1:38" ht="26.65" customHeight="1" x14ac:dyDescent="0.25">
      <c r="A727" s="10" t="s">
        <v>4572</v>
      </c>
      <c r="B727" s="9" t="s">
        <v>3056</v>
      </c>
      <c r="C727" s="9" t="s">
        <v>34</v>
      </c>
      <c r="D727" s="9" t="s">
        <v>3031</v>
      </c>
      <c r="E727" s="9" t="s">
        <v>35</v>
      </c>
      <c r="F727" s="9" t="s">
        <v>36</v>
      </c>
      <c r="G727" s="9">
        <v>1</v>
      </c>
      <c r="H727" s="9">
        <v>84219999</v>
      </c>
      <c r="I727" s="11" t="s">
        <v>37</v>
      </c>
      <c r="J727" s="12">
        <v>1.6500000000000001E-2</v>
      </c>
      <c r="K727" s="12">
        <v>7.5999999999999998E-2</v>
      </c>
      <c r="L727" s="12">
        <v>5.1999999999999998E-2</v>
      </c>
      <c r="M727" s="13">
        <v>8003453102828</v>
      </c>
      <c r="N727" s="14">
        <v>0.3</v>
      </c>
      <c r="O727" s="14">
        <v>0.34</v>
      </c>
      <c r="P727" s="15">
        <v>45170</v>
      </c>
      <c r="Q727" s="16" t="s">
        <v>4573</v>
      </c>
      <c r="R727" s="17" t="s">
        <v>4574</v>
      </c>
      <c r="S727" s="17" t="s">
        <v>4575</v>
      </c>
      <c r="T727" s="17" t="s">
        <v>4576</v>
      </c>
      <c r="U727" s="17" t="s">
        <v>35</v>
      </c>
      <c r="V727" s="17" t="s">
        <v>4577</v>
      </c>
      <c r="W727" s="17" t="s">
        <v>35</v>
      </c>
      <c r="X727" s="17" t="s">
        <v>35</v>
      </c>
      <c r="Y727" s="17" t="s">
        <v>35</v>
      </c>
      <c r="Z727" s="17" t="s">
        <v>4578</v>
      </c>
      <c r="AA727" s="17" t="s">
        <v>35</v>
      </c>
      <c r="AB727" s="17" t="s">
        <v>4579</v>
      </c>
      <c r="AC727" s="17" t="s">
        <v>9539</v>
      </c>
      <c r="AD727" s="42">
        <v>59.7</v>
      </c>
      <c r="AE727" s="42">
        <v>62.8</v>
      </c>
      <c r="AF727" s="48"/>
      <c r="AG727" s="44"/>
      <c r="AH727" s="7">
        <f t="shared" si="11"/>
        <v>0</v>
      </c>
      <c r="AI727" s="18"/>
      <c r="AJ727" s="18"/>
    </row>
    <row r="728" spans="1:38" ht="26.65" customHeight="1" x14ac:dyDescent="0.25">
      <c r="A728" s="10" t="s">
        <v>10596</v>
      </c>
      <c r="B728" s="9" t="s">
        <v>3030</v>
      </c>
      <c r="C728" s="9" t="s">
        <v>58</v>
      </c>
      <c r="D728" s="9" t="s">
        <v>3306</v>
      </c>
      <c r="E728" s="9" t="s">
        <v>35</v>
      </c>
      <c r="F728" s="9" t="s">
        <v>36</v>
      </c>
      <c r="G728" s="9">
        <v>1</v>
      </c>
      <c r="H728" s="9">
        <v>84219999</v>
      </c>
      <c r="I728" s="11" t="s">
        <v>37</v>
      </c>
      <c r="J728" s="12">
        <v>1.6500000000000001E-2</v>
      </c>
      <c r="K728" s="12">
        <v>7.5999999999999998E-2</v>
      </c>
      <c r="L728" s="12">
        <v>5.1999999999999998E-2</v>
      </c>
      <c r="M728" s="13">
        <v>8003453102842</v>
      </c>
      <c r="N728" s="14">
        <v>4.4000000000000004</v>
      </c>
      <c r="O728" s="14">
        <v>4.72</v>
      </c>
      <c r="P728" s="15">
        <v>45597</v>
      </c>
      <c r="Q728" s="16" t="s">
        <v>10597</v>
      </c>
      <c r="R728" s="17" t="s">
        <v>35</v>
      </c>
      <c r="S728" s="17" t="s">
        <v>10598</v>
      </c>
      <c r="T728" s="17" t="s">
        <v>10599</v>
      </c>
      <c r="U728" s="17" t="s">
        <v>10600</v>
      </c>
      <c r="V728" s="17" t="s">
        <v>35</v>
      </c>
      <c r="W728" s="17" t="s">
        <v>35</v>
      </c>
      <c r="X728" s="17" t="s">
        <v>35</v>
      </c>
      <c r="Y728" s="17" t="s">
        <v>35</v>
      </c>
      <c r="Z728" s="17" t="s">
        <v>10601</v>
      </c>
      <c r="AA728" s="17" t="s">
        <v>35</v>
      </c>
      <c r="AB728" s="17" t="s">
        <v>10602</v>
      </c>
      <c r="AC728" s="17" t="s">
        <v>9539</v>
      </c>
      <c r="AD728" s="41">
        <v>241.36</v>
      </c>
      <c r="AE728" s="41">
        <v>253.91</v>
      </c>
      <c r="AF728" s="48"/>
      <c r="AG728" s="44"/>
      <c r="AH728" s="7">
        <f t="shared" si="11"/>
        <v>0</v>
      </c>
      <c r="AI728" s="18"/>
      <c r="AJ728" s="18"/>
    </row>
    <row r="729" spans="1:38" ht="26.65" customHeight="1" x14ac:dyDescent="0.25">
      <c r="A729" s="10" t="s">
        <v>4580</v>
      </c>
      <c r="B729" s="9" t="s">
        <v>3030</v>
      </c>
      <c r="C729" s="9" t="s">
        <v>34</v>
      </c>
      <c r="D729" s="9" t="s">
        <v>3031</v>
      </c>
      <c r="E729" s="9" t="s">
        <v>35</v>
      </c>
      <c r="F729" s="9" t="s">
        <v>36</v>
      </c>
      <c r="G729" s="9">
        <v>1</v>
      </c>
      <c r="H729" s="9">
        <v>84219999</v>
      </c>
      <c r="I729" s="11" t="s">
        <v>37</v>
      </c>
      <c r="J729" s="12">
        <v>1.6500000000000001E-2</v>
      </c>
      <c r="K729" s="12">
        <v>7.5999999999999998E-2</v>
      </c>
      <c r="L729" s="12">
        <v>5.1999999999999998E-2</v>
      </c>
      <c r="M729" s="13">
        <v>8003453102866</v>
      </c>
      <c r="N729" s="14">
        <v>0.73199999999999998</v>
      </c>
      <c r="O729" s="14">
        <v>0.86</v>
      </c>
      <c r="P729" s="15" t="s">
        <v>35</v>
      </c>
      <c r="Q729" s="16" t="s">
        <v>8679</v>
      </c>
      <c r="R729" s="17" t="s">
        <v>8680</v>
      </c>
      <c r="S729" s="17" t="s">
        <v>8681</v>
      </c>
      <c r="T729" s="17" t="s">
        <v>35</v>
      </c>
      <c r="U729" s="17" t="s">
        <v>35</v>
      </c>
      <c r="V729" s="17" t="s">
        <v>35</v>
      </c>
      <c r="W729" s="17" t="s">
        <v>35</v>
      </c>
      <c r="X729" s="17" t="s">
        <v>35</v>
      </c>
      <c r="Y729" s="17" t="s">
        <v>35</v>
      </c>
      <c r="Z729" s="17" t="s">
        <v>4581</v>
      </c>
      <c r="AA729" s="17" t="s">
        <v>35</v>
      </c>
      <c r="AB729" s="17" t="s">
        <v>8682</v>
      </c>
      <c r="AC729" s="17" t="s">
        <v>9539</v>
      </c>
      <c r="AD729" s="42">
        <v>62.67</v>
      </c>
      <c r="AE729" s="42">
        <v>65.930000000000007</v>
      </c>
      <c r="AF729" s="48"/>
      <c r="AG729" s="44"/>
      <c r="AH729" s="7">
        <f t="shared" si="11"/>
        <v>0</v>
      </c>
      <c r="AI729" s="18"/>
      <c r="AJ729" s="18"/>
    </row>
    <row r="730" spans="1:38" ht="26.65" customHeight="1" x14ac:dyDescent="0.25">
      <c r="A730" s="10" t="s">
        <v>10322</v>
      </c>
      <c r="B730" s="9" t="s">
        <v>3030</v>
      </c>
      <c r="C730" s="9" t="s">
        <v>34</v>
      </c>
      <c r="D730" s="9" t="s">
        <v>3031</v>
      </c>
      <c r="E730" s="9" t="s">
        <v>35</v>
      </c>
      <c r="F730" s="9" t="s">
        <v>36</v>
      </c>
      <c r="G730" s="9">
        <v>5</v>
      </c>
      <c r="H730" s="9">
        <v>84219999</v>
      </c>
      <c r="I730" s="11" t="s">
        <v>37</v>
      </c>
      <c r="J730" s="12">
        <v>1.6500000000000001E-2</v>
      </c>
      <c r="K730" s="12">
        <v>7.5999999999999998E-2</v>
      </c>
      <c r="L730" s="12">
        <v>5.1999999999999998E-2</v>
      </c>
      <c r="M730" s="13" t="s">
        <v>10323</v>
      </c>
      <c r="N730" s="14">
        <v>0</v>
      </c>
      <c r="O730" s="14">
        <v>0</v>
      </c>
      <c r="P730" s="15">
        <v>45566</v>
      </c>
      <c r="Q730" s="16" t="s">
        <v>8679</v>
      </c>
      <c r="R730" s="17" t="s">
        <v>35</v>
      </c>
      <c r="S730" s="17" t="s">
        <v>8681</v>
      </c>
      <c r="T730" s="17" t="s">
        <v>35</v>
      </c>
      <c r="U730" s="17" t="s">
        <v>35</v>
      </c>
      <c r="V730" s="17" t="s">
        <v>35</v>
      </c>
      <c r="W730" s="17" t="s">
        <v>35</v>
      </c>
      <c r="X730" s="17" t="s">
        <v>35</v>
      </c>
      <c r="Y730" s="17" t="s">
        <v>35</v>
      </c>
      <c r="Z730" s="17" t="s">
        <v>4581</v>
      </c>
      <c r="AA730" s="17" t="s">
        <v>35</v>
      </c>
      <c r="AB730" s="17" t="s">
        <v>8682</v>
      </c>
      <c r="AC730" s="17" t="s">
        <v>9539</v>
      </c>
      <c r="AD730" s="41">
        <v>46.26</v>
      </c>
      <c r="AE730" s="41">
        <v>48.67</v>
      </c>
      <c r="AF730" s="48"/>
      <c r="AG730" s="44"/>
      <c r="AH730" s="7">
        <f t="shared" si="11"/>
        <v>0</v>
      </c>
      <c r="AI730" s="18"/>
      <c r="AJ730" s="18"/>
    </row>
    <row r="731" spans="1:38" ht="26.65" customHeight="1" x14ac:dyDescent="0.25">
      <c r="A731" s="10" t="s">
        <v>4582</v>
      </c>
      <c r="B731" s="9" t="s">
        <v>3030</v>
      </c>
      <c r="C731" s="9" t="s">
        <v>34</v>
      </c>
      <c r="D731" s="9" t="s">
        <v>3306</v>
      </c>
      <c r="E731" s="9" t="s">
        <v>35</v>
      </c>
      <c r="F731" s="9" t="s">
        <v>36</v>
      </c>
      <c r="G731" s="9">
        <v>1</v>
      </c>
      <c r="H731" s="9">
        <v>84219999</v>
      </c>
      <c r="I731" s="11" t="s">
        <v>37</v>
      </c>
      <c r="J731" s="12">
        <v>1.6500000000000001E-2</v>
      </c>
      <c r="K731" s="12">
        <v>7.5999999999999998E-2</v>
      </c>
      <c r="L731" s="12">
        <v>5.1999999999999998E-2</v>
      </c>
      <c r="M731" s="13">
        <v>8003453102873</v>
      </c>
      <c r="N731" s="14">
        <v>1.8</v>
      </c>
      <c r="O731" s="14">
        <v>2</v>
      </c>
      <c r="P731" s="15">
        <v>44531</v>
      </c>
      <c r="Q731" s="16" t="s">
        <v>4583</v>
      </c>
      <c r="R731" s="17" t="s">
        <v>4584</v>
      </c>
      <c r="S731" s="17" t="s">
        <v>4585</v>
      </c>
      <c r="T731" s="17" t="s">
        <v>4586</v>
      </c>
      <c r="U731" s="17" t="s">
        <v>35</v>
      </c>
      <c r="V731" s="17" t="s">
        <v>4587</v>
      </c>
      <c r="W731" s="17" t="s">
        <v>35</v>
      </c>
      <c r="X731" s="17" t="s">
        <v>35</v>
      </c>
      <c r="Y731" s="17" t="s">
        <v>35</v>
      </c>
      <c r="Z731" s="17" t="s">
        <v>4588</v>
      </c>
      <c r="AA731" s="17" t="s">
        <v>35</v>
      </c>
      <c r="AB731" s="17" t="s">
        <v>4589</v>
      </c>
      <c r="AC731" s="17" t="s">
        <v>9539</v>
      </c>
      <c r="AD731" s="42">
        <v>58.15</v>
      </c>
      <c r="AE731" s="42">
        <v>61.17</v>
      </c>
      <c r="AF731" s="48"/>
      <c r="AG731" s="44"/>
      <c r="AH731" s="7">
        <f t="shared" si="11"/>
        <v>0</v>
      </c>
      <c r="AI731" s="18"/>
      <c r="AJ731" s="18"/>
    </row>
    <row r="732" spans="1:38" ht="26.65" customHeight="1" x14ac:dyDescent="0.25">
      <c r="A732" s="10" t="s">
        <v>9851</v>
      </c>
      <c r="B732" s="9" t="s">
        <v>3030</v>
      </c>
      <c r="C732" s="9" t="s">
        <v>58</v>
      </c>
      <c r="D732" s="9" t="s">
        <v>3031</v>
      </c>
      <c r="E732" s="9" t="s">
        <v>35</v>
      </c>
      <c r="F732" s="9" t="s">
        <v>36</v>
      </c>
      <c r="G732" s="9">
        <v>1</v>
      </c>
      <c r="H732" s="9">
        <v>84213990</v>
      </c>
      <c r="I732" s="11" t="s">
        <v>37</v>
      </c>
      <c r="J732" s="12">
        <v>1.6500000000000001E-2</v>
      </c>
      <c r="K732" s="12">
        <v>7.5999999999999998E-2</v>
      </c>
      <c r="L732" s="12">
        <v>0</v>
      </c>
      <c r="M732" s="13">
        <v>8003453102897</v>
      </c>
      <c r="N732" s="14">
        <v>4.5999999999999996</v>
      </c>
      <c r="O732" s="14">
        <v>5.18</v>
      </c>
      <c r="P732" s="15">
        <v>45536</v>
      </c>
      <c r="Q732" s="16" t="s">
        <v>9852</v>
      </c>
      <c r="R732" s="17" t="s">
        <v>35</v>
      </c>
      <c r="S732" s="17" t="s">
        <v>9853</v>
      </c>
      <c r="T732" s="17" t="s">
        <v>35</v>
      </c>
      <c r="U732" s="17" t="s">
        <v>35</v>
      </c>
      <c r="V732" s="17" t="s">
        <v>35</v>
      </c>
      <c r="W732" s="17" t="s">
        <v>35</v>
      </c>
      <c r="X732" s="17" t="s">
        <v>35</v>
      </c>
      <c r="Y732" s="17" t="s">
        <v>35</v>
      </c>
      <c r="Z732" s="17" t="s">
        <v>9854</v>
      </c>
      <c r="AA732" s="17" t="s">
        <v>35</v>
      </c>
      <c r="AB732" s="17" t="s">
        <v>9855</v>
      </c>
      <c r="AC732" s="17" t="s">
        <v>9539</v>
      </c>
      <c r="AD732" s="41">
        <v>269.57</v>
      </c>
      <c r="AE732" s="41">
        <v>269.57</v>
      </c>
      <c r="AF732" s="48"/>
      <c r="AG732" s="44"/>
      <c r="AH732" s="7">
        <f t="shared" si="11"/>
        <v>0</v>
      </c>
      <c r="AI732" s="18"/>
      <c r="AJ732" s="18"/>
    </row>
    <row r="733" spans="1:38" ht="26.65" customHeight="1" x14ac:dyDescent="0.25">
      <c r="A733" s="10" t="s">
        <v>4590</v>
      </c>
      <c r="B733" s="9" t="s">
        <v>3030</v>
      </c>
      <c r="C733" s="9" t="s">
        <v>58</v>
      </c>
      <c r="D733" s="9" t="s">
        <v>3031</v>
      </c>
      <c r="E733" s="9" t="s">
        <v>35</v>
      </c>
      <c r="F733" s="9" t="s">
        <v>36</v>
      </c>
      <c r="G733" s="9">
        <v>1</v>
      </c>
      <c r="H733" s="9">
        <v>84219999</v>
      </c>
      <c r="I733" s="11" t="s">
        <v>37</v>
      </c>
      <c r="J733" s="12">
        <v>1.6500000000000001E-2</v>
      </c>
      <c r="K733" s="12">
        <v>7.5999999999999998E-2</v>
      </c>
      <c r="L733" s="12">
        <v>5.1999999999999998E-2</v>
      </c>
      <c r="M733" s="13">
        <v>8003453102910</v>
      </c>
      <c r="N733" s="14">
        <v>4</v>
      </c>
      <c r="O733" s="14">
        <v>4.3369999999999997</v>
      </c>
      <c r="P733" s="15" t="s">
        <v>35</v>
      </c>
      <c r="Q733" s="16" t="s">
        <v>4591</v>
      </c>
      <c r="R733" s="17" t="s">
        <v>35</v>
      </c>
      <c r="S733" s="17" t="s">
        <v>4592</v>
      </c>
      <c r="T733" s="17" t="s">
        <v>4593</v>
      </c>
      <c r="U733" s="17" t="s">
        <v>4594</v>
      </c>
      <c r="V733" s="17" t="s">
        <v>35</v>
      </c>
      <c r="W733" s="17" t="s">
        <v>35</v>
      </c>
      <c r="X733" s="17" t="s">
        <v>35</v>
      </c>
      <c r="Y733" s="17" t="s">
        <v>35</v>
      </c>
      <c r="Z733" s="17" t="s">
        <v>4595</v>
      </c>
      <c r="AA733" s="17" t="s">
        <v>35</v>
      </c>
      <c r="AB733" s="17" t="s">
        <v>35</v>
      </c>
      <c r="AC733" s="17" t="s">
        <v>9539</v>
      </c>
      <c r="AD733" s="41">
        <v>145.74</v>
      </c>
      <c r="AE733" s="41">
        <v>153.32</v>
      </c>
      <c r="AF733" s="48"/>
      <c r="AG733" s="44"/>
      <c r="AH733" s="7">
        <f t="shared" si="11"/>
        <v>0</v>
      </c>
      <c r="AI733" s="18"/>
      <c r="AJ733" s="18"/>
      <c r="AL733" s="18"/>
    </row>
    <row r="734" spans="1:38" ht="26.65" customHeight="1" x14ac:dyDescent="0.25">
      <c r="A734" s="10" t="s">
        <v>4596</v>
      </c>
      <c r="B734" s="9" t="s">
        <v>3030</v>
      </c>
      <c r="C734" s="9" t="s">
        <v>34</v>
      </c>
      <c r="D734" s="9" t="s">
        <v>3031</v>
      </c>
      <c r="E734" s="9" t="s">
        <v>35</v>
      </c>
      <c r="F734" s="9" t="s">
        <v>36</v>
      </c>
      <c r="G734" s="9">
        <v>1</v>
      </c>
      <c r="H734" s="9">
        <v>84219999</v>
      </c>
      <c r="I734" s="11" t="s">
        <v>37</v>
      </c>
      <c r="J734" s="12">
        <v>1.6500000000000001E-2</v>
      </c>
      <c r="K734" s="12">
        <v>7.5999999999999998E-2</v>
      </c>
      <c r="L734" s="12">
        <v>5.1999999999999998E-2</v>
      </c>
      <c r="M734" s="13">
        <v>8003453102934</v>
      </c>
      <c r="N734" s="14">
        <v>3.8</v>
      </c>
      <c r="O734" s="14">
        <v>4.1879999999999997</v>
      </c>
      <c r="P734" s="15" t="s">
        <v>35</v>
      </c>
      <c r="Q734" s="16" t="s">
        <v>4597</v>
      </c>
      <c r="R734" s="17" t="s">
        <v>35</v>
      </c>
      <c r="S734" s="17" t="s">
        <v>3339</v>
      </c>
      <c r="T734" s="17" t="s">
        <v>35</v>
      </c>
      <c r="U734" s="17" t="s">
        <v>35</v>
      </c>
      <c r="V734" s="17" t="s">
        <v>35</v>
      </c>
      <c r="W734" s="17" t="s">
        <v>35</v>
      </c>
      <c r="X734" s="17" t="s">
        <v>35</v>
      </c>
      <c r="Y734" s="17" t="s">
        <v>35</v>
      </c>
      <c r="Z734" s="17" t="s">
        <v>4598</v>
      </c>
      <c r="AA734" s="17" t="s">
        <v>35</v>
      </c>
      <c r="AB734" s="17" t="s">
        <v>4599</v>
      </c>
      <c r="AC734" s="17" t="s">
        <v>9539</v>
      </c>
      <c r="AD734" s="41">
        <v>220.32</v>
      </c>
      <c r="AE734" s="41">
        <v>231.78</v>
      </c>
      <c r="AF734" s="48"/>
      <c r="AG734" s="44"/>
      <c r="AH734" s="7">
        <f t="shared" si="11"/>
        <v>0</v>
      </c>
      <c r="AI734" s="18"/>
      <c r="AJ734" s="18"/>
    </row>
    <row r="735" spans="1:38" ht="26.65" customHeight="1" x14ac:dyDescent="0.25">
      <c r="A735" s="10" t="s">
        <v>4600</v>
      </c>
      <c r="B735" s="9" t="s">
        <v>3063</v>
      </c>
      <c r="C735" s="9" t="s">
        <v>34</v>
      </c>
      <c r="D735" s="9" t="s">
        <v>3031</v>
      </c>
      <c r="E735" s="9" t="s">
        <v>35</v>
      </c>
      <c r="F735" s="9" t="s">
        <v>36</v>
      </c>
      <c r="G735" s="9">
        <v>1</v>
      </c>
      <c r="H735" s="9">
        <v>84219999</v>
      </c>
      <c r="I735" s="11" t="s">
        <v>37</v>
      </c>
      <c r="J735" s="12">
        <v>1.6500000000000001E-2</v>
      </c>
      <c r="K735" s="12">
        <v>7.5999999999999998E-2</v>
      </c>
      <c r="L735" s="12">
        <v>5.1999999999999998E-2</v>
      </c>
      <c r="M735" s="13">
        <v>8003453102965</v>
      </c>
      <c r="N735" s="14">
        <v>0.7</v>
      </c>
      <c r="O735" s="14">
        <v>0.80200000000000005</v>
      </c>
      <c r="P735" s="15" t="s">
        <v>35</v>
      </c>
      <c r="Q735" s="16" t="s">
        <v>4601</v>
      </c>
      <c r="R735" s="17" t="s">
        <v>35</v>
      </c>
      <c r="S735" s="17" t="s">
        <v>4602</v>
      </c>
      <c r="T735" s="17" t="s">
        <v>4603</v>
      </c>
      <c r="U735" s="17" t="s">
        <v>35</v>
      </c>
      <c r="V735" s="17" t="s">
        <v>35</v>
      </c>
      <c r="W735" s="17" t="s">
        <v>35</v>
      </c>
      <c r="X735" s="17" t="s">
        <v>35</v>
      </c>
      <c r="Y735" s="17" t="s">
        <v>35</v>
      </c>
      <c r="Z735" s="17" t="s">
        <v>4604</v>
      </c>
      <c r="AA735" s="17" t="s">
        <v>35</v>
      </c>
      <c r="AB735" s="17" t="s">
        <v>4605</v>
      </c>
      <c r="AC735" s="17" t="s">
        <v>9539</v>
      </c>
      <c r="AD735" s="42">
        <v>38.409999999999997</v>
      </c>
      <c r="AE735" s="42">
        <v>40.409999999999997</v>
      </c>
      <c r="AF735" s="48"/>
      <c r="AG735" s="44"/>
      <c r="AH735" s="7">
        <f t="shared" si="11"/>
        <v>0</v>
      </c>
      <c r="AI735" s="18"/>
      <c r="AJ735" s="18"/>
    </row>
    <row r="736" spans="1:38" ht="26.65" customHeight="1" x14ac:dyDescent="0.25">
      <c r="A736" s="10" t="s">
        <v>10324</v>
      </c>
      <c r="B736" s="9" t="s">
        <v>3030</v>
      </c>
      <c r="C736" s="9" t="s">
        <v>34</v>
      </c>
      <c r="D736" s="9" t="s">
        <v>3031</v>
      </c>
      <c r="E736" s="9" t="s">
        <v>35</v>
      </c>
      <c r="F736" s="9" t="s">
        <v>36</v>
      </c>
      <c r="G736" s="9">
        <v>5</v>
      </c>
      <c r="H736" s="9">
        <v>84219999</v>
      </c>
      <c r="I736" s="11" t="s">
        <v>37</v>
      </c>
      <c r="J736" s="12">
        <v>1.6500000000000001E-2</v>
      </c>
      <c r="K736" s="12">
        <v>7.5999999999999998E-2</v>
      </c>
      <c r="L736" s="12">
        <v>5.1999999999999998E-2</v>
      </c>
      <c r="M736" s="13" t="s">
        <v>10325</v>
      </c>
      <c r="N736" s="14">
        <v>0</v>
      </c>
      <c r="O736" s="14">
        <v>0</v>
      </c>
      <c r="P736" s="15">
        <v>45566</v>
      </c>
      <c r="Q736" s="16" t="s">
        <v>10326</v>
      </c>
      <c r="R736" s="17" t="s">
        <v>10327</v>
      </c>
      <c r="S736" s="17" t="s">
        <v>4602</v>
      </c>
      <c r="T736" s="17" t="s">
        <v>4603</v>
      </c>
      <c r="U736" s="17" t="s">
        <v>35</v>
      </c>
      <c r="V736" s="17" t="s">
        <v>35</v>
      </c>
      <c r="W736" s="17" t="s">
        <v>35</v>
      </c>
      <c r="X736" s="17" t="s">
        <v>35</v>
      </c>
      <c r="Y736" s="17" t="s">
        <v>10328</v>
      </c>
      <c r="Z736" s="17" t="s">
        <v>4604</v>
      </c>
      <c r="AA736" s="17" t="s">
        <v>35</v>
      </c>
      <c r="AB736" s="17" t="s">
        <v>4605</v>
      </c>
      <c r="AC736" s="17" t="s">
        <v>9539</v>
      </c>
      <c r="AD736" s="41">
        <v>29.82</v>
      </c>
      <c r="AE736" s="41">
        <v>31.37</v>
      </c>
      <c r="AF736" s="48"/>
      <c r="AG736" s="44"/>
      <c r="AH736" s="7">
        <f t="shared" si="11"/>
        <v>0</v>
      </c>
      <c r="AI736" s="18"/>
      <c r="AJ736" s="18"/>
    </row>
    <row r="737" spans="1:38" ht="26.65" customHeight="1" x14ac:dyDescent="0.25">
      <c r="A737" s="10" t="s">
        <v>4606</v>
      </c>
      <c r="B737" s="9" t="s">
        <v>3030</v>
      </c>
      <c r="C737" s="9" t="s">
        <v>34</v>
      </c>
      <c r="D737" s="9" t="s">
        <v>3031</v>
      </c>
      <c r="E737" s="9" t="s">
        <v>35</v>
      </c>
      <c r="F737" s="9" t="s">
        <v>36</v>
      </c>
      <c r="G737" s="9">
        <v>1</v>
      </c>
      <c r="H737" s="9">
        <v>84219999</v>
      </c>
      <c r="I737" s="11" t="s">
        <v>37</v>
      </c>
      <c r="J737" s="12">
        <v>1.6500000000000001E-2</v>
      </c>
      <c r="K737" s="12">
        <v>7.5999999999999998E-2</v>
      </c>
      <c r="L737" s="12">
        <v>5.1999999999999998E-2</v>
      </c>
      <c r="M737" s="13">
        <v>8003453102989</v>
      </c>
      <c r="N737" s="14">
        <v>1.476</v>
      </c>
      <c r="O737" s="14">
        <v>1.7</v>
      </c>
      <c r="P737" s="15">
        <v>45139</v>
      </c>
      <c r="Q737" s="16" t="s">
        <v>4607</v>
      </c>
      <c r="R737" s="17" t="s">
        <v>4608</v>
      </c>
      <c r="S737" s="17" t="s">
        <v>4609</v>
      </c>
      <c r="T737" s="17" t="s">
        <v>35</v>
      </c>
      <c r="U737" s="17" t="s">
        <v>35</v>
      </c>
      <c r="V737" s="17" t="s">
        <v>35</v>
      </c>
      <c r="W737" s="17" t="s">
        <v>35</v>
      </c>
      <c r="X737" s="17" t="s">
        <v>35</v>
      </c>
      <c r="Y737" s="17" t="s">
        <v>35</v>
      </c>
      <c r="Z737" s="17" t="s">
        <v>35</v>
      </c>
      <c r="AA737" s="17" t="s">
        <v>35</v>
      </c>
      <c r="AB737" s="17" t="s">
        <v>35</v>
      </c>
      <c r="AC737" s="17" t="s">
        <v>9539</v>
      </c>
      <c r="AD737" s="41">
        <v>64.45</v>
      </c>
      <c r="AE737" s="41">
        <v>67.8</v>
      </c>
      <c r="AF737" s="48"/>
      <c r="AG737" s="44"/>
      <c r="AH737" s="7">
        <f t="shared" si="11"/>
        <v>0</v>
      </c>
      <c r="AI737" s="18"/>
      <c r="AJ737" s="18"/>
      <c r="AL737" s="18"/>
    </row>
    <row r="738" spans="1:38" ht="26.65" customHeight="1" x14ac:dyDescent="0.25">
      <c r="A738" s="10" t="s">
        <v>4610</v>
      </c>
      <c r="B738" s="9" t="s">
        <v>3063</v>
      </c>
      <c r="C738" s="9" t="s">
        <v>34</v>
      </c>
      <c r="D738" s="9" t="s">
        <v>3064</v>
      </c>
      <c r="E738" s="9" t="s">
        <v>35</v>
      </c>
      <c r="F738" s="9" t="s">
        <v>36</v>
      </c>
      <c r="G738" s="9">
        <v>1</v>
      </c>
      <c r="H738" s="9">
        <v>84219999</v>
      </c>
      <c r="I738" s="11" t="s">
        <v>37</v>
      </c>
      <c r="J738" s="12">
        <v>1.6500000000000001E-2</v>
      </c>
      <c r="K738" s="12">
        <v>7.5999999999999998E-2</v>
      </c>
      <c r="L738" s="12">
        <v>5.1999999999999998E-2</v>
      </c>
      <c r="M738" s="13">
        <v>8003453102996</v>
      </c>
      <c r="N738" s="14">
        <v>0.4</v>
      </c>
      <c r="O738" s="14">
        <v>0.46600000000000003</v>
      </c>
      <c r="P738" s="15">
        <v>44927</v>
      </c>
      <c r="Q738" s="16" t="s">
        <v>4611</v>
      </c>
      <c r="R738" s="17" t="s">
        <v>4612</v>
      </c>
      <c r="S738" s="17" t="s">
        <v>4613</v>
      </c>
      <c r="T738" s="17" t="s">
        <v>4614</v>
      </c>
      <c r="U738" s="17" t="s">
        <v>35</v>
      </c>
      <c r="V738" s="17" t="s">
        <v>4615</v>
      </c>
      <c r="W738" s="17" t="s">
        <v>4616</v>
      </c>
      <c r="X738" s="17" t="s">
        <v>35</v>
      </c>
      <c r="Y738" s="17" t="s">
        <v>4617</v>
      </c>
      <c r="Z738" s="17" t="s">
        <v>4618</v>
      </c>
      <c r="AA738" s="17" t="s">
        <v>35</v>
      </c>
      <c r="AB738" s="17" t="s">
        <v>4619</v>
      </c>
      <c r="AC738" s="17" t="s">
        <v>9539</v>
      </c>
      <c r="AD738" s="41">
        <v>38.130000000000003</v>
      </c>
      <c r="AE738" s="41">
        <v>40.11</v>
      </c>
      <c r="AF738" s="48"/>
      <c r="AG738" s="44"/>
      <c r="AH738" s="7">
        <f t="shared" si="11"/>
        <v>0</v>
      </c>
      <c r="AI738" s="18"/>
      <c r="AJ738" s="18"/>
      <c r="AL738" s="18"/>
    </row>
    <row r="739" spans="1:38" ht="26.65" customHeight="1" x14ac:dyDescent="0.25">
      <c r="A739" s="10" t="s">
        <v>10329</v>
      </c>
      <c r="B739" s="9" t="s">
        <v>3030</v>
      </c>
      <c r="C739" s="9" t="s">
        <v>34</v>
      </c>
      <c r="D739" s="9" t="s">
        <v>3031</v>
      </c>
      <c r="E739" s="9" t="s">
        <v>35</v>
      </c>
      <c r="F739" s="9" t="s">
        <v>36</v>
      </c>
      <c r="G739" s="9">
        <v>5</v>
      </c>
      <c r="H739" s="9">
        <v>84219999</v>
      </c>
      <c r="I739" s="11" t="s">
        <v>37</v>
      </c>
      <c r="J739" s="12">
        <v>1.6500000000000001E-2</v>
      </c>
      <c r="K739" s="12">
        <v>7.5999999999999998E-2</v>
      </c>
      <c r="L739" s="12">
        <v>5.1999999999999998E-2</v>
      </c>
      <c r="M739" s="13" t="s">
        <v>10330</v>
      </c>
      <c r="N739" s="14">
        <v>0</v>
      </c>
      <c r="O739" s="14">
        <v>0</v>
      </c>
      <c r="P739" s="15">
        <v>45566</v>
      </c>
      <c r="Q739" s="16" t="s">
        <v>4611</v>
      </c>
      <c r="R739" s="17" t="s">
        <v>35</v>
      </c>
      <c r="S739" s="17" t="s">
        <v>4613</v>
      </c>
      <c r="T739" s="17" t="s">
        <v>4614</v>
      </c>
      <c r="U739" s="17" t="s">
        <v>10331</v>
      </c>
      <c r="V739" s="17" t="s">
        <v>4615</v>
      </c>
      <c r="W739" s="17" t="s">
        <v>4616</v>
      </c>
      <c r="X739" s="17" t="s">
        <v>10332</v>
      </c>
      <c r="Y739" s="17" t="s">
        <v>4617</v>
      </c>
      <c r="Z739" s="17" t="s">
        <v>4618</v>
      </c>
      <c r="AA739" s="17" t="s">
        <v>35</v>
      </c>
      <c r="AB739" s="17" t="s">
        <v>4619</v>
      </c>
      <c r="AC739" s="17" t="s">
        <v>9539</v>
      </c>
      <c r="AD739" s="41">
        <v>25.03</v>
      </c>
      <c r="AE739" s="41">
        <v>26.33</v>
      </c>
      <c r="AF739" s="48"/>
      <c r="AG739" s="44"/>
      <c r="AH739" s="7">
        <f t="shared" si="11"/>
        <v>0</v>
      </c>
      <c r="AI739" s="18"/>
      <c r="AJ739" s="18"/>
    </row>
    <row r="740" spans="1:38" ht="26.65" customHeight="1" x14ac:dyDescent="0.25">
      <c r="A740" s="10" t="s">
        <v>8932</v>
      </c>
      <c r="B740" s="9" t="s">
        <v>3030</v>
      </c>
      <c r="C740" s="9" t="s">
        <v>34</v>
      </c>
      <c r="D740" s="9" t="s">
        <v>3031</v>
      </c>
      <c r="E740" s="9" t="s">
        <v>35</v>
      </c>
      <c r="F740" s="9" t="s">
        <v>36</v>
      </c>
      <c r="G740" s="9">
        <v>1</v>
      </c>
      <c r="H740" s="9">
        <v>84219999</v>
      </c>
      <c r="I740" s="11" t="s">
        <v>37</v>
      </c>
      <c r="J740" s="12">
        <v>1.6500000000000001E-2</v>
      </c>
      <c r="K740" s="12">
        <v>7.5999999999999998E-2</v>
      </c>
      <c r="L740" s="12">
        <v>5.1999999999999998E-2</v>
      </c>
      <c r="M740" s="13">
        <v>8003453103009</v>
      </c>
      <c r="N740" s="14">
        <v>1.1000000000000001</v>
      </c>
      <c r="O740" s="14">
        <v>1.3320000000000001</v>
      </c>
      <c r="P740" s="15">
        <v>45352</v>
      </c>
      <c r="Q740" s="16" t="s">
        <v>8933</v>
      </c>
      <c r="R740" s="17" t="s">
        <v>8934</v>
      </c>
      <c r="S740" s="17" t="s">
        <v>8935</v>
      </c>
      <c r="T740" s="17" t="s">
        <v>35</v>
      </c>
      <c r="U740" s="17" t="s">
        <v>35</v>
      </c>
      <c r="V740" s="17" t="s">
        <v>35</v>
      </c>
      <c r="W740" s="17" t="s">
        <v>35</v>
      </c>
      <c r="X740" s="17" t="s">
        <v>35</v>
      </c>
      <c r="Y740" s="17" t="s">
        <v>35</v>
      </c>
      <c r="Z740" s="17" t="s">
        <v>8936</v>
      </c>
      <c r="AA740" s="17" t="s">
        <v>35</v>
      </c>
      <c r="AB740" s="17" t="s">
        <v>8937</v>
      </c>
      <c r="AC740" s="17" t="s">
        <v>9539</v>
      </c>
      <c r="AD740" s="42">
        <v>108.39</v>
      </c>
      <c r="AE740" s="42">
        <v>114.03</v>
      </c>
      <c r="AF740" s="48"/>
      <c r="AG740" s="44"/>
      <c r="AH740" s="7">
        <f t="shared" si="11"/>
        <v>0</v>
      </c>
      <c r="AI740" s="18"/>
      <c r="AJ740" s="18"/>
    </row>
    <row r="741" spans="1:38" ht="26.65" customHeight="1" x14ac:dyDescent="0.25">
      <c r="A741" s="10" t="s">
        <v>9684</v>
      </c>
      <c r="B741" s="9" t="s">
        <v>3030</v>
      </c>
      <c r="C741" s="9" t="s">
        <v>34</v>
      </c>
      <c r="D741" s="9" t="s">
        <v>3207</v>
      </c>
      <c r="E741" s="9" t="s">
        <v>35</v>
      </c>
      <c r="F741" s="9" t="s">
        <v>36</v>
      </c>
      <c r="G741" s="9">
        <v>1</v>
      </c>
      <c r="H741" s="9">
        <v>84219999</v>
      </c>
      <c r="I741" s="11" t="s">
        <v>37</v>
      </c>
      <c r="J741" s="12">
        <v>1.6500000000000001E-2</v>
      </c>
      <c r="K741" s="12">
        <v>7.5999999999999998E-2</v>
      </c>
      <c r="L741" s="12">
        <v>5.1999999999999998E-2</v>
      </c>
      <c r="M741" s="13">
        <v>8003453103016</v>
      </c>
      <c r="N741" s="14">
        <v>1.6</v>
      </c>
      <c r="O741" s="14">
        <v>1.792</v>
      </c>
      <c r="P741" s="15">
        <v>45474</v>
      </c>
      <c r="Q741" s="16" t="s">
        <v>9685</v>
      </c>
      <c r="R741" s="17" t="s">
        <v>9686</v>
      </c>
      <c r="S741" s="17" t="s">
        <v>9687</v>
      </c>
      <c r="T741" s="17" t="s">
        <v>35</v>
      </c>
      <c r="U741" s="17" t="s">
        <v>35</v>
      </c>
      <c r="V741" s="17" t="s">
        <v>35</v>
      </c>
      <c r="W741" s="17" t="s">
        <v>35</v>
      </c>
      <c r="X741" s="17" t="s">
        <v>9688</v>
      </c>
      <c r="Y741" s="17" t="s">
        <v>35</v>
      </c>
      <c r="Z741" s="17" t="s">
        <v>9689</v>
      </c>
      <c r="AA741" s="17" t="s">
        <v>35</v>
      </c>
      <c r="AB741" s="17" t="s">
        <v>9690</v>
      </c>
      <c r="AC741" s="17" t="s">
        <v>9539</v>
      </c>
      <c r="AD741" s="42">
        <v>78.97</v>
      </c>
      <c r="AE741" s="42">
        <v>83.08</v>
      </c>
      <c r="AF741" s="48"/>
      <c r="AG741" s="44"/>
      <c r="AH741" s="7">
        <f t="shared" si="11"/>
        <v>0</v>
      </c>
      <c r="AI741" s="18"/>
      <c r="AJ741" s="18"/>
    </row>
    <row r="742" spans="1:38" ht="26.65" customHeight="1" x14ac:dyDescent="0.25">
      <c r="A742" s="10" t="s">
        <v>4620</v>
      </c>
      <c r="B742" s="9" t="s">
        <v>3030</v>
      </c>
      <c r="C742" s="9" t="s">
        <v>34</v>
      </c>
      <c r="D742" s="9" t="s">
        <v>3207</v>
      </c>
      <c r="E742" s="9" t="s">
        <v>35</v>
      </c>
      <c r="F742" s="9" t="s">
        <v>36</v>
      </c>
      <c r="G742" s="9">
        <v>1</v>
      </c>
      <c r="H742" s="9">
        <v>84219999</v>
      </c>
      <c r="I742" s="11" t="s">
        <v>37</v>
      </c>
      <c r="J742" s="12">
        <v>1.6500000000000001E-2</v>
      </c>
      <c r="K742" s="12">
        <v>7.5999999999999998E-2</v>
      </c>
      <c r="L742" s="12">
        <v>5.1999999999999998E-2</v>
      </c>
      <c r="M742" s="13">
        <v>8003453103030</v>
      </c>
      <c r="N742" s="14">
        <v>3.2</v>
      </c>
      <c r="O742" s="14">
        <v>3.71</v>
      </c>
      <c r="P742" s="15">
        <v>44868</v>
      </c>
      <c r="Q742" s="16" t="s">
        <v>4621</v>
      </c>
      <c r="R742" s="17" t="s">
        <v>4622</v>
      </c>
      <c r="S742" s="17" t="s">
        <v>4623</v>
      </c>
      <c r="T742" s="17" t="s">
        <v>4624</v>
      </c>
      <c r="U742" s="17" t="s">
        <v>35</v>
      </c>
      <c r="V742" s="17" t="s">
        <v>35</v>
      </c>
      <c r="W742" s="17" t="s">
        <v>35</v>
      </c>
      <c r="X742" s="17" t="s">
        <v>35</v>
      </c>
      <c r="Y742" s="17" t="s">
        <v>35</v>
      </c>
      <c r="Z742" s="17" t="s">
        <v>4625</v>
      </c>
      <c r="AA742" s="17" t="s">
        <v>35</v>
      </c>
      <c r="AB742" s="17" t="s">
        <v>4626</v>
      </c>
      <c r="AC742" s="17" t="s">
        <v>9539</v>
      </c>
      <c r="AD742" s="42">
        <v>213.89</v>
      </c>
      <c r="AE742" s="42">
        <v>225.01</v>
      </c>
      <c r="AF742" s="48"/>
      <c r="AG742" s="44"/>
      <c r="AH742" s="7">
        <f t="shared" si="11"/>
        <v>0</v>
      </c>
      <c r="AI742" s="18"/>
      <c r="AJ742" s="18"/>
    </row>
    <row r="743" spans="1:38" ht="26.65" customHeight="1" x14ac:dyDescent="0.25">
      <c r="A743" s="10" t="s">
        <v>10333</v>
      </c>
      <c r="B743" s="9" t="s">
        <v>3030</v>
      </c>
      <c r="C743" s="9" t="s">
        <v>34</v>
      </c>
      <c r="D743" s="9" t="s">
        <v>3031</v>
      </c>
      <c r="E743" s="9" t="s">
        <v>35</v>
      </c>
      <c r="F743" s="9" t="s">
        <v>36</v>
      </c>
      <c r="G743" s="9">
        <v>5</v>
      </c>
      <c r="H743" s="9">
        <v>84219999</v>
      </c>
      <c r="I743" s="11" t="s">
        <v>37</v>
      </c>
      <c r="J743" s="12">
        <v>1.6500000000000001E-2</v>
      </c>
      <c r="K743" s="12">
        <v>7.5999999999999998E-2</v>
      </c>
      <c r="L743" s="12">
        <v>5.1999999999999998E-2</v>
      </c>
      <c r="M743" s="13">
        <v>8003453809659</v>
      </c>
      <c r="N743" s="14">
        <v>0</v>
      </c>
      <c r="O743" s="14">
        <v>0</v>
      </c>
      <c r="P743" s="15">
        <v>45566</v>
      </c>
      <c r="Q743" s="16" t="s">
        <v>4621</v>
      </c>
      <c r="R743" s="17" t="s">
        <v>35</v>
      </c>
      <c r="S743" s="17" t="s">
        <v>4623</v>
      </c>
      <c r="T743" s="17" t="s">
        <v>4624</v>
      </c>
      <c r="U743" s="17" t="s">
        <v>35</v>
      </c>
      <c r="V743" s="17" t="s">
        <v>35</v>
      </c>
      <c r="W743" s="17" t="s">
        <v>35</v>
      </c>
      <c r="X743" s="17" t="s">
        <v>35</v>
      </c>
      <c r="Y743" s="17" t="s">
        <v>10334</v>
      </c>
      <c r="Z743" s="17" t="s">
        <v>4625</v>
      </c>
      <c r="AA743" s="17" t="s">
        <v>35</v>
      </c>
      <c r="AB743" s="17" t="s">
        <v>4626</v>
      </c>
      <c r="AC743" s="17" t="s">
        <v>9539</v>
      </c>
      <c r="AD743" s="41">
        <v>198.04</v>
      </c>
      <c r="AE743" s="41">
        <v>208.34</v>
      </c>
      <c r="AF743" s="48"/>
      <c r="AG743" s="44"/>
      <c r="AH743" s="7">
        <f t="shared" si="11"/>
        <v>0</v>
      </c>
      <c r="AI743" s="18"/>
      <c r="AJ743" s="18"/>
    </row>
    <row r="744" spans="1:38" ht="26.65" customHeight="1" x14ac:dyDescent="0.25">
      <c r="A744" s="10" t="s">
        <v>4627</v>
      </c>
      <c r="B744" s="9" t="s">
        <v>3086</v>
      </c>
      <c r="C744" s="9" t="s">
        <v>34</v>
      </c>
      <c r="D744" s="9" t="s">
        <v>3064</v>
      </c>
      <c r="E744" s="9" t="s">
        <v>35</v>
      </c>
      <c r="F744" s="9" t="s">
        <v>36</v>
      </c>
      <c r="G744" s="9">
        <v>1</v>
      </c>
      <c r="H744" s="9">
        <v>84219999</v>
      </c>
      <c r="I744" s="11" t="s">
        <v>37</v>
      </c>
      <c r="J744" s="12">
        <v>1.6500000000000001E-2</v>
      </c>
      <c r="K744" s="12">
        <v>7.5999999999999998E-2</v>
      </c>
      <c r="L744" s="12">
        <v>5.1999999999999998E-2</v>
      </c>
      <c r="M744" s="13">
        <v>8003453103047</v>
      </c>
      <c r="N744" s="14">
        <v>0.9</v>
      </c>
      <c r="O744" s="14">
        <v>1.2190000000000001</v>
      </c>
      <c r="P744" s="15">
        <v>45017</v>
      </c>
      <c r="Q744" s="16" t="s">
        <v>4628</v>
      </c>
      <c r="R744" s="17" t="s">
        <v>4629</v>
      </c>
      <c r="S744" s="17" t="s">
        <v>35</v>
      </c>
      <c r="T744" s="17" t="s">
        <v>35</v>
      </c>
      <c r="U744" s="17" t="s">
        <v>35</v>
      </c>
      <c r="V744" s="17" t="s">
        <v>35</v>
      </c>
      <c r="W744" s="17" t="s">
        <v>35</v>
      </c>
      <c r="X744" s="17" t="s">
        <v>4630</v>
      </c>
      <c r="Y744" s="17" t="s">
        <v>35</v>
      </c>
      <c r="Z744" s="17" t="s">
        <v>4631</v>
      </c>
      <c r="AA744" s="17" t="s">
        <v>35</v>
      </c>
      <c r="AB744" s="17" t="s">
        <v>4632</v>
      </c>
      <c r="AC744" s="17" t="s">
        <v>9539</v>
      </c>
      <c r="AD744" s="41">
        <v>82.75</v>
      </c>
      <c r="AE744" s="41">
        <v>87.05</v>
      </c>
      <c r="AF744" s="48"/>
      <c r="AG744" s="44"/>
      <c r="AH744" s="7">
        <f t="shared" si="11"/>
        <v>0</v>
      </c>
      <c r="AI744" s="18"/>
      <c r="AJ744" s="18"/>
      <c r="AL744" s="18"/>
    </row>
    <row r="745" spans="1:38" ht="26.65" customHeight="1" x14ac:dyDescent="0.25">
      <c r="A745" s="10" t="s">
        <v>10335</v>
      </c>
      <c r="B745" s="9" t="s">
        <v>3030</v>
      </c>
      <c r="C745" s="9" t="s">
        <v>34</v>
      </c>
      <c r="D745" s="9" t="s">
        <v>3031</v>
      </c>
      <c r="E745" s="9" t="s">
        <v>35</v>
      </c>
      <c r="F745" s="9" t="s">
        <v>36</v>
      </c>
      <c r="G745" s="9">
        <v>5</v>
      </c>
      <c r="H745" s="9">
        <v>84219999</v>
      </c>
      <c r="I745" s="11" t="s">
        <v>37</v>
      </c>
      <c r="J745" s="12">
        <v>1.6500000000000001E-2</v>
      </c>
      <c r="K745" s="12">
        <v>7.5999999999999998E-2</v>
      </c>
      <c r="L745" s="12">
        <v>5.1999999999999998E-2</v>
      </c>
      <c r="M745" s="13">
        <v>8003453809666</v>
      </c>
      <c r="N745" s="14">
        <v>0</v>
      </c>
      <c r="O745" s="14">
        <v>0</v>
      </c>
      <c r="P745" s="15">
        <v>45566</v>
      </c>
      <c r="Q745" s="16" t="s">
        <v>4628</v>
      </c>
      <c r="R745" s="17" t="s">
        <v>35</v>
      </c>
      <c r="S745" s="17" t="s">
        <v>10336</v>
      </c>
      <c r="T745" s="17" t="s">
        <v>35</v>
      </c>
      <c r="U745" s="17" t="s">
        <v>35</v>
      </c>
      <c r="V745" s="17" t="s">
        <v>35</v>
      </c>
      <c r="W745" s="17" t="s">
        <v>35</v>
      </c>
      <c r="X745" s="17" t="s">
        <v>4630</v>
      </c>
      <c r="Y745" s="17" t="s">
        <v>35</v>
      </c>
      <c r="Z745" s="17" t="s">
        <v>4631</v>
      </c>
      <c r="AA745" s="17" t="s">
        <v>35</v>
      </c>
      <c r="AB745" s="17" t="s">
        <v>4632</v>
      </c>
      <c r="AC745" s="17" t="s">
        <v>9539</v>
      </c>
      <c r="AD745" s="41">
        <v>82.75</v>
      </c>
      <c r="AE745" s="41">
        <v>87.05</v>
      </c>
      <c r="AF745" s="48"/>
      <c r="AG745" s="44"/>
      <c r="AH745" s="7">
        <f t="shared" si="11"/>
        <v>0</v>
      </c>
      <c r="AI745" s="18"/>
      <c r="AJ745" s="18"/>
    </row>
    <row r="746" spans="1:38" ht="26.65" customHeight="1" x14ac:dyDescent="0.25">
      <c r="A746" s="10" t="s">
        <v>4633</v>
      </c>
      <c r="B746" s="9" t="s">
        <v>3063</v>
      </c>
      <c r="C746" s="9" t="s">
        <v>34</v>
      </c>
      <c r="D746" s="9" t="s">
        <v>3064</v>
      </c>
      <c r="E746" s="9" t="s">
        <v>35</v>
      </c>
      <c r="F746" s="9" t="s">
        <v>36</v>
      </c>
      <c r="G746" s="9">
        <v>1</v>
      </c>
      <c r="H746" s="9">
        <v>84219999</v>
      </c>
      <c r="I746" s="11" t="s">
        <v>37</v>
      </c>
      <c r="J746" s="12">
        <v>1.6500000000000001E-2</v>
      </c>
      <c r="K746" s="12">
        <v>7.5999999999999998E-2</v>
      </c>
      <c r="L746" s="12">
        <v>5.1999999999999998E-2</v>
      </c>
      <c r="M746" s="13">
        <v>8003453103092</v>
      </c>
      <c r="N746" s="14">
        <v>0.65</v>
      </c>
      <c r="O746" s="14">
        <v>0.77400000000000002</v>
      </c>
      <c r="P746" s="15" t="s">
        <v>35</v>
      </c>
      <c r="Q746" s="16" t="s">
        <v>4634</v>
      </c>
      <c r="R746" s="17" t="s">
        <v>4635</v>
      </c>
      <c r="S746" s="17" t="s">
        <v>4636</v>
      </c>
      <c r="T746" s="17" t="s">
        <v>4637</v>
      </c>
      <c r="U746" s="17" t="s">
        <v>35</v>
      </c>
      <c r="V746" s="17" t="s">
        <v>35</v>
      </c>
      <c r="W746" s="17" t="s">
        <v>35</v>
      </c>
      <c r="X746" s="17" t="s">
        <v>35</v>
      </c>
      <c r="Y746" s="17" t="s">
        <v>4638</v>
      </c>
      <c r="Z746" s="17" t="s">
        <v>4639</v>
      </c>
      <c r="AA746" s="17" t="s">
        <v>35</v>
      </c>
      <c r="AB746" s="17" t="s">
        <v>4640</v>
      </c>
      <c r="AC746" s="17" t="s">
        <v>9539</v>
      </c>
      <c r="AD746" s="41">
        <v>42.78</v>
      </c>
      <c r="AE746" s="41">
        <v>45</v>
      </c>
      <c r="AF746" s="48"/>
      <c r="AG746" s="44"/>
      <c r="AH746" s="7">
        <f t="shared" si="11"/>
        <v>0</v>
      </c>
      <c r="AI746" s="18"/>
      <c r="AJ746" s="18"/>
      <c r="AL746" s="18"/>
    </row>
    <row r="747" spans="1:38" ht="26.65" customHeight="1" x14ac:dyDescent="0.25">
      <c r="A747" s="10" t="s">
        <v>4635</v>
      </c>
      <c r="B747" s="9" t="s">
        <v>3030</v>
      </c>
      <c r="C747" s="9" t="s">
        <v>34</v>
      </c>
      <c r="D747" s="9" t="s">
        <v>3031</v>
      </c>
      <c r="E747" s="9" t="s">
        <v>35</v>
      </c>
      <c r="F747" s="9" t="s">
        <v>36</v>
      </c>
      <c r="G747" s="9">
        <v>1</v>
      </c>
      <c r="H747" s="9">
        <v>84219999</v>
      </c>
      <c r="I747" s="11" t="s">
        <v>37</v>
      </c>
      <c r="J747" s="12">
        <v>1.6500000000000001E-2</v>
      </c>
      <c r="K747" s="12">
        <v>7.5999999999999998E-2</v>
      </c>
      <c r="L747" s="12">
        <v>5.1999999999999998E-2</v>
      </c>
      <c r="M747" s="13">
        <v>8003453103108</v>
      </c>
      <c r="N747" s="14">
        <v>1.9219999999999999</v>
      </c>
      <c r="O747" s="14">
        <v>2.177</v>
      </c>
      <c r="P747" s="15" t="s">
        <v>35</v>
      </c>
      <c r="Q747" s="16" t="s">
        <v>4641</v>
      </c>
      <c r="R747" s="17" t="s">
        <v>4633</v>
      </c>
      <c r="S747" s="17" t="s">
        <v>4642</v>
      </c>
      <c r="T747" s="17" t="s">
        <v>4643</v>
      </c>
      <c r="U747" s="17" t="s">
        <v>35</v>
      </c>
      <c r="V747" s="17" t="s">
        <v>4644</v>
      </c>
      <c r="W747" s="17" t="s">
        <v>4645</v>
      </c>
      <c r="X747" s="17" t="s">
        <v>4646</v>
      </c>
      <c r="Y747" s="17" t="s">
        <v>4647</v>
      </c>
      <c r="Z747" s="17" t="s">
        <v>4648</v>
      </c>
      <c r="AA747" s="17" t="s">
        <v>35</v>
      </c>
      <c r="AB747" s="17" t="s">
        <v>4649</v>
      </c>
      <c r="AC747" s="17" t="s">
        <v>9539</v>
      </c>
      <c r="AD747" s="42">
        <v>74.760000000000005</v>
      </c>
      <c r="AE747" s="42">
        <v>78.650000000000006</v>
      </c>
      <c r="AF747" s="48"/>
      <c r="AG747" s="44"/>
      <c r="AH747" s="7">
        <f t="shared" si="11"/>
        <v>0</v>
      </c>
      <c r="AI747" s="18"/>
      <c r="AJ747" s="18"/>
    </row>
    <row r="748" spans="1:38" ht="26.65" customHeight="1" x14ac:dyDescent="0.25">
      <c r="A748" s="10" t="s">
        <v>4650</v>
      </c>
      <c r="B748" s="9" t="s">
        <v>3030</v>
      </c>
      <c r="C748" s="9" t="s">
        <v>34</v>
      </c>
      <c r="D748" s="9" t="s">
        <v>3031</v>
      </c>
      <c r="E748" s="9" t="s">
        <v>35</v>
      </c>
      <c r="F748" s="9" t="s">
        <v>36</v>
      </c>
      <c r="G748" s="9">
        <v>1</v>
      </c>
      <c r="H748" s="9">
        <v>84219999</v>
      </c>
      <c r="I748" s="11" t="s">
        <v>37</v>
      </c>
      <c r="J748" s="12">
        <v>1.6500000000000001E-2</v>
      </c>
      <c r="K748" s="12">
        <v>7.5999999999999998E-2</v>
      </c>
      <c r="L748" s="12">
        <v>5.1999999999999998E-2</v>
      </c>
      <c r="M748" s="13">
        <v>8003453103115</v>
      </c>
      <c r="N748" s="14">
        <v>1.4</v>
      </c>
      <c r="O748" s="14">
        <v>1.6619999999999999</v>
      </c>
      <c r="P748" s="15" t="s">
        <v>35</v>
      </c>
      <c r="Q748" s="16" t="s">
        <v>4651</v>
      </c>
      <c r="R748" s="17" t="s">
        <v>35</v>
      </c>
      <c r="S748" s="17" t="s">
        <v>4652</v>
      </c>
      <c r="T748" s="17" t="s">
        <v>35</v>
      </c>
      <c r="U748" s="17" t="s">
        <v>35</v>
      </c>
      <c r="V748" s="17" t="s">
        <v>35</v>
      </c>
      <c r="W748" s="17" t="s">
        <v>35</v>
      </c>
      <c r="X748" s="17" t="s">
        <v>4653</v>
      </c>
      <c r="Y748" s="17" t="s">
        <v>35</v>
      </c>
      <c r="Z748" s="17" t="s">
        <v>4654</v>
      </c>
      <c r="AA748" s="17" t="s">
        <v>35</v>
      </c>
      <c r="AB748" s="17" t="s">
        <v>4655</v>
      </c>
      <c r="AC748" s="17" t="s">
        <v>9539</v>
      </c>
      <c r="AD748" s="41">
        <v>93.27</v>
      </c>
      <c r="AE748" s="41">
        <v>98.12</v>
      </c>
      <c r="AF748" s="48"/>
      <c r="AG748" s="44"/>
      <c r="AH748" s="7">
        <f t="shared" si="11"/>
        <v>0</v>
      </c>
      <c r="AI748" s="18"/>
      <c r="AJ748" s="18"/>
      <c r="AL748" s="18"/>
    </row>
    <row r="749" spans="1:38" ht="26.65" customHeight="1" x14ac:dyDescent="0.25">
      <c r="A749" s="10" t="s">
        <v>4656</v>
      </c>
      <c r="B749" s="9" t="s">
        <v>3063</v>
      </c>
      <c r="C749" s="9" t="s">
        <v>34</v>
      </c>
      <c r="D749" s="9" t="s">
        <v>3031</v>
      </c>
      <c r="E749" s="9" t="s">
        <v>35</v>
      </c>
      <c r="F749" s="9" t="s">
        <v>36</v>
      </c>
      <c r="G749" s="9">
        <v>1</v>
      </c>
      <c r="H749" s="9">
        <v>84219999</v>
      </c>
      <c r="I749" s="11" t="s">
        <v>37</v>
      </c>
      <c r="J749" s="12">
        <v>1.6500000000000001E-2</v>
      </c>
      <c r="K749" s="12">
        <v>7.5999999999999998E-2</v>
      </c>
      <c r="L749" s="12">
        <v>5.1999999999999998E-2</v>
      </c>
      <c r="M749" s="13">
        <v>8003453103122</v>
      </c>
      <c r="N749" s="14">
        <v>1.2</v>
      </c>
      <c r="O749" s="14">
        <v>1.42</v>
      </c>
      <c r="P749" s="15" t="s">
        <v>35</v>
      </c>
      <c r="Q749" s="16" t="s">
        <v>4657</v>
      </c>
      <c r="R749" s="17" t="s">
        <v>35</v>
      </c>
      <c r="S749" s="17" t="s">
        <v>4658</v>
      </c>
      <c r="T749" s="17" t="s">
        <v>4659</v>
      </c>
      <c r="U749" s="17" t="s">
        <v>35</v>
      </c>
      <c r="V749" s="17" t="s">
        <v>4660</v>
      </c>
      <c r="W749" s="17" t="s">
        <v>35</v>
      </c>
      <c r="X749" s="17" t="s">
        <v>35</v>
      </c>
      <c r="Y749" s="17" t="s">
        <v>35</v>
      </c>
      <c r="Z749" s="17" t="s">
        <v>4661</v>
      </c>
      <c r="AA749" s="17" t="s">
        <v>35</v>
      </c>
      <c r="AB749" s="17" t="s">
        <v>4662</v>
      </c>
      <c r="AC749" s="17" t="s">
        <v>9539</v>
      </c>
      <c r="AD749" s="42">
        <v>70.819999999999993</v>
      </c>
      <c r="AE749" s="42">
        <v>74.5</v>
      </c>
      <c r="AF749" s="48"/>
      <c r="AG749" s="44"/>
      <c r="AH749" s="7">
        <f t="shared" si="11"/>
        <v>0</v>
      </c>
      <c r="AI749" s="18"/>
      <c r="AJ749" s="18"/>
    </row>
    <row r="750" spans="1:38" ht="26.65" customHeight="1" x14ac:dyDescent="0.25">
      <c r="A750" s="10" t="s">
        <v>9691</v>
      </c>
      <c r="B750" s="9" t="s">
        <v>3030</v>
      </c>
      <c r="C750" s="9" t="s">
        <v>34</v>
      </c>
      <c r="D750" s="9" t="s">
        <v>3064</v>
      </c>
      <c r="E750" s="9" t="s">
        <v>35</v>
      </c>
      <c r="F750" s="9" t="s">
        <v>36</v>
      </c>
      <c r="G750" s="9">
        <v>1</v>
      </c>
      <c r="H750" s="9">
        <v>84219999</v>
      </c>
      <c r="I750" s="11" t="s">
        <v>37</v>
      </c>
      <c r="J750" s="12">
        <v>1.6500000000000001E-2</v>
      </c>
      <c r="K750" s="12">
        <v>7.5999999999999998E-2</v>
      </c>
      <c r="L750" s="12">
        <v>5.1999999999999998E-2</v>
      </c>
      <c r="M750" s="13">
        <v>8003453103139</v>
      </c>
      <c r="N750" s="14">
        <v>0.502</v>
      </c>
      <c r="O750" s="14">
        <v>0.60499999999999998</v>
      </c>
      <c r="P750" s="15">
        <v>45474</v>
      </c>
      <c r="Q750" s="16" t="s">
        <v>9685</v>
      </c>
      <c r="R750" s="17" t="s">
        <v>9692</v>
      </c>
      <c r="S750" s="17" t="s">
        <v>9693</v>
      </c>
      <c r="T750" s="17" t="s">
        <v>35</v>
      </c>
      <c r="U750" s="17" t="s">
        <v>35</v>
      </c>
      <c r="V750" s="17" t="s">
        <v>35</v>
      </c>
      <c r="W750" s="17" t="s">
        <v>35</v>
      </c>
      <c r="X750" s="17" t="s">
        <v>9694</v>
      </c>
      <c r="Y750" s="17" t="s">
        <v>35</v>
      </c>
      <c r="Z750" s="17" t="s">
        <v>9695</v>
      </c>
      <c r="AA750" s="17" t="s">
        <v>35</v>
      </c>
      <c r="AB750" s="17" t="s">
        <v>9696</v>
      </c>
      <c r="AC750" s="17" t="s">
        <v>9539</v>
      </c>
      <c r="AD750" s="42">
        <v>76.12</v>
      </c>
      <c r="AE750" s="42">
        <v>80.08</v>
      </c>
      <c r="AF750" s="48"/>
      <c r="AG750" s="44"/>
      <c r="AH750" s="7">
        <f t="shared" si="11"/>
        <v>0</v>
      </c>
      <c r="AI750" s="18"/>
      <c r="AJ750" s="18"/>
    </row>
    <row r="751" spans="1:38" ht="26.65" customHeight="1" x14ac:dyDescent="0.25">
      <c r="A751" s="10" t="s">
        <v>4663</v>
      </c>
      <c r="B751" s="9" t="s">
        <v>3206</v>
      </c>
      <c r="C751" s="9" t="s">
        <v>34</v>
      </c>
      <c r="D751" s="9" t="s">
        <v>3207</v>
      </c>
      <c r="E751" s="9" t="s">
        <v>122</v>
      </c>
      <c r="F751" s="9" t="s">
        <v>36</v>
      </c>
      <c r="G751" s="9">
        <v>1</v>
      </c>
      <c r="H751" s="9">
        <v>84219999</v>
      </c>
      <c r="I751" s="11" t="s">
        <v>37</v>
      </c>
      <c r="J751" s="12">
        <v>1.6500000000000001E-2</v>
      </c>
      <c r="K751" s="12">
        <v>7.5999999999999998E-2</v>
      </c>
      <c r="L751" s="12">
        <v>5.1999999999999998E-2</v>
      </c>
      <c r="M751" s="13">
        <v>8003453103146</v>
      </c>
      <c r="N751" s="14">
        <v>1.2</v>
      </c>
      <c r="O751" s="14">
        <v>1.341</v>
      </c>
      <c r="P751" s="15">
        <v>45108</v>
      </c>
      <c r="Q751" s="16" t="s">
        <v>4664</v>
      </c>
      <c r="R751" s="17" t="s">
        <v>35</v>
      </c>
      <c r="S751" s="17" t="s">
        <v>4665</v>
      </c>
      <c r="T751" s="17" t="s">
        <v>35</v>
      </c>
      <c r="U751" s="17" t="s">
        <v>4666</v>
      </c>
      <c r="V751" s="17" t="s">
        <v>4667</v>
      </c>
      <c r="W751" s="17" t="s">
        <v>4668</v>
      </c>
      <c r="X751" s="17" t="s">
        <v>35</v>
      </c>
      <c r="Y751" s="17" t="s">
        <v>4669</v>
      </c>
      <c r="Z751" s="17" t="s">
        <v>4670</v>
      </c>
      <c r="AA751" s="17" t="s">
        <v>35</v>
      </c>
      <c r="AB751" s="17" t="s">
        <v>4671</v>
      </c>
      <c r="AC751" s="17" t="s">
        <v>9539</v>
      </c>
      <c r="AD751" s="42">
        <v>57.2</v>
      </c>
      <c r="AE751" s="42">
        <v>60.17</v>
      </c>
      <c r="AF751" s="48"/>
      <c r="AG751" s="44"/>
      <c r="AH751" s="7">
        <f t="shared" si="11"/>
        <v>0</v>
      </c>
      <c r="AI751" s="18"/>
      <c r="AJ751" s="18"/>
    </row>
    <row r="752" spans="1:38" ht="26.65" customHeight="1" x14ac:dyDescent="0.25">
      <c r="A752" s="10" t="s">
        <v>4672</v>
      </c>
      <c r="B752" s="9" t="s">
        <v>3030</v>
      </c>
      <c r="C752" s="9" t="s">
        <v>43</v>
      </c>
      <c r="D752" s="9" t="s">
        <v>3031</v>
      </c>
      <c r="E752" s="9" t="s">
        <v>35</v>
      </c>
      <c r="F752" s="9" t="s">
        <v>36</v>
      </c>
      <c r="G752" s="9">
        <v>1</v>
      </c>
      <c r="H752" s="9">
        <v>84219999</v>
      </c>
      <c r="I752" s="11" t="s">
        <v>37</v>
      </c>
      <c r="J752" s="12">
        <v>1.6500000000000001E-2</v>
      </c>
      <c r="K752" s="12">
        <v>7.5999999999999998E-2</v>
      </c>
      <c r="L752" s="12">
        <v>5.1999999999999998E-2</v>
      </c>
      <c r="M752" s="13">
        <v>8003453103306</v>
      </c>
      <c r="N752" s="14">
        <v>0.33</v>
      </c>
      <c r="O752" s="14">
        <v>0.44</v>
      </c>
      <c r="P752" s="15" t="s">
        <v>35</v>
      </c>
      <c r="Q752" s="16" t="s">
        <v>4673</v>
      </c>
      <c r="R752" s="17" t="s">
        <v>35</v>
      </c>
      <c r="S752" s="17" t="s">
        <v>4674</v>
      </c>
      <c r="T752" s="17" t="s">
        <v>4675</v>
      </c>
      <c r="U752" s="17" t="s">
        <v>4676</v>
      </c>
      <c r="V752" s="17" t="s">
        <v>35</v>
      </c>
      <c r="W752" s="17" t="s">
        <v>35</v>
      </c>
      <c r="X752" s="17" t="s">
        <v>4677</v>
      </c>
      <c r="Y752" s="17" t="s">
        <v>4678</v>
      </c>
      <c r="Z752" s="17" t="s">
        <v>35</v>
      </c>
      <c r="AA752" s="17" t="s">
        <v>35</v>
      </c>
      <c r="AB752" s="17" t="s">
        <v>35</v>
      </c>
      <c r="AC752" s="17" t="s">
        <v>9539</v>
      </c>
      <c r="AD752" s="42">
        <v>45.1</v>
      </c>
      <c r="AE752" s="42">
        <v>47.45</v>
      </c>
      <c r="AF752" s="48"/>
      <c r="AG752" s="44"/>
      <c r="AH752" s="7">
        <f t="shared" si="11"/>
        <v>0</v>
      </c>
      <c r="AI752" s="18"/>
      <c r="AJ752" s="18"/>
    </row>
    <row r="753" spans="1:38" ht="26.65" customHeight="1" x14ac:dyDescent="0.25">
      <c r="A753" s="10" t="s">
        <v>10337</v>
      </c>
      <c r="B753" s="9" t="s">
        <v>3030</v>
      </c>
      <c r="C753" s="9" t="s">
        <v>34</v>
      </c>
      <c r="D753" s="9" t="s">
        <v>3031</v>
      </c>
      <c r="E753" s="9" t="s">
        <v>35</v>
      </c>
      <c r="F753" s="9" t="s">
        <v>36</v>
      </c>
      <c r="G753" s="9">
        <v>5</v>
      </c>
      <c r="H753" s="9">
        <v>84219999</v>
      </c>
      <c r="I753" s="11" t="s">
        <v>37</v>
      </c>
      <c r="J753" s="12">
        <v>1.6500000000000001E-2</v>
      </c>
      <c r="K753" s="12">
        <v>7.5999999999999998E-2</v>
      </c>
      <c r="L753" s="12">
        <v>5.1999999999999998E-2</v>
      </c>
      <c r="M753" s="13">
        <v>8003453103375</v>
      </c>
      <c r="N753" s="14">
        <v>0</v>
      </c>
      <c r="O753" s="14">
        <v>0</v>
      </c>
      <c r="P753" s="15">
        <v>45566</v>
      </c>
      <c r="Q753" s="16" t="s">
        <v>10338</v>
      </c>
      <c r="R753" s="17" t="s">
        <v>35</v>
      </c>
      <c r="S753" s="17" t="s">
        <v>10339</v>
      </c>
      <c r="T753" s="17" t="s">
        <v>10340</v>
      </c>
      <c r="U753" s="17" t="s">
        <v>35</v>
      </c>
      <c r="V753" s="17" t="s">
        <v>35</v>
      </c>
      <c r="W753" s="17" t="s">
        <v>35</v>
      </c>
      <c r="X753" s="17" t="s">
        <v>35</v>
      </c>
      <c r="Y753" s="17" t="s">
        <v>35</v>
      </c>
      <c r="Z753" s="17" t="s">
        <v>10341</v>
      </c>
      <c r="AA753" s="17" t="s">
        <v>35</v>
      </c>
      <c r="AB753" s="17" t="s">
        <v>3488</v>
      </c>
      <c r="AC753" s="17" t="s">
        <v>9539</v>
      </c>
      <c r="AD753" s="41">
        <v>214.81</v>
      </c>
      <c r="AE753" s="41">
        <v>225.98</v>
      </c>
      <c r="AF753" s="48"/>
      <c r="AG753" s="44"/>
      <c r="AH753" s="7">
        <f t="shared" si="11"/>
        <v>0</v>
      </c>
      <c r="AI753" s="18"/>
      <c r="AJ753" s="18"/>
    </row>
    <row r="754" spans="1:38" ht="26.65" customHeight="1" x14ac:dyDescent="0.25">
      <c r="A754" s="38" t="s">
        <v>4679</v>
      </c>
      <c r="B754" s="9" t="s">
        <v>8666</v>
      </c>
      <c r="C754" s="9" t="s">
        <v>58</v>
      </c>
      <c r="D754" s="9" t="s">
        <v>5121</v>
      </c>
      <c r="E754" s="9" t="s">
        <v>35</v>
      </c>
      <c r="F754" s="9" t="s">
        <v>36</v>
      </c>
      <c r="G754" s="9">
        <v>4</v>
      </c>
      <c r="H754" s="9">
        <v>84213990</v>
      </c>
      <c r="I754" s="11" t="s">
        <v>37</v>
      </c>
      <c r="J754" s="12">
        <v>1.6500000000000001E-2</v>
      </c>
      <c r="K754" s="12">
        <v>7.5999999999999998E-2</v>
      </c>
      <c r="L754" s="12">
        <v>0</v>
      </c>
      <c r="M754" s="13">
        <v>8003453808096</v>
      </c>
      <c r="N754" s="14">
        <v>2.36</v>
      </c>
      <c r="O754" s="14">
        <v>2.4500000000000002</v>
      </c>
      <c r="P754" s="15">
        <v>45017</v>
      </c>
      <c r="Q754" s="16" t="s">
        <v>4680</v>
      </c>
      <c r="R754" s="17" t="s">
        <v>4681</v>
      </c>
      <c r="S754" s="17" t="s">
        <v>4682</v>
      </c>
      <c r="T754" s="17" t="s">
        <v>4683</v>
      </c>
      <c r="U754" s="17" t="s">
        <v>4684</v>
      </c>
      <c r="V754" s="17" t="s">
        <v>4685</v>
      </c>
      <c r="W754" s="17" t="s">
        <v>4686</v>
      </c>
      <c r="X754" s="17" t="s">
        <v>3420</v>
      </c>
      <c r="Y754" s="17" t="s">
        <v>4687</v>
      </c>
      <c r="Z754" s="17" t="s">
        <v>35</v>
      </c>
      <c r="AA754" s="17" t="s">
        <v>35</v>
      </c>
      <c r="AB754" s="17" t="s">
        <v>4688</v>
      </c>
      <c r="AC754" s="17" t="s">
        <v>9538</v>
      </c>
      <c r="AD754" s="41">
        <v>81.709999999999994</v>
      </c>
      <c r="AE754" s="41">
        <v>81.709999999999994</v>
      </c>
      <c r="AF754" s="48"/>
      <c r="AG754" s="44"/>
      <c r="AH754" s="7">
        <f t="shared" si="11"/>
        <v>0</v>
      </c>
      <c r="AI754" s="18"/>
      <c r="AJ754" s="18"/>
      <c r="AL754" s="18"/>
    </row>
    <row r="755" spans="1:38" ht="26.65" customHeight="1" x14ac:dyDescent="0.25">
      <c r="A755" s="10" t="s">
        <v>10342</v>
      </c>
      <c r="B755" s="9" t="s">
        <v>3030</v>
      </c>
      <c r="C755" s="9" t="s">
        <v>58</v>
      </c>
      <c r="D755" s="9" t="s">
        <v>3031</v>
      </c>
      <c r="E755" s="9" t="s">
        <v>35</v>
      </c>
      <c r="F755" s="9" t="s">
        <v>36</v>
      </c>
      <c r="G755" s="9">
        <v>5</v>
      </c>
      <c r="H755" s="9">
        <v>84219999</v>
      </c>
      <c r="I755" s="11" t="s">
        <v>37</v>
      </c>
      <c r="J755" s="12">
        <v>1.6500000000000001E-2</v>
      </c>
      <c r="K755" s="12">
        <v>7.5999999999999998E-2</v>
      </c>
      <c r="L755" s="12">
        <v>5.1999999999999998E-2</v>
      </c>
      <c r="M755" s="13">
        <v>8003453806887</v>
      </c>
      <c r="N755" s="14">
        <v>0</v>
      </c>
      <c r="O755" s="14">
        <v>0</v>
      </c>
      <c r="P755" s="15">
        <v>45566</v>
      </c>
      <c r="Q755" s="16" t="s">
        <v>10343</v>
      </c>
      <c r="R755" s="17" t="s">
        <v>35</v>
      </c>
      <c r="S755" s="17" t="s">
        <v>4682</v>
      </c>
      <c r="T755" s="17" t="s">
        <v>4683</v>
      </c>
      <c r="U755" s="17" t="s">
        <v>3297</v>
      </c>
      <c r="V755" s="17" t="s">
        <v>4685</v>
      </c>
      <c r="W755" s="17" t="s">
        <v>4686</v>
      </c>
      <c r="X755" s="17" t="s">
        <v>3420</v>
      </c>
      <c r="Y755" s="17" t="s">
        <v>4687</v>
      </c>
      <c r="Z755" s="17" t="s">
        <v>10344</v>
      </c>
      <c r="AA755" s="17" t="s">
        <v>10345</v>
      </c>
      <c r="AB755" s="17" t="s">
        <v>4688</v>
      </c>
      <c r="AC755" s="17" t="s">
        <v>9539</v>
      </c>
      <c r="AD755" s="41">
        <v>81.709999999999994</v>
      </c>
      <c r="AE755" s="41">
        <v>85.96</v>
      </c>
      <c r="AF755" s="48"/>
      <c r="AG755" s="44"/>
      <c r="AH755" s="7">
        <f t="shared" si="11"/>
        <v>0</v>
      </c>
      <c r="AI755" s="18"/>
      <c r="AJ755" s="18"/>
    </row>
    <row r="756" spans="1:38" ht="26.65" customHeight="1" x14ac:dyDescent="0.25">
      <c r="A756" s="38" t="s">
        <v>4689</v>
      </c>
      <c r="B756" s="9" t="s">
        <v>3030</v>
      </c>
      <c r="C756" s="9" t="s">
        <v>43</v>
      </c>
      <c r="D756" s="9" t="s">
        <v>3031</v>
      </c>
      <c r="E756" s="9" t="s">
        <v>35</v>
      </c>
      <c r="F756" s="9" t="s">
        <v>36</v>
      </c>
      <c r="G756" s="9">
        <v>5</v>
      </c>
      <c r="H756" s="9">
        <v>84219999</v>
      </c>
      <c r="I756" s="11" t="s">
        <v>37</v>
      </c>
      <c r="J756" s="12">
        <v>1.6500000000000001E-2</v>
      </c>
      <c r="K756" s="12">
        <v>7.5999999999999998E-2</v>
      </c>
      <c r="L756" s="12">
        <v>5.1999999999999998E-2</v>
      </c>
      <c r="M756" s="13">
        <v>8003453103399</v>
      </c>
      <c r="N756" s="14">
        <v>0.56899999999999995</v>
      </c>
      <c r="O756" s="14">
        <v>0.73699999999999999</v>
      </c>
      <c r="P756" s="15" t="s">
        <v>35</v>
      </c>
      <c r="Q756" s="16" t="s">
        <v>4690</v>
      </c>
      <c r="R756" s="17" t="s">
        <v>35</v>
      </c>
      <c r="S756" s="17" t="s">
        <v>4691</v>
      </c>
      <c r="T756" s="17" t="s">
        <v>4692</v>
      </c>
      <c r="U756" s="17" t="s">
        <v>4693</v>
      </c>
      <c r="V756" s="17" t="s">
        <v>4133</v>
      </c>
      <c r="W756" s="17" t="s">
        <v>4694</v>
      </c>
      <c r="X756" s="17" t="s">
        <v>35</v>
      </c>
      <c r="Y756" s="17" t="s">
        <v>4134</v>
      </c>
      <c r="Z756" s="17" t="s">
        <v>35</v>
      </c>
      <c r="AA756" s="17" t="s">
        <v>35</v>
      </c>
      <c r="AB756" s="17" t="s">
        <v>35</v>
      </c>
      <c r="AC756" s="17" t="s">
        <v>9538</v>
      </c>
      <c r="AD756" s="41">
        <v>50.38</v>
      </c>
      <c r="AE756" s="41">
        <v>53</v>
      </c>
      <c r="AF756" s="48"/>
      <c r="AG756" s="44"/>
      <c r="AH756" s="7">
        <f t="shared" si="11"/>
        <v>0</v>
      </c>
      <c r="AI756" s="18"/>
      <c r="AJ756" s="18"/>
      <c r="AL756" s="18"/>
    </row>
    <row r="757" spans="1:38" ht="26.65" customHeight="1" x14ac:dyDescent="0.25">
      <c r="A757" s="10" t="s">
        <v>4695</v>
      </c>
      <c r="B757" s="9" t="s">
        <v>3086</v>
      </c>
      <c r="C757" s="9" t="s">
        <v>58</v>
      </c>
      <c r="D757" s="9" t="s">
        <v>3064</v>
      </c>
      <c r="E757" s="9" t="s">
        <v>35</v>
      </c>
      <c r="F757" s="9" t="s">
        <v>36</v>
      </c>
      <c r="G757" s="9">
        <v>1</v>
      </c>
      <c r="H757" s="9">
        <v>84219999</v>
      </c>
      <c r="I757" s="11" t="s">
        <v>37</v>
      </c>
      <c r="J757" s="12">
        <v>1.6500000000000001E-2</v>
      </c>
      <c r="K757" s="12">
        <v>7.5999999999999998E-2</v>
      </c>
      <c r="L757" s="12">
        <v>5.1999999999999998E-2</v>
      </c>
      <c r="M757" s="13">
        <v>8003453104228</v>
      </c>
      <c r="N757" s="14">
        <v>0.83899999999999997</v>
      </c>
      <c r="O757" s="14">
        <v>1.0049999999999999</v>
      </c>
      <c r="P757" s="15">
        <v>45139</v>
      </c>
      <c r="Q757" s="16" t="s">
        <v>4696</v>
      </c>
      <c r="R757" s="17" t="s">
        <v>4697</v>
      </c>
      <c r="S757" s="17" t="s">
        <v>4698</v>
      </c>
      <c r="T757" s="17" t="s">
        <v>35</v>
      </c>
      <c r="U757" s="17" t="s">
        <v>4699</v>
      </c>
      <c r="V757" s="17" t="s">
        <v>35</v>
      </c>
      <c r="W757" s="17" t="s">
        <v>35</v>
      </c>
      <c r="X757" s="17" t="s">
        <v>35</v>
      </c>
      <c r="Y757" s="17" t="s">
        <v>35</v>
      </c>
      <c r="Z757" s="17" t="s">
        <v>35</v>
      </c>
      <c r="AA757" s="17" t="s">
        <v>35</v>
      </c>
      <c r="AB757" s="17" t="s">
        <v>4700</v>
      </c>
      <c r="AC757" s="17" t="s">
        <v>9539</v>
      </c>
      <c r="AD757" s="41">
        <v>91.77</v>
      </c>
      <c r="AE757" s="41">
        <v>96.54</v>
      </c>
      <c r="AF757" s="48"/>
      <c r="AG757" s="44"/>
      <c r="AH757" s="7">
        <f t="shared" si="11"/>
        <v>0</v>
      </c>
      <c r="AI757" s="18"/>
      <c r="AJ757" s="18"/>
    </row>
    <row r="758" spans="1:38" ht="26.65" customHeight="1" x14ac:dyDescent="0.25">
      <c r="A758" s="38" t="s">
        <v>4701</v>
      </c>
      <c r="B758" s="9" t="s">
        <v>4702</v>
      </c>
      <c r="C758" s="9" t="s">
        <v>58</v>
      </c>
      <c r="D758" s="9" t="s">
        <v>3306</v>
      </c>
      <c r="E758" s="9" t="s">
        <v>35</v>
      </c>
      <c r="F758" s="9" t="s">
        <v>36</v>
      </c>
      <c r="G758" s="9">
        <v>6</v>
      </c>
      <c r="H758" s="9">
        <v>84213990</v>
      </c>
      <c r="I758" s="11" t="s">
        <v>37</v>
      </c>
      <c r="J758" s="12">
        <v>1.6500000000000001E-2</v>
      </c>
      <c r="K758" s="12">
        <v>7.5999999999999998E-2</v>
      </c>
      <c r="L758" s="12">
        <v>0</v>
      </c>
      <c r="M758" s="13">
        <v>8003453103689</v>
      </c>
      <c r="N758" s="14">
        <v>0.43</v>
      </c>
      <c r="O758" s="14">
        <v>0.46</v>
      </c>
      <c r="P758" s="15">
        <v>45131</v>
      </c>
      <c r="Q758" s="16" t="s">
        <v>4703</v>
      </c>
      <c r="R758" s="17" t="s">
        <v>4704</v>
      </c>
      <c r="S758" s="17" t="s">
        <v>4705</v>
      </c>
      <c r="T758" s="17" t="s">
        <v>4706</v>
      </c>
      <c r="U758" s="17" t="s">
        <v>35</v>
      </c>
      <c r="V758" s="17" t="s">
        <v>4707</v>
      </c>
      <c r="W758" s="17" t="s">
        <v>35</v>
      </c>
      <c r="X758" s="17" t="s">
        <v>4708</v>
      </c>
      <c r="Y758" s="17" t="s">
        <v>35</v>
      </c>
      <c r="Z758" s="17" t="s">
        <v>4709</v>
      </c>
      <c r="AA758" s="17" t="s">
        <v>35</v>
      </c>
      <c r="AB758" s="17" t="s">
        <v>4710</v>
      </c>
      <c r="AC758" s="17" t="s">
        <v>9538</v>
      </c>
      <c r="AD758" s="42">
        <v>43.81</v>
      </c>
      <c r="AE758" s="42">
        <v>43.81</v>
      </c>
      <c r="AF758" s="48"/>
      <c r="AG758" s="44"/>
      <c r="AH758" s="7">
        <f t="shared" si="11"/>
        <v>0</v>
      </c>
      <c r="AI758" s="18"/>
      <c r="AJ758" s="18"/>
    </row>
    <row r="759" spans="1:38" ht="26.65" customHeight="1" x14ac:dyDescent="0.25">
      <c r="A759" s="10" t="s">
        <v>4711</v>
      </c>
      <c r="B759" s="9" t="s">
        <v>4712</v>
      </c>
      <c r="C759" s="9" t="s">
        <v>34</v>
      </c>
      <c r="D759" s="9" t="s">
        <v>3064</v>
      </c>
      <c r="E759" s="9" t="s">
        <v>35</v>
      </c>
      <c r="F759" s="9" t="s">
        <v>36</v>
      </c>
      <c r="G759" s="9">
        <v>1</v>
      </c>
      <c r="H759" s="9">
        <v>84219999</v>
      </c>
      <c r="I759" s="11" t="s">
        <v>37</v>
      </c>
      <c r="J759" s="12">
        <v>1.6500000000000001E-2</v>
      </c>
      <c r="K759" s="12">
        <v>7.5999999999999998E-2</v>
      </c>
      <c r="L759" s="12">
        <v>5.1999999999999998E-2</v>
      </c>
      <c r="M759" s="13">
        <v>8003453103719</v>
      </c>
      <c r="N759" s="14">
        <v>0.63500000000000001</v>
      </c>
      <c r="O759" s="14">
        <v>0.91500000000000004</v>
      </c>
      <c r="P759" s="15">
        <v>45170</v>
      </c>
      <c r="Q759" s="16" t="s">
        <v>4713</v>
      </c>
      <c r="R759" s="17" t="s">
        <v>4714</v>
      </c>
      <c r="S759" s="17" t="s">
        <v>4715</v>
      </c>
      <c r="T759" s="17" t="s">
        <v>4716</v>
      </c>
      <c r="U759" s="17" t="s">
        <v>35</v>
      </c>
      <c r="V759" s="17" t="s">
        <v>4717</v>
      </c>
      <c r="W759" s="17" t="s">
        <v>35</v>
      </c>
      <c r="X759" s="17" t="s">
        <v>35</v>
      </c>
      <c r="Y759" s="17" t="s">
        <v>4718</v>
      </c>
      <c r="Z759" s="17" t="s">
        <v>4719</v>
      </c>
      <c r="AA759" s="17" t="s">
        <v>35</v>
      </c>
      <c r="AB759" s="17" t="s">
        <v>4720</v>
      </c>
      <c r="AC759" s="17" t="s">
        <v>9539</v>
      </c>
      <c r="AD759" s="42">
        <v>47.34</v>
      </c>
      <c r="AE759" s="42">
        <v>49.8</v>
      </c>
      <c r="AF759" s="48"/>
      <c r="AG759" s="44"/>
      <c r="AH759" s="7">
        <f t="shared" si="11"/>
        <v>0</v>
      </c>
      <c r="AI759" s="18"/>
      <c r="AJ759" s="18"/>
    </row>
    <row r="760" spans="1:38" ht="26.65" customHeight="1" x14ac:dyDescent="0.25">
      <c r="A760" s="10" t="s">
        <v>4721</v>
      </c>
      <c r="B760" s="9" t="s">
        <v>3030</v>
      </c>
      <c r="C760" s="9" t="s">
        <v>43</v>
      </c>
      <c r="D760" s="9" t="s">
        <v>3031</v>
      </c>
      <c r="E760" s="9" t="s">
        <v>35</v>
      </c>
      <c r="F760" s="9" t="s">
        <v>36</v>
      </c>
      <c r="G760" s="9">
        <v>5</v>
      </c>
      <c r="H760" s="9">
        <v>84219999</v>
      </c>
      <c r="I760" s="11" t="s">
        <v>37</v>
      </c>
      <c r="J760" s="12">
        <v>1.6500000000000001E-2</v>
      </c>
      <c r="K760" s="12">
        <v>7.5999999999999998E-2</v>
      </c>
      <c r="L760" s="12">
        <v>5.1999999999999998E-2</v>
      </c>
      <c r="M760" s="13">
        <v>8003453103733</v>
      </c>
      <c r="N760" s="14">
        <v>0.26500000000000001</v>
      </c>
      <c r="O760" s="14">
        <v>0.4</v>
      </c>
      <c r="P760" s="15" t="s">
        <v>35</v>
      </c>
      <c r="Q760" s="16" t="s">
        <v>4722</v>
      </c>
      <c r="R760" s="17" t="s">
        <v>35</v>
      </c>
      <c r="S760" s="17" t="s">
        <v>4723</v>
      </c>
      <c r="T760" s="17" t="s">
        <v>4724</v>
      </c>
      <c r="U760" s="17" t="s">
        <v>4725</v>
      </c>
      <c r="V760" s="17" t="s">
        <v>35</v>
      </c>
      <c r="W760" s="17" t="s">
        <v>35</v>
      </c>
      <c r="X760" s="17" t="s">
        <v>4726</v>
      </c>
      <c r="Y760" s="17" t="s">
        <v>4727</v>
      </c>
      <c r="Z760" s="17" t="s">
        <v>35</v>
      </c>
      <c r="AA760" s="17" t="s">
        <v>35</v>
      </c>
      <c r="AB760" s="17" t="s">
        <v>35</v>
      </c>
      <c r="AC760" s="17" t="s">
        <v>9539</v>
      </c>
      <c r="AD760" s="42">
        <v>132.19</v>
      </c>
      <c r="AE760" s="42">
        <v>139.06</v>
      </c>
      <c r="AF760" s="48"/>
      <c r="AG760" s="44"/>
      <c r="AH760" s="7">
        <f t="shared" si="11"/>
        <v>0</v>
      </c>
      <c r="AI760" s="18"/>
      <c r="AJ760" s="18"/>
    </row>
    <row r="761" spans="1:38" ht="26.65" customHeight="1" x14ac:dyDescent="0.25">
      <c r="A761" s="10" t="s">
        <v>4728</v>
      </c>
      <c r="B761" s="9" t="s">
        <v>3030</v>
      </c>
      <c r="C761" s="9" t="s">
        <v>43</v>
      </c>
      <c r="D761" s="9" t="s">
        <v>3031</v>
      </c>
      <c r="E761" s="9" t="s">
        <v>35</v>
      </c>
      <c r="F761" s="9" t="s">
        <v>36</v>
      </c>
      <c r="G761" s="9">
        <v>5</v>
      </c>
      <c r="H761" s="9">
        <v>84219999</v>
      </c>
      <c r="I761" s="11" t="s">
        <v>37</v>
      </c>
      <c r="J761" s="12">
        <v>1.6500000000000001E-2</v>
      </c>
      <c r="K761" s="12">
        <v>7.5999999999999998E-2</v>
      </c>
      <c r="L761" s="12">
        <v>5.1999999999999998E-2</v>
      </c>
      <c r="M761" s="13">
        <v>8003453103771</v>
      </c>
      <c r="N761" s="14">
        <v>0.59</v>
      </c>
      <c r="O761" s="14">
        <v>0.69</v>
      </c>
      <c r="P761" s="15" t="s">
        <v>35</v>
      </c>
      <c r="Q761" s="16" t="s">
        <v>4729</v>
      </c>
      <c r="R761" s="17" t="s">
        <v>35</v>
      </c>
      <c r="S761" s="17" t="s">
        <v>35</v>
      </c>
      <c r="T761" s="17" t="s">
        <v>4730</v>
      </c>
      <c r="U761" s="17" t="s">
        <v>4731</v>
      </c>
      <c r="V761" s="17" t="s">
        <v>35</v>
      </c>
      <c r="W761" s="17" t="s">
        <v>35</v>
      </c>
      <c r="X761" s="17" t="s">
        <v>4732</v>
      </c>
      <c r="Y761" s="17" t="s">
        <v>35</v>
      </c>
      <c r="Z761" s="17" t="s">
        <v>35</v>
      </c>
      <c r="AA761" s="17" t="s">
        <v>35</v>
      </c>
      <c r="AB761" s="17" t="s">
        <v>35</v>
      </c>
      <c r="AC761" s="17" t="s">
        <v>9539</v>
      </c>
      <c r="AD761" s="41">
        <v>293.42</v>
      </c>
      <c r="AE761" s="41">
        <v>308.68</v>
      </c>
      <c r="AF761" s="48"/>
      <c r="AG761" s="44"/>
      <c r="AH761" s="7">
        <f t="shared" si="11"/>
        <v>0</v>
      </c>
      <c r="AI761" s="18"/>
      <c r="AJ761" s="18"/>
      <c r="AL761" s="18"/>
    </row>
    <row r="762" spans="1:38" ht="26.65" customHeight="1" x14ac:dyDescent="0.25">
      <c r="A762" s="10" t="s">
        <v>4733</v>
      </c>
      <c r="B762" s="9" t="s">
        <v>3056</v>
      </c>
      <c r="C762" s="9" t="s">
        <v>34</v>
      </c>
      <c r="D762" s="9" t="s">
        <v>3031</v>
      </c>
      <c r="E762" s="9" t="s">
        <v>35</v>
      </c>
      <c r="F762" s="9" t="s">
        <v>36</v>
      </c>
      <c r="G762" s="9">
        <v>1</v>
      </c>
      <c r="H762" s="9">
        <v>84219999</v>
      </c>
      <c r="I762" s="11" t="s">
        <v>37</v>
      </c>
      <c r="J762" s="12">
        <v>1.6500000000000001E-2</v>
      </c>
      <c r="K762" s="12">
        <v>7.5999999999999998E-2</v>
      </c>
      <c r="L762" s="12">
        <v>5.1999999999999998E-2</v>
      </c>
      <c r="M762" s="13">
        <v>8003453103795</v>
      </c>
      <c r="N762" s="14">
        <v>6.8000000000000005E-2</v>
      </c>
      <c r="O762" s="14">
        <v>8.4000000000000005E-2</v>
      </c>
      <c r="P762" s="15">
        <v>45170</v>
      </c>
      <c r="Q762" s="16" t="s">
        <v>4734</v>
      </c>
      <c r="R762" s="17" t="s">
        <v>4735</v>
      </c>
      <c r="S762" s="17" t="s">
        <v>4736</v>
      </c>
      <c r="T762" s="17" t="s">
        <v>35</v>
      </c>
      <c r="U762" s="17" t="s">
        <v>35</v>
      </c>
      <c r="V762" s="17" t="s">
        <v>35</v>
      </c>
      <c r="W762" s="17" t="s">
        <v>35</v>
      </c>
      <c r="X762" s="17" t="s">
        <v>35</v>
      </c>
      <c r="Y762" s="17" t="s">
        <v>35</v>
      </c>
      <c r="Z762" s="17" t="s">
        <v>35</v>
      </c>
      <c r="AA762" s="17" t="s">
        <v>35</v>
      </c>
      <c r="AB762" s="17" t="s">
        <v>35</v>
      </c>
      <c r="AC762" s="17" t="s">
        <v>9539</v>
      </c>
      <c r="AD762" s="42">
        <v>55.17</v>
      </c>
      <c r="AE762" s="42">
        <v>58.04</v>
      </c>
      <c r="AF762" s="48"/>
      <c r="AG762" s="44"/>
      <c r="AH762" s="7">
        <f t="shared" si="11"/>
        <v>0</v>
      </c>
      <c r="AI762" s="18"/>
      <c r="AJ762" s="18"/>
    </row>
    <row r="763" spans="1:38" ht="26.65" customHeight="1" x14ac:dyDescent="0.25">
      <c r="A763" s="10" t="s">
        <v>4737</v>
      </c>
      <c r="B763" s="9" t="s">
        <v>3030</v>
      </c>
      <c r="C763" s="9" t="s">
        <v>34</v>
      </c>
      <c r="D763" s="9" t="s">
        <v>3031</v>
      </c>
      <c r="E763" s="9" t="s">
        <v>35</v>
      </c>
      <c r="F763" s="9" t="s">
        <v>36</v>
      </c>
      <c r="G763" s="9">
        <v>1</v>
      </c>
      <c r="H763" s="9">
        <v>84219999</v>
      </c>
      <c r="I763" s="11" t="s">
        <v>37</v>
      </c>
      <c r="J763" s="12">
        <v>1.6500000000000001E-2</v>
      </c>
      <c r="K763" s="12">
        <v>7.5999999999999998E-2</v>
      </c>
      <c r="L763" s="12">
        <v>5.1999999999999998E-2</v>
      </c>
      <c r="M763" s="13">
        <v>8003453103801</v>
      </c>
      <c r="N763" s="14">
        <v>1.389</v>
      </c>
      <c r="O763" s="14">
        <v>1.631</v>
      </c>
      <c r="P763" s="15">
        <v>44896</v>
      </c>
      <c r="Q763" s="16" t="s">
        <v>4738</v>
      </c>
      <c r="R763" s="17" t="s">
        <v>4739</v>
      </c>
      <c r="S763" s="17" t="s">
        <v>4740</v>
      </c>
      <c r="T763" s="17" t="s">
        <v>4741</v>
      </c>
      <c r="U763" s="17" t="s">
        <v>35</v>
      </c>
      <c r="V763" s="17" t="s">
        <v>35</v>
      </c>
      <c r="W763" s="17" t="s">
        <v>35</v>
      </c>
      <c r="X763" s="17" t="s">
        <v>35</v>
      </c>
      <c r="Y763" s="17" t="s">
        <v>35</v>
      </c>
      <c r="Z763" s="17" t="s">
        <v>4742</v>
      </c>
      <c r="AA763" s="17" t="s">
        <v>35</v>
      </c>
      <c r="AB763" s="17" t="s">
        <v>35</v>
      </c>
      <c r="AC763" s="17" t="s">
        <v>9539</v>
      </c>
      <c r="AD763" s="42">
        <v>146.54</v>
      </c>
      <c r="AE763" s="42">
        <v>154.16</v>
      </c>
      <c r="AF763" s="48"/>
      <c r="AG763" s="44"/>
      <c r="AH763" s="7">
        <f t="shared" si="11"/>
        <v>0</v>
      </c>
      <c r="AI763" s="18"/>
      <c r="AJ763" s="18"/>
    </row>
    <row r="764" spans="1:38" ht="26.65" customHeight="1" x14ac:dyDescent="0.25">
      <c r="A764" s="10" t="s">
        <v>4743</v>
      </c>
      <c r="B764" s="9" t="s">
        <v>3030</v>
      </c>
      <c r="C764" s="9" t="s">
        <v>58</v>
      </c>
      <c r="D764" s="9" t="s">
        <v>3306</v>
      </c>
      <c r="E764" s="9" t="s">
        <v>35</v>
      </c>
      <c r="F764" s="9" t="s">
        <v>36</v>
      </c>
      <c r="G764" s="9">
        <v>1</v>
      </c>
      <c r="H764" s="9">
        <v>84219999</v>
      </c>
      <c r="I764" s="11" t="s">
        <v>37</v>
      </c>
      <c r="J764" s="12">
        <v>1.6500000000000001E-2</v>
      </c>
      <c r="K764" s="12">
        <v>7.5999999999999998E-2</v>
      </c>
      <c r="L764" s="12">
        <v>5.1999999999999998E-2</v>
      </c>
      <c r="M764" s="13">
        <v>8003453103870</v>
      </c>
      <c r="N764" s="14">
        <v>0.14099999999999999</v>
      </c>
      <c r="O764" s="14">
        <v>0.17799999999999999</v>
      </c>
      <c r="P764" s="15">
        <v>44958</v>
      </c>
      <c r="Q764" s="16" t="s">
        <v>4744</v>
      </c>
      <c r="R764" s="17" t="s">
        <v>4745</v>
      </c>
      <c r="S764" s="17" t="s">
        <v>4746</v>
      </c>
      <c r="T764" s="17" t="s">
        <v>4747</v>
      </c>
      <c r="U764" s="17" t="s">
        <v>35</v>
      </c>
      <c r="V764" s="17" t="s">
        <v>4748</v>
      </c>
      <c r="W764" s="17" t="s">
        <v>35</v>
      </c>
      <c r="X764" s="17" t="s">
        <v>35</v>
      </c>
      <c r="Y764" s="17" t="s">
        <v>35</v>
      </c>
      <c r="Z764" s="17" t="s">
        <v>4749</v>
      </c>
      <c r="AA764" s="17" t="s">
        <v>35</v>
      </c>
      <c r="AB764" s="17" t="s">
        <v>4750</v>
      </c>
      <c r="AC764" s="17" t="s">
        <v>9539</v>
      </c>
      <c r="AD764" s="42">
        <v>104.97</v>
      </c>
      <c r="AE764" s="42">
        <v>110.43</v>
      </c>
      <c r="AF764" s="48"/>
      <c r="AG764" s="44"/>
      <c r="AH764" s="7">
        <f t="shared" si="11"/>
        <v>0</v>
      </c>
      <c r="AI764" s="18"/>
      <c r="AJ764" s="18"/>
    </row>
    <row r="765" spans="1:38" ht="26.65" customHeight="1" x14ac:dyDescent="0.25">
      <c r="A765" s="10" t="s">
        <v>9856</v>
      </c>
      <c r="B765" s="9" t="s">
        <v>3030</v>
      </c>
      <c r="C765" s="9" t="s">
        <v>43</v>
      </c>
      <c r="D765" s="9" t="s">
        <v>3031</v>
      </c>
      <c r="E765" s="9" t="s">
        <v>35</v>
      </c>
      <c r="F765" s="9" t="s">
        <v>36</v>
      </c>
      <c r="G765" s="9">
        <v>6</v>
      </c>
      <c r="H765" s="9">
        <v>84213990</v>
      </c>
      <c r="I765" s="11" t="s">
        <v>37</v>
      </c>
      <c r="J765" s="12">
        <v>1.6500000000000001E-2</v>
      </c>
      <c r="K765" s="12">
        <v>7.5999999999999998E-2</v>
      </c>
      <c r="L765" s="12">
        <v>0</v>
      </c>
      <c r="M765" s="13">
        <v>8003453103979</v>
      </c>
      <c r="N765" s="14">
        <v>0.46500000000000002</v>
      </c>
      <c r="O765" s="14">
        <v>0.56000000000000005</v>
      </c>
      <c r="P765" s="15">
        <v>45536</v>
      </c>
      <c r="Q765" s="16" t="s">
        <v>9857</v>
      </c>
      <c r="R765" s="17" t="s">
        <v>35</v>
      </c>
      <c r="S765" s="17" t="s">
        <v>9858</v>
      </c>
      <c r="T765" s="17" t="s">
        <v>9859</v>
      </c>
      <c r="U765" s="17" t="s">
        <v>9860</v>
      </c>
      <c r="V765" s="17" t="s">
        <v>35</v>
      </c>
      <c r="W765" s="17" t="s">
        <v>35</v>
      </c>
      <c r="X765" s="17" t="s">
        <v>35</v>
      </c>
      <c r="Y765" s="17" t="s">
        <v>35</v>
      </c>
      <c r="Z765" s="17" t="s">
        <v>35</v>
      </c>
      <c r="AA765" s="17" t="s">
        <v>35</v>
      </c>
      <c r="AB765" s="17" t="s">
        <v>35</v>
      </c>
      <c r="AC765" s="17" t="s">
        <v>9539</v>
      </c>
      <c r="AD765" s="41">
        <v>162.43</v>
      </c>
      <c r="AE765" s="41">
        <v>162.43</v>
      </c>
      <c r="AF765" s="48"/>
      <c r="AG765" s="44"/>
      <c r="AH765" s="7">
        <f t="shared" si="11"/>
        <v>0</v>
      </c>
      <c r="AI765" s="18"/>
      <c r="AJ765" s="18"/>
    </row>
    <row r="766" spans="1:38" ht="26.65" customHeight="1" x14ac:dyDescent="0.25">
      <c r="A766" s="10" t="s">
        <v>9237</v>
      </c>
      <c r="B766" s="9" t="s">
        <v>3030</v>
      </c>
      <c r="C766" s="9" t="s">
        <v>34</v>
      </c>
      <c r="D766" s="9" t="s">
        <v>3306</v>
      </c>
      <c r="E766" s="9" t="s">
        <v>35</v>
      </c>
      <c r="F766" s="9" t="s">
        <v>36</v>
      </c>
      <c r="G766" s="9">
        <v>1</v>
      </c>
      <c r="H766" s="9">
        <v>84219999</v>
      </c>
      <c r="I766" s="11" t="s">
        <v>37</v>
      </c>
      <c r="J766" s="12">
        <v>1.6500000000000001E-2</v>
      </c>
      <c r="K766" s="12">
        <v>7.5999999999999998E-2</v>
      </c>
      <c r="L766" s="12">
        <v>5.1999999999999998E-2</v>
      </c>
      <c r="M766" s="13">
        <v>8003453104259</v>
      </c>
      <c r="N766" s="14">
        <v>2.4</v>
      </c>
      <c r="O766" s="14">
        <v>2.84</v>
      </c>
      <c r="P766" s="15">
        <v>44531</v>
      </c>
      <c r="Q766" s="16" t="s">
        <v>4751</v>
      </c>
      <c r="R766" s="17" t="s">
        <v>4752</v>
      </c>
      <c r="S766" s="17" t="s">
        <v>4753</v>
      </c>
      <c r="T766" s="17" t="s">
        <v>4754</v>
      </c>
      <c r="U766" s="17" t="s">
        <v>35</v>
      </c>
      <c r="V766" s="17" t="s">
        <v>4755</v>
      </c>
      <c r="W766" s="17" t="s">
        <v>35</v>
      </c>
      <c r="X766" s="17" t="s">
        <v>4756</v>
      </c>
      <c r="Y766" s="17" t="s">
        <v>4757</v>
      </c>
      <c r="Z766" s="17" t="s">
        <v>4758</v>
      </c>
      <c r="AA766" s="17" t="s">
        <v>4759</v>
      </c>
      <c r="AB766" s="17" t="s">
        <v>4760</v>
      </c>
      <c r="AC766" s="17" t="s">
        <v>9539</v>
      </c>
      <c r="AD766" s="41">
        <v>102.69</v>
      </c>
      <c r="AE766" s="41">
        <v>108.03</v>
      </c>
      <c r="AF766" s="48"/>
      <c r="AG766" s="44"/>
      <c r="AH766" s="7">
        <f t="shared" si="11"/>
        <v>0</v>
      </c>
      <c r="AI766" s="18"/>
      <c r="AJ766" s="18"/>
      <c r="AL766" s="18"/>
    </row>
    <row r="767" spans="1:38" ht="26.65" customHeight="1" x14ac:dyDescent="0.25">
      <c r="A767" s="10" t="s">
        <v>4761</v>
      </c>
      <c r="B767" s="9" t="s">
        <v>3063</v>
      </c>
      <c r="C767" s="9" t="s">
        <v>34</v>
      </c>
      <c r="D767" s="9" t="s">
        <v>3064</v>
      </c>
      <c r="E767" s="9" t="s">
        <v>35</v>
      </c>
      <c r="F767" s="9" t="s">
        <v>36</v>
      </c>
      <c r="G767" s="9">
        <v>1</v>
      </c>
      <c r="H767" s="9">
        <v>84219999</v>
      </c>
      <c r="I767" s="11" t="s">
        <v>37</v>
      </c>
      <c r="J767" s="12">
        <v>1.6500000000000001E-2</v>
      </c>
      <c r="K767" s="12">
        <v>7.5999999999999998E-2</v>
      </c>
      <c r="L767" s="12">
        <v>5.1999999999999998E-2</v>
      </c>
      <c r="M767" s="13">
        <v>8003453104266</v>
      </c>
      <c r="N767" s="14">
        <v>0.79600000000000004</v>
      </c>
      <c r="O767" s="14">
        <v>1.024</v>
      </c>
      <c r="P767" s="15">
        <v>44531</v>
      </c>
      <c r="Q767" s="16" t="s">
        <v>4751</v>
      </c>
      <c r="R767" s="17" t="s">
        <v>4762</v>
      </c>
      <c r="S767" s="17" t="s">
        <v>4763</v>
      </c>
      <c r="T767" s="17" t="s">
        <v>4764</v>
      </c>
      <c r="U767" s="17" t="s">
        <v>35</v>
      </c>
      <c r="V767" s="17" t="s">
        <v>4765</v>
      </c>
      <c r="W767" s="17" t="s">
        <v>35</v>
      </c>
      <c r="X767" s="17" t="s">
        <v>4766</v>
      </c>
      <c r="Y767" s="17" t="s">
        <v>4767</v>
      </c>
      <c r="Z767" s="17" t="s">
        <v>4768</v>
      </c>
      <c r="AA767" s="17" t="s">
        <v>4769</v>
      </c>
      <c r="AB767" s="17" t="s">
        <v>4770</v>
      </c>
      <c r="AC767" s="17" t="s">
        <v>9539</v>
      </c>
      <c r="AD767" s="41">
        <v>49.25</v>
      </c>
      <c r="AE767" s="41">
        <v>51.81</v>
      </c>
      <c r="AF767" s="48"/>
      <c r="AG767" s="44"/>
      <c r="AH767" s="7">
        <f t="shared" si="11"/>
        <v>0</v>
      </c>
      <c r="AI767" s="18"/>
      <c r="AJ767" s="18"/>
      <c r="AL767" s="18"/>
    </row>
    <row r="768" spans="1:38" ht="26.65" customHeight="1" x14ac:dyDescent="0.25">
      <c r="A768" s="10" t="s">
        <v>9158</v>
      </c>
      <c r="B768" s="9" t="s">
        <v>3063</v>
      </c>
      <c r="C768" s="9" t="s">
        <v>34</v>
      </c>
      <c r="D768" s="9" t="s">
        <v>3064</v>
      </c>
      <c r="E768" s="9" t="s">
        <v>35</v>
      </c>
      <c r="F768" s="9" t="s">
        <v>36</v>
      </c>
      <c r="G768" s="9">
        <v>1</v>
      </c>
      <c r="H768" s="9">
        <v>84219999</v>
      </c>
      <c r="I768" s="11" t="s">
        <v>37</v>
      </c>
      <c r="J768" s="12">
        <v>1.6500000000000001E-2</v>
      </c>
      <c r="K768" s="12">
        <v>7.5999999999999998E-2</v>
      </c>
      <c r="L768" s="12">
        <v>5.1999999999999998E-2</v>
      </c>
      <c r="M768" s="13">
        <v>8003453104266</v>
      </c>
      <c r="N768" s="14">
        <v>0.79600000000000004</v>
      </c>
      <c r="O768" s="14">
        <v>1.024</v>
      </c>
      <c r="P768" s="15">
        <v>45383</v>
      </c>
      <c r="Q768" s="16" t="s">
        <v>4751</v>
      </c>
      <c r="R768" s="17" t="s">
        <v>4762</v>
      </c>
      <c r="S768" s="17" t="s">
        <v>4763</v>
      </c>
      <c r="T768" s="17" t="s">
        <v>4764</v>
      </c>
      <c r="U768" s="17" t="s">
        <v>35</v>
      </c>
      <c r="V768" s="17" t="s">
        <v>4765</v>
      </c>
      <c r="W768" s="17" t="s">
        <v>35</v>
      </c>
      <c r="X768" s="17" t="s">
        <v>4766</v>
      </c>
      <c r="Y768" s="17" t="s">
        <v>4767</v>
      </c>
      <c r="Z768" s="17" t="s">
        <v>4768</v>
      </c>
      <c r="AA768" s="17" t="s">
        <v>4769</v>
      </c>
      <c r="AB768" s="17" t="s">
        <v>4770</v>
      </c>
      <c r="AC768" s="17" t="s">
        <v>9539</v>
      </c>
      <c r="AD768" s="41">
        <v>49.25</v>
      </c>
      <c r="AE768" s="41">
        <v>51.81</v>
      </c>
      <c r="AF768" s="48"/>
      <c r="AG768" s="44"/>
      <c r="AH768" s="7">
        <f t="shared" si="11"/>
        <v>0</v>
      </c>
      <c r="AI768" s="18"/>
      <c r="AJ768" s="18"/>
      <c r="AL768" s="18"/>
    </row>
    <row r="769" spans="1:38" ht="26.65" customHeight="1" x14ac:dyDescent="0.25">
      <c r="A769" s="10" t="s">
        <v>4771</v>
      </c>
      <c r="B769" s="9" t="s">
        <v>3030</v>
      </c>
      <c r="C769" s="9" t="s">
        <v>34</v>
      </c>
      <c r="D769" s="9" t="s">
        <v>3031</v>
      </c>
      <c r="E769" s="9" t="s">
        <v>35</v>
      </c>
      <c r="F769" s="9" t="s">
        <v>36</v>
      </c>
      <c r="G769" s="9">
        <v>1</v>
      </c>
      <c r="H769" s="9">
        <v>84219999</v>
      </c>
      <c r="I769" s="11" t="s">
        <v>37</v>
      </c>
      <c r="J769" s="12">
        <v>1.6500000000000001E-2</v>
      </c>
      <c r="K769" s="12">
        <v>7.5999999999999998E-2</v>
      </c>
      <c r="L769" s="12">
        <v>5.1999999999999998E-2</v>
      </c>
      <c r="M769" s="13">
        <v>8003453104273</v>
      </c>
      <c r="N769" s="14">
        <v>0.21299999999999999</v>
      </c>
      <c r="O769" s="14">
        <v>0.317</v>
      </c>
      <c r="P769" s="15">
        <v>44774</v>
      </c>
      <c r="Q769" s="16" t="s">
        <v>4772</v>
      </c>
      <c r="R769" s="17" t="s">
        <v>4773</v>
      </c>
      <c r="S769" s="17" t="s">
        <v>4774</v>
      </c>
      <c r="T769" s="17" t="s">
        <v>35</v>
      </c>
      <c r="U769" s="17" t="s">
        <v>35</v>
      </c>
      <c r="V769" s="17" t="s">
        <v>4775</v>
      </c>
      <c r="W769" s="17" t="s">
        <v>35</v>
      </c>
      <c r="X769" s="17" t="s">
        <v>35</v>
      </c>
      <c r="Y769" s="17" t="s">
        <v>35</v>
      </c>
      <c r="Z769" s="17" t="s">
        <v>4776</v>
      </c>
      <c r="AA769" s="17" t="s">
        <v>35</v>
      </c>
      <c r="AB769" s="17" t="s">
        <v>35</v>
      </c>
      <c r="AC769" s="17" t="s">
        <v>9539</v>
      </c>
      <c r="AD769" s="41">
        <v>32.619999999999997</v>
      </c>
      <c r="AE769" s="41">
        <v>34.32</v>
      </c>
      <c r="AF769" s="48"/>
      <c r="AG769" s="44"/>
      <c r="AH769" s="7">
        <f t="shared" si="11"/>
        <v>0</v>
      </c>
      <c r="AI769" s="18"/>
      <c r="AJ769" s="18"/>
      <c r="AL769" s="18"/>
    </row>
    <row r="770" spans="1:38" ht="26.65" customHeight="1" x14ac:dyDescent="0.25">
      <c r="A770" s="10" t="s">
        <v>4777</v>
      </c>
      <c r="B770" s="9" t="s">
        <v>3056</v>
      </c>
      <c r="C770" s="9" t="s">
        <v>34</v>
      </c>
      <c r="D770" s="9" t="s">
        <v>3031</v>
      </c>
      <c r="E770" s="9" t="s">
        <v>35</v>
      </c>
      <c r="F770" s="9" t="s">
        <v>36</v>
      </c>
      <c r="G770" s="9">
        <v>1</v>
      </c>
      <c r="H770" s="9">
        <v>84219999</v>
      </c>
      <c r="I770" s="11" t="s">
        <v>37</v>
      </c>
      <c r="J770" s="12">
        <v>1.6500000000000001E-2</v>
      </c>
      <c r="K770" s="12">
        <v>7.5999999999999998E-2</v>
      </c>
      <c r="L770" s="12">
        <v>5.1999999999999998E-2</v>
      </c>
      <c r="M770" s="13">
        <v>8003453104280</v>
      </c>
      <c r="N770" s="14">
        <v>0.55000000000000004</v>
      </c>
      <c r="O770" s="14">
        <v>0.65600000000000003</v>
      </c>
      <c r="P770" s="15">
        <v>45139</v>
      </c>
      <c r="Q770" s="16" t="s">
        <v>4778</v>
      </c>
      <c r="R770" s="17" t="s">
        <v>4779</v>
      </c>
      <c r="S770" s="17" t="s">
        <v>35</v>
      </c>
      <c r="T770" s="17" t="s">
        <v>35</v>
      </c>
      <c r="U770" s="17" t="s">
        <v>35</v>
      </c>
      <c r="V770" s="17" t="s">
        <v>4780</v>
      </c>
      <c r="W770" s="17" t="s">
        <v>4781</v>
      </c>
      <c r="X770" s="17" t="s">
        <v>4782</v>
      </c>
      <c r="Y770" s="17" t="s">
        <v>35</v>
      </c>
      <c r="Z770" s="17" t="s">
        <v>4783</v>
      </c>
      <c r="AA770" s="17" t="s">
        <v>35</v>
      </c>
      <c r="AB770" s="17" t="s">
        <v>4784</v>
      </c>
      <c r="AC770" s="17" t="s">
        <v>9539</v>
      </c>
      <c r="AD770" s="42">
        <v>39.04</v>
      </c>
      <c r="AE770" s="42">
        <v>41.07</v>
      </c>
      <c r="AF770" s="48"/>
      <c r="AG770" s="44"/>
      <c r="AH770" s="7">
        <f t="shared" si="11"/>
        <v>0</v>
      </c>
      <c r="AI770" s="18"/>
      <c r="AJ770" s="18"/>
    </row>
    <row r="771" spans="1:38" ht="26.65" customHeight="1" x14ac:dyDescent="0.25">
      <c r="A771" s="10" t="s">
        <v>4785</v>
      </c>
      <c r="B771" s="9" t="s">
        <v>3030</v>
      </c>
      <c r="C771" s="9" t="s">
        <v>34</v>
      </c>
      <c r="D771" s="9" t="s">
        <v>3031</v>
      </c>
      <c r="E771" s="9" t="s">
        <v>35</v>
      </c>
      <c r="F771" s="9" t="s">
        <v>36</v>
      </c>
      <c r="G771" s="9">
        <v>1</v>
      </c>
      <c r="H771" s="9">
        <v>84219999</v>
      </c>
      <c r="I771" s="11" t="s">
        <v>37</v>
      </c>
      <c r="J771" s="12">
        <v>1.6500000000000001E-2</v>
      </c>
      <c r="K771" s="12">
        <v>7.5999999999999998E-2</v>
      </c>
      <c r="L771" s="12">
        <v>5.1999999999999998E-2</v>
      </c>
      <c r="M771" s="13">
        <v>8003453104303</v>
      </c>
      <c r="N771" s="14">
        <v>0.20399999999999999</v>
      </c>
      <c r="O771" s="14">
        <v>0.32500000000000001</v>
      </c>
      <c r="P771" s="15">
        <v>45139</v>
      </c>
      <c r="Q771" s="16" t="s">
        <v>4786</v>
      </c>
      <c r="R771" s="17" t="s">
        <v>4787</v>
      </c>
      <c r="S771" s="17" t="s">
        <v>4788</v>
      </c>
      <c r="T771" s="17" t="s">
        <v>35</v>
      </c>
      <c r="U771" s="17" t="s">
        <v>35</v>
      </c>
      <c r="V771" s="17" t="s">
        <v>35</v>
      </c>
      <c r="W771" s="17" t="s">
        <v>35</v>
      </c>
      <c r="X771" s="17" t="s">
        <v>35</v>
      </c>
      <c r="Y771" s="17" t="s">
        <v>35</v>
      </c>
      <c r="Z771" s="17" t="s">
        <v>35</v>
      </c>
      <c r="AA771" s="17" t="s">
        <v>35</v>
      </c>
      <c r="AB771" s="17" t="s">
        <v>35</v>
      </c>
      <c r="AC771" s="17" t="s">
        <v>9539</v>
      </c>
      <c r="AD771" s="42">
        <v>45.45</v>
      </c>
      <c r="AE771" s="42">
        <v>47.81</v>
      </c>
      <c r="AF771" s="48"/>
      <c r="AG771" s="44"/>
      <c r="AH771" s="7">
        <f t="shared" si="11"/>
        <v>0</v>
      </c>
      <c r="AI771" s="18"/>
      <c r="AJ771" s="18"/>
    </row>
    <row r="772" spans="1:38" ht="26.65" customHeight="1" x14ac:dyDescent="0.25">
      <c r="A772" s="10" t="s">
        <v>4789</v>
      </c>
      <c r="B772" s="9" t="s">
        <v>3030</v>
      </c>
      <c r="C772" s="9" t="s">
        <v>58</v>
      </c>
      <c r="D772" s="9" t="s">
        <v>3306</v>
      </c>
      <c r="E772" s="9" t="s">
        <v>35</v>
      </c>
      <c r="F772" s="9" t="s">
        <v>2072</v>
      </c>
      <c r="G772" s="9">
        <v>1</v>
      </c>
      <c r="H772" s="9">
        <v>84219999</v>
      </c>
      <c r="I772" s="11" t="s">
        <v>2073</v>
      </c>
      <c r="J772" s="12">
        <v>1.6500000000000001E-2</v>
      </c>
      <c r="K772" s="12">
        <v>7.5999999999999998E-2</v>
      </c>
      <c r="L772" s="12">
        <v>0</v>
      </c>
      <c r="M772" s="13">
        <v>8003453104327</v>
      </c>
      <c r="N772" s="14">
        <v>2.9550000000000001</v>
      </c>
      <c r="O772" s="14">
        <v>3.375</v>
      </c>
      <c r="P772" s="15" t="s">
        <v>35</v>
      </c>
      <c r="Q772" s="16" t="s">
        <v>4790</v>
      </c>
      <c r="R772" s="17" t="s">
        <v>4791</v>
      </c>
      <c r="S772" s="17" t="s">
        <v>4792</v>
      </c>
      <c r="T772" s="17" t="s">
        <v>4793</v>
      </c>
      <c r="U772" s="17" t="s">
        <v>4794</v>
      </c>
      <c r="V772" s="17" t="s">
        <v>4795</v>
      </c>
      <c r="W772" s="17" t="s">
        <v>4796</v>
      </c>
      <c r="X772" s="17" t="s">
        <v>4797</v>
      </c>
      <c r="Y772" s="17" t="s">
        <v>4798</v>
      </c>
      <c r="Z772" s="17" t="s">
        <v>4799</v>
      </c>
      <c r="AA772" s="17" t="s">
        <v>4800</v>
      </c>
      <c r="AB772" s="17" t="s">
        <v>4801</v>
      </c>
      <c r="AC772" s="17" t="s">
        <v>9539</v>
      </c>
      <c r="AD772" s="41">
        <v>131.34</v>
      </c>
      <c r="AE772" s="41">
        <v>131.34</v>
      </c>
      <c r="AF772" s="48"/>
      <c r="AG772" s="44"/>
      <c r="AH772" s="7">
        <f t="shared" ref="AH772:AH835" si="12">AG772*AE772</f>
        <v>0</v>
      </c>
      <c r="AI772" s="18"/>
      <c r="AJ772" s="18"/>
    </row>
    <row r="773" spans="1:38" ht="26.65" customHeight="1" x14ac:dyDescent="0.25">
      <c r="A773" s="10" t="s">
        <v>4802</v>
      </c>
      <c r="B773" s="9" t="s">
        <v>3030</v>
      </c>
      <c r="C773" s="9" t="s">
        <v>34</v>
      </c>
      <c r="D773" s="9" t="s">
        <v>3031</v>
      </c>
      <c r="E773" s="9" t="s">
        <v>35</v>
      </c>
      <c r="F773" s="9" t="s">
        <v>36</v>
      </c>
      <c r="G773" s="9">
        <v>1</v>
      </c>
      <c r="H773" s="9">
        <v>84219999</v>
      </c>
      <c r="I773" s="11" t="s">
        <v>37</v>
      </c>
      <c r="J773" s="12">
        <v>1.6500000000000001E-2</v>
      </c>
      <c r="K773" s="12">
        <v>7.5999999999999998E-2</v>
      </c>
      <c r="L773" s="12">
        <v>5.1999999999999998E-2</v>
      </c>
      <c r="M773" s="13">
        <v>8003453104358</v>
      </c>
      <c r="N773" s="14">
        <v>1.9350000000000001</v>
      </c>
      <c r="O773" s="14">
        <v>2.2000000000000002</v>
      </c>
      <c r="P773" s="15">
        <v>45139</v>
      </c>
      <c r="Q773" s="16" t="s">
        <v>4803</v>
      </c>
      <c r="R773" s="17" t="s">
        <v>4804</v>
      </c>
      <c r="S773" s="17" t="s">
        <v>4805</v>
      </c>
      <c r="T773" s="17" t="s">
        <v>35</v>
      </c>
      <c r="U773" s="17" t="s">
        <v>35</v>
      </c>
      <c r="V773" s="17" t="s">
        <v>35</v>
      </c>
      <c r="W773" s="17" t="s">
        <v>35</v>
      </c>
      <c r="X773" s="17" t="s">
        <v>35</v>
      </c>
      <c r="Y773" s="17" t="s">
        <v>35</v>
      </c>
      <c r="Z773" s="17" t="s">
        <v>35</v>
      </c>
      <c r="AA773" s="17" t="s">
        <v>35</v>
      </c>
      <c r="AB773" s="17" t="s">
        <v>35</v>
      </c>
      <c r="AC773" s="17" t="s">
        <v>9539</v>
      </c>
      <c r="AD773" s="41">
        <v>136.02000000000001</v>
      </c>
      <c r="AE773" s="41">
        <v>143.09</v>
      </c>
      <c r="AF773" s="48"/>
      <c r="AG773" s="44"/>
      <c r="AH773" s="7">
        <f t="shared" si="12"/>
        <v>0</v>
      </c>
      <c r="AI773" s="18"/>
      <c r="AJ773" s="18"/>
    </row>
    <row r="774" spans="1:38" ht="26.65" customHeight="1" x14ac:dyDescent="0.25">
      <c r="A774" s="38" t="s">
        <v>4806</v>
      </c>
      <c r="B774" s="9" t="s">
        <v>3030</v>
      </c>
      <c r="C774" s="9" t="s">
        <v>58</v>
      </c>
      <c r="D774" s="9" t="s">
        <v>3306</v>
      </c>
      <c r="E774" s="9" t="s">
        <v>35</v>
      </c>
      <c r="F774" s="9" t="s">
        <v>36</v>
      </c>
      <c r="G774" s="9">
        <v>1</v>
      </c>
      <c r="H774" s="9">
        <v>84219999</v>
      </c>
      <c r="I774" s="11" t="s">
        <v>37</v>
      </c>
      <c r="J774" s="12">
        <v>1.6500000000000001E-2</v>
      </c>
      <c r="K774" s="12">
        <v>7.5999999999999998E-2</v>
      </c>
      <c r="L774" s="12">
        <v>5.1999999999999998E-2</v>
      </c>
      <c r="M774" s="13">
        <v>8003453104365</v>
      </c>
      <c r="N774" s="14">
        <v>2.9009999999999998</v>
      </c>
      <c r="O774" s="14">
        <v>3.375</v>
      </c>
      <c r="P774" s="15">
        <v>44986</v>
      </c>
      <c r="Q774" s="16" t="s">
        <v>4807</v>
      </c>
      <c r="R774" s="17" t="s">
        <v>4808</v>
      </c>
      <c r="S774" s="17" t="s">
        <v>4809</v>
      </c>
      <c r="T774" s="17" t="s">
        <v>4810</v>
      </c>
      <c r="U774" s="17" t="s">
        <v>4811</v>
      </c>
      <c r="V774" s="17" t="s">
        <v>35</v>
      </c>
      <c r="W774" s="17" t="s">
        <v>35</v>
      </c>
      <c r="X774" s="17" t="s">
        <v>35</v>
      </c>
      <c r="Y774" s="17" t="s">
        <v>35</v>
      </c>
      <c r="Z774" s="17" t="s">
        <v>4812</v>
      </c>
      <c r="AA774" s="17" t="s">
        <v>35</v>
      </c>
      <c r="AB774" s="17" t="s">
        <v>4813</v>
      </c>
      <c r="AC774" s="17" t="s">
        <v>9538</v>
      </c>
      <c r="AD774" s="41">
        <v>203.09</v>
      </c>
      <c r="AE774" s="41">
        <v>213.65</v>
      </c>
      <c r="AF774" s="48"/>
      <c r="AG774" s="44"/>
      <c r="AH774" s="7">
        <f t="shared" si="12"/>
        <v>0</v>
      </c>
      <c r="AI774" s="18"/>
      <c r="AJ774" s="18"/>
    </row>
    <row r="775" spans="1:38" ht="26.65" customHeight="1" x14ac:dyDescent="0.25">
      <c r="A775" s="10" t="s">
        <v>9861</v>
      </c>
      <c r="B775" s="9" t="s">
        <v>3030</v>
      </c>
      <c r="C775" s="9" t="s">
        <v>34</v>
      </c>
      <c r="D775" s="9" t="s">
        <v>9715</v>
      </c>
      <c r="E775" s="9" t="s">
        <v>35</v>
      </c>
      <c r="F775" s="9" t="s">
        <v>36</v>
      </c>
      <c r="G775" s="9">
        <v>1</v>
      </c>
      <c r="H775" s="9">
        <v>84219999</v>
      </c>
      <c r="I775" s="11" t="s">
        <v>37</v>
      </c>
      <c r="J775" s="12">
        <v>1.6500000000000001E-2</v>
      </c>
      <c r="K775" s="12">
        <v>7.5999999999999998E-2</v>
      </c>
      <c r="L775" s="12">
        <v>5.1999999999999998E-2</v>
      </c>
      <c r="M775" s="13">
        <v>8003453104426</v>
      </c>
      <c r="N775" s="14">
        <v>2.4</v>
      </c>
      <c r="O775" s="14">
        <v>3</v>
      </c>
      <c r="P775" s="15">
        <v>45536</v>
      </c>
      <c r="Q775" s="16" t="s">
        <v>9862</v>
      </c>
      <c r="R775" s="17" t="s">
        <v>9863</v>
      </c>
      <c r="S775" s="17" t="s">
        <v>9864</v>
      </c>
      <c r="T775" s="17" t="s">
        <v>35</v>
      </c>
      <c r="U775" s="17" t="s">
        <v>35</v>
      </c>
      <c r="V775" s="17" t="s">
        <v>35</v>
      </c>
      <c r="W775" s="17" t="s">
        <v>35</v>
      </c>
      <c r="X775" s="17" t="s">
        <v>35</v>
      </c>
      <c r="Y775" s="17" t="s">
        <v>35</v>
      </c>
      <c r="Z775" s="17" t="s">
        <v>35</v>
      </c>
      <c r="AA775" s="17" t="s">
        <v>35</v>
      </c>
      <c r="AB775" s="17" t="s">
        <v>35</v>
      </c>
      <c r="AC775" s="17" t="s">
        <v>9539</v>
      </c>
      <c r="AD775" s="41">
        <v>281.81</v>
      </c>
      <c r="AE775" s="41">
        <v>296.45999999999998</v>
      </c>
      <c r="AF775" s="48"/>
      <c r="AG775" s="44"/>
      <c r="AH775" s="7">
        <f t="shared" si="12"/>
        <v>0</v>
      </c>
      <c r="AI775" s="18"/>
      <c r="AJ775" s="18"/>
    </row>
    <row r="776" spans="1:38" ht="26.65" customHeight="1" x14ac:dyDescent="0.25">
      <c r="A776" s="10" t="s">
        <v>4814</v>
      </c>
      <c r="B776" s="9" t="s">
        <v>3030</v>
      </c>
      <c r="C776" s="9" t="s">
        <v>58</v>
      </c>
      <c r="D776" s="9" t="s">
        <v>3306</v>
      </c>
      <c r="E776" s="9" t="s">
        <v>35</v>
      </c>
      <c r="F776" s="9" t="s">
        <v>36</v>
      </c>
      <c r="G776" s="9">
        <v>1</v>
      </c>
      <c r="H776" s="9">
        <v>84219999</v>
      </c>
      <c r="I776" s="11" t="s">
        <v>37</v>
      </c>
      <c r="J776" s="12">
        <v>1.6500000000000001E-2</v>
      </c>
      <c r="K776" s="12">
        <v>7.5999999999999998E-2</v>
      </c>
      <c r="L776" s="12">
        <v>5.1999999999999998E-2</v>
      </c>
      <c r="M776" s="13">
        <v>8003453104440</v>
      </c>
      <c r="N776" s="14">
        <v>2.02</v>
      </c>
      <c r="O776" s="14">
        <v>2.4500000000000002</v>
      </c>
      <c r="P776" s="15">
        <v>45131</v>
      </c>
      <c r="Q776" s="16" t="s">
        <v>4815</v>
      </c>
      <c r="R776" s="17" t="s">
        <v>4816</v>
      </c>
      <c r="S776" s="17" t="s">
        <v>35</v>
      </c>
      <c r="T776" s="17" t="s">
        <v>35</v>
      </c>
      <c r="U776" s="17" t="s">
        <v>35</v>
      </c>
      <c r="V776" s="17" t="s">
        <v>35</v>
      </c>
      <c r="W776" s="17" t="s">
        <v>35</v>
      </c>
      <c r="X776" s="17" t="s">
        <v>35</v>
      </c>
      <c r="Y776" s="17" t="s">
        <v>35</v>
      </c>
      <c r="Z776" s="17" t="s">
        <v>4817</v>
      </c>
      <c r="AA776" s="17" t="s">
        <v>35</v>
      </c>
      <c r="AB776" s="17" t="s">
        <v>4818</v>
      </c>
      <c r="AC776" s="17" t="s">
        <v>9539</v>
      </c>
      <c r="AD776" s="42">
        <v>172.85</v>
      </c>
      <c r="AE776" s="42">
        <v>181.84</v>
      </c>
      <c r="AF776" s="48"/>
      <c r="AG776" s="44"/>
      <c r="AH776" s="7">
        <f t="shared" si="12"/>
        <v>0</v>
      </c>
      <c r="AI776" s="18"/>
      <c r="AJ776" s="18"/>
    </row>
    <row r="777" spans="1:38" ht="26.65" customHeight="1" x14ac:dyDescent="0.25">
      <c r="A777" s="10" t="s">
        <v>9697</v>
      </c>
      <c r="B777" s="9" t="s">
        <v>3030</v>
      </c>
      <c r="C777" s="9" t="s">
        <v>34</v>
      </c>
      <c r="D777" s="9" t="s">
        <v>3031</v>
      </c>
      <c r="E777" s="9" t="s">
        <v>35</v>
      </c>
      <c r="F777" s="9" t="s">
        <v>36</v>
      </c>
      <c r="G777" s="9">
        <v>1</v>
      </c>
      <c r="H777" s="9">
        <v>84219999</v>
      </c>
      <c r="I777" s="11" t="s">
        <v>37</v>
      </c>
      <c r="J777" s="12">
        <v>1.6500000000000001E-2</v>
      </c>
      <c r="K777" s="12">
        <v>7.5999999999999998E-2</v>
      </c>
      <c r="L777" s="12">
        <v>5.1999999999999998E-2</v>
      </c>
      <c r="M777" s="13">
        <v>8003453104549</v>
      </c>
      <c r="N777" s="14">
        <v>1.073</v>
      </c>
      <c r="O777" s="14">
        <v>1.2</v>
      </c>
      <c r="P777" s="15">
        <v>45474</v>
      </c>
      <c r="Q777" s="16" t="s">
        <v>9698</v>
      </c>
      <c r="R777" s="17" t="s">
        <v>9699</v>
      </c>
      <c r="S777" s="17" t="s">
        <v>35</v>
      </c>
      <c r="T777" s="17" t="s">
        <v>35</v>
      </c>
      <c r="U777" s="17" t="s">
        <v>35</v>
      </c>
      <c r="V777" s="17" t="s">
        <v>35</v>
      </c>
      <c r="W777" s="17" t="s">
        <v>35</v>
      </c>
      <c r="X777" s="17" t="s">
        <v>35</v>
      </c>
      <c r="Y777" s="17" t="s">
        <v>35</v>
      </c>
      <c r="Z777" s="17" t="s">
        <v>9700</v>
      </c>
      <c r="AA777" s="17" t="s">
        <v>35</v>
      </c>
      <c r="AB777" s="17" t="s">
        <v>9701</v>
      </c>
      <c r="AC777" s="17" t="s">
        <v>9539</v>
      </c>
      <c r="AD777" s="42">
        <v>80.36</v>
      </c>
      <c r="AE777" s="42">
        <v>84.54</v>
      </c>
      <c r="AF777" s="48"/>
      <c r="AG777" s="44"/>
      <c r="AH777" s="7">
        <f t="shared" si="12"/>
        <v>0</v>
      </c>
      <c r="AI777" s="18"/>
      <c r="AJ777" s="18"/>
    </row>
    <row r="778" spans="1:38" ht="26.65" customHeight="1" x14ac:dyDescent="0.25">
      <c r="A778" s="38" t="s">
        <v>4819</v>
      </c>
      <c r="B778" s="9" t="s">
        <v>3030</v>
      </c>
      <c r="C778" s="9" t="s">
        <v>43</v>
      </c>
      <c r="D778" s="9" t="s">
        <v>3031</v>
      </c>
      <c r="E778" s="9" t="s">
        <v>35</v>
      </c>
      <c r="F778" s="9" t="s">
        <v>36</v>
      </c>
      <c r="G778" s="9">
        <v>5</v>
      </c>
      <c r="H778" s="9">
        <v>84219999</v>
      </c>
      <c r="I778" s="11" t="s">
        <v>37</v>
      </c>
      <c r="J778" s="12">
        <v>1.6500000000000001E-2</v>
      </c>
      <c r="K778" s="12">
        <v>7.5999999999999998E-2</v>
      </c>
      <c r="L778" s="12">
        <v>5.1999999999999998E-2</v>
      </c>
      <c r="M778" s="13">
        <v>8003453104563</v>
      </c>
      <c r="N778" s="14">
        <v>0.52900000000000003</v>
      </c>
      <c r="O778" s="14">
        <v>0.65400000000000003</v>
      </c>
      <c r="P778" s="15" t="s">
        <v>35</v>
      </c>
      <c r="Q778" s="16" t="s">
        <v>2385</v>
      </c>
      <c r="R778" s="17" t="s">
        <v>35</v>
      </c>
      <c r="S778" s="17" t="s">
        <v>4820</v>
      </c>
      <c r="T778" s="17" t="s">
        <v>4821</v>
      </c>
      <c r="U778" s="17" t="s">
        <v>4822</v>
      </c>
      <c r="V778" s="17" t="s">
        <v>4823</v>
      </c>
      <c r="W778" s="17" t="s">
        <v>4824</v>
      </c>
      <c r="X778" s="17" t="s">
        <v>4825</v>
      </c>
      <c r="Y778" s="17" t="s">
        <v>4826</v>
      </c>
      <c r="Z778" s="17" t="s">
        <v>35</v>
      </c>
      <c r="AA778" s="17" t="s">
        <v>35</v>
      </c>
      <c r="AB778" s="17" t="s">
        <v>35</v>
      </c>
      <c r="AC778" s="17" t="s">
        <v>9538</v>
      </c>
      <c r="AD778" s="42">
        <v>71.34</v>
      </c>
      <c r="AE778" s="42">
        <v>75.05</v>
      </c>
      <c r="AF778" s="48"/>
      <c r="AG778" s="44"/>
      <c r="AH778" s="7">
        <f t="shared" si="12"/>
        <v>0</v>
      </c>
      <c r="AI778" s="18"/>
      <c r="AJ778" s="18"/>
    </row>
    <row r="779" spans="1:38" ht="26.65" customHeight="1" x14ac:dyDescent="0.25">
      <c r="A779" s="10" t="s">
        <v>4827</v>
      </c>
      <c r="B779" s="9" t="s">
        <v>3030</v>
      </c>
      <c r="C779" s="9" t="s">
        <v>34</v>
      </c>
      <c r="D779" s="9" t="s">
        <v>3031</v>
      </c>
      <c r="E779" s="9" t="s">
        <v>35</v>
      </c>
      <c r="F779" s="9" t="s">
        <v>36</v>
      </c>
      <c r="G779" s="9">
        <v>1</v>
      </c>
      <c r="H779" s="9">
        <v>84219999</v>
      </c>
      <c r="I779" s="11" t="s">
        <v>37</v>
      </c>
      <c r="J779" s="12">
        <v>1.6500000000000001E-2</v>
      </c>
      <c r="K779" s="12">
        <v>7.5999999999999998E-2</v>
      </c>
      <c r="L779" s="12">
        <v>5.1999999999999998E-2</v>
      </c>
      <c r="M779" s="13">
        <v>8003453104570</v>
      </c>
      <c r="N779" s="14">
        <v>0.91900000000000004</v>
      </c>
      <c r="O779" s="14">
        <v>1.2190000000000001</v>
      </c>
      <c r="P779" s="15">
        <v>45139</v>
      </c>
      <c r="Q779" s="16" t="s">
        <v>4828</v>
      </c>
      <c r="R779" s="17" t="s">
        <v>4829</v>
      </c>
      <c r="S779" s="17" t="s">
        <v>4830</v>
      </c>
      <c r="T779" s="17" t="s">
        <v>35</v>
      </c>
      <c r="U779" s="17" t="s">
        <v>35</v>
      </c>
      <c r="V779" s="17" t="s">
        <v>35</v>
      </c>
      <c r="W779" s="17" t="s">
        <v>35</v>
      </c>
      <c r="X779" s="17" t="s">
        <v>35</v>
      </c>
      <c r="Y779" s="17" t="s">
        <v>35</v>
      </c>
      <c r="Z779" s="17" t="s">
        <v>35</v>
      </c>
      <c r="AA779" s="17" t="s">
        <v>35</v>
      </c>
      <c r="AB779" s="17" t="s">
        <v>35</v>
      </c>
      <c r="AC779" s="17" t="s">
        <v>9539</v>
      </c>
      <c r="AD779" s="41">
        <v>51.23</v>
      </c>
      <c r="AE779" s="41">
        <v>53.89</v>
      </c>
      <c r="AF779" s="48"/>
      <c r="AG779" s="44"/>
      <c r="AH779" s="7">
        <f t="shared" si="12"/>
        <v>0</v>
      </c>
      <c r="AI779" s="18"/>
      <c r="AJ779" s="18"/>
      <c r="AL779" s="18"/>
    </row>
    <row r="780" spans="1:38" ht="26.65" customHeight="1" x14ac:dyDescent="0.25">
      <c r="A780" s="10" t="s">
        <v>4831</v>
      </c>
      <c r="B780" s="9" t="s">
        <v>3030</v>
      </c>
      <c r="C780" s="9" t="s">
        <v>34</v>
      </c>
      <c r="D780" s="9" t="s">
        <v>3306</v>
      </c>
      <c r="E780" s="9" t="s">
        <v>35</v>
      </c>
      <c r="F780" s="9" t="s">
        <v>36</v>
      </c>
      <c r="G780" s="9">
        <v>1</v>
      </c>
      <c r="H780" s="9">
        <v>84219999</v>
      </c>
      <c r="I780" s="11" t="s">
        <v>37</v>
      </c>
      <c r="J780" s="12">
        <v>1.6500000000000001E-2</v>
      </c>
      <c r="K780" s="12">
        <v>7.5999999999999998E-2</v>
      </c>
      <c r="L780" s="12">
        <v>5.1999999999999998E-2</v>
      </c>
      <c r="M780" s="13">
        <v>8003453104587</v>
      </c>
      <c r="N780" s="14">
        <v>4.12</v>
      </c>
      <c r="O780" s="14">
        <v>4.6500000000000004</v>
      </c>
      <c r="P780" s="15">
        <v>44986</v>
      </c>
      <c r="Q780" s="16" t="s">
        <v>4832</v>
      </c>
      <c r="R780" s="17" t="s">
        <v>4833</v>
      </c>
      <c r="S780" s="17" t="s">
        <v>4834</v>
      </c>
      <c r="T780" s="17" t="s">
        <v>35</v>
      </c>
      <c r="U780" s="17" t="s">
        <v>35</v>
      </c>
      <c r="V780" s="17" t="s">
        <v>4835</v>
      </c>
      <c r="W780" s="17" t="s">
        <v>4836</v>
      </c>
      <c r="X780" s="17" t="s">
        <v>35</v>
      </c>
      <c r="Y780" s="17" t="s">
        <v>35</v>
      </c>
      <c r="Z780" s="17" t="s">
        <v>4837</v>
      </c>
      <c r="AA780" s="17" t="s">
        <v>4838</v>
      </c>
      <c r="AB780" s="17" t="s">
        <v>4839</v>
      </c>
      <c r="AC780" s="17" t="s">
        <v>9539</v>
      </c>
      <c r="AD780" s="42">
        <v>257.08</v>
      </c>
      <c r="AE780" s="42">
        <v>270.45</v>
      </c>
      <c r="AF780" s="48"/>
      <c r="AG780" s="44"/>
      <c r="AH780" s="7">
        <f t="shared" si="12"/>
        <v>0</v>
      </c>
      <c r="AI780" s="18"/>
      <c r="AJ780" s="18"/>
    </row>
    <row r="781" spans="1:38" ht="26.65" customHeight="1" x14ac:dyDescent="0.25">
      <c r="A781" s="10" t="s">
        <v>4840</v>
      </c>
      <c r="B781" s="9" t="s">
        <v>3063</v>
      </c>
      <c r="C781" s="9" t="s">
        <v>34</v>
      </c>
      <c r="D781" s="9" t="s">
        <v>3064</v>
      </c>
      <c r="E781" s="9" t="s">
        <v>35</v>
      </c>
      <c r="F781" s="9" t="s">
        <v>2072</v>
      </c>
      <c r="G781" s="9">
        <v>1</v>
      </c>
      <c r="H781" s="9">
        <v>84219999</v>
      </c>
      <c r="I781" s="11" t="s">
        <v>2073</v>
      </c>
      <c r="J781" s="12">
        <v>1.6500000000000001E-2</v>
      </c>
      <c r="K781" s="12">
        <v>7.5999999999999998E-2</v>
      </c>
      <c r="L781" s="12">
        <v>0</v>
      </c>
      <c r="M781" s="13" t="s">
        <v>4841</v>
      </c>
      <c r="N781" s="14">
        <v>2.2000000000000002</v>
      </c>
      <c r="O781" s="14">
        <v>2.8</v>
      </c>
      <c r="P781" s="15">
        <v>44986</v>
      </c>
      <c r="Q781" s="16" t="s">
        <v>4842</v>
      </c>
      <c r="R781" s="17" t="s">
        <v>4843</v>
      </c>
      <c r="S781" s="17" t="s">
        <v>4844</v>
      </c>
      <c r="T781" s="17" t="s">
        <v>35</v>
      </c>
      <c r="U781" s="17" t="s">
        <v>35</v>
      </c>
      <c r="V781" s="17" t="s">
        <v>4845</v>
      </c>
      <c r="W781" s="17" t="s">
        <v>4846</v>
      </c>
      <c r="X781" s="17" t="s">
        <v>35</v>
      </c>
      <c r="Y781" s="17" t="s">
        <v>35</v>
      </c>
      <c r="Z781" s="17" t="s">
        <v>4847</v>
      </c>
      <c r="AA781" s="17" t="s">
        <v>4848</v>
      </c>
      <c r="AB781" s="17" t="s">
        <v>4849</v>
      </c>
      <c r="AC781" s="17" t="s">
        <v>9539</v>
      </c>
      <c r="AD781" s="41">
        <v>140.28</v>
      </c>
      <c r="AE781" s="41">
        <v>140.28</v>
      </c>
      <c r="AF781" s="48"/>
      <c r="AG781" s="44"/>
      <c r="AH781" s="7">
        <f t="shared" si="12"/>
        <v>0</v>
      </c>
      <c r="AI781" s="18"/>
      <c r="AJ781" s="18"/>
    </row>
    <row r="782" spans="1:38" ht="26.65" customHeight="1" x14ac:dyDescent="0.25">
      <c r="A782" s="10" t="s">
        <v>4850</v>
      </c>
      <c r="B782" s="9" t="s">
        <v>3030</v>
      </c>
      <c r="C782" s="9" t="s">
        <v>34</v>
      </c>
      <c r="D782" s="9" t="s">
        <v>3207</v>
      </c>
      <c r="E782" s="9" t="s">
        <v>122</v>
      </c>
      <c r="F782" s="9" t="s">
        <v>36</v>
      </c>
      <c r="G782" s="9">
        <v>1</v>
      </c>
      <c r="H782" s="9">
        <v>84219999</v>
      </c>
      <c r="I782" s="11" t="s">
        <v>37</v>
      </c>
      <c r="J782" s="12">
        <v>1.6500000000000001E-2</v>
      </c>
      <c r="K782" s="12">
        <v>7.5999999999999998E-2</v>
      </c>
      <c r="L782" s="12">
        <v>5.1999999999999998E-2</v>
      </c>
      <c r="M782" s="13">
        <v>8003453104600</v>
      </c>
      <c r="N782" s="14">
        <v>0.69499999999999995</v>
      </c>
      <c r="O782" s="14">
        <v>0.83</v>
      </c>
      <c r="P782" s="15">
        <v>44927</v>
      </c>
      <c r="Q782" s="16" t="s">
        <v>4851</v>
      </c>
      <c r="R782" s="17" t="s">
        <v>4852</v>
      </c>
      <c r="S782" s="17" t="s">
        <v>35</v>
      </c>
      <c r="T782" s="17" t="s">
        <v>4853</v>
      </c>
      <c r="U782" s="17" t="s">
        <v>35</v>
      </c>
      <c r="V782" s="17" t="s">
        <v>4854</v>
      </c>
      <c r="W782" s="17" t="s">
        <v>35</v>
      </c>
      <c r="X782" s="17" t="s">
        <v>35</v>
      </c>
      <c r="Y782" s="17" t="s">
        <v>4855</v>
      </c>
      <c r="Z782" s="17" t="s">
        <v>4856</v>
      </c>
      <c r="AA782" s="17" t="s">
        <v>35</v>
      </c>
      <c r="AB782" s="17" t="s">
        <v>4857</v>
      </c>
      <c r="AC782" s="17" t="s">
        <v>9539</v>
      </c>
      <c r="AD782" s="42">
        <v>47</v>
      </c>
      <c r="AE782" s="42">
        <v>49.44</v>
      </c>
      <c r="AF782" s="48"/>
      <c r="AG782" s="44"/>
      <c r="AH782" s="7">
        <f t="shared" si="12"/>
        <v>0</v>
      </c>
      <c r="AI782" s="18"/>
      <c r="AJ782" s="18"/>
    </row>
    <row r="783" spans="1:38" ht="26.65" customHeight="1" x14ac:dyDescent="0.25">
      <c r="A783" s="10" t="s">
        <v>10346</v>
      </c>
      <c r="B783" s="9" t="s">
        <v>3030</v>
      </c>
      <c r="C783" s="9" t="s">
        <v>34</v>
      </c>
      <c r="D783" s="9" t="s">
        <v>3031</v>
      </c>
      <c r="E783" s="9" t="s">
        <v>35</v>
      </c>
      <c r="F783" s="9" t="s">
        <v>36</v>
      </c>
      <c r="G783" s="9">
        <v>5</v>
      </c>
      <c r="H783" s="9">
        <v>84219999</v>
      </c>
      <c r="I783" s="11" t="s">
        <v>37</v>
      </c>
      <c r="J783" s="12">
        <v>1.6500000000000001E-2</v>
      </c>
      <c r="K783" s="12">
        <v>7.5999999999999998E-2</v>
      </c>
      <c r="L783" s="12">
        <v>5.1999999999999998E-2</v>
      </c>
      <c r="M783" s="13">
        <v>8003453809901</v>
      </c>
      <c r="N783" s="14">
        <v>0</v>
      </c>
      <c r="O783" s="14">
        <v>0</v>
      </c>
      <c r="P783" s="15">
        <v>45566</v>
      </c>
      <c r="Q783" s="16" t="s">
        <v>10347</v>
      </c>
      <c r="R783" s="17" t="s">
        <v>10348</v>
      </c>
      <c r="S783" s="17" t="s">
        <v>35</v>
      </c>
      <c r="T783" s="17" t="s">
        <v>35</v>
      </c>
      <c r="U783" s="17" t="s">
        <v>35</v>
      </c>
      <c r="V783" s="17" t="s">
        <v>35</v>
      </c>
      <c r="W783" s="17" t="s">
        <v>35</v>
      </c>
      <c r="X783" s="17" t="s">
        <v>35</v>
      </c>
      <c r="Y783" s="17" t="s">
        <v>35</v>
      </c>
      <c r="Z783" s="17" t="s">
        <v>10348</v>
      </c>
      <c r="AA783" s="17" t="s">
        <v>35</v>
      </c>
      <c r="AB783" s="17" t="s">
        <v>10349</v>
      </c>
      <c r="AC783" s="17" t="s">
        <v>9539</v>
      </c>
      <c r="AD783" s="41">
        <v>521.29999999999995</v>
      </c>
      <c r="AE783" s="41">
        <v>548.41</v>
      </c>
      <c r="AF783" s="48"/>
      <c r="AG783" s="44"/>
      <c r="AH783" s="7">
        <f t="shared" si="12"/>
        <v>0</v>
      </c>
      <c r="AI783" s="18"/>
      <c r="AJ783" s="18"/>
    </row>
    <row r="784" spans="1:38" ht="26.65" customHeight="1" x14ac:dyDescent="0.25">
      <c r="A784" s="10" t="s">
        <v>10350</v>
      </c>
      <c r="B784" s="9" t="s">
        <v>3030</v>
      </c>
      <c r="C784" s="9" t="s">
        <v>34</v>
      </c>
      <c r="D784" s="9" t="s">
        <v>3031</v>
      </c>
      <c r="E784" s="9" t="s">
        <v>35</v>
      </c>
      <c r="F784" s="9" t="s">
        <v>36</v>
      </c>
      <c r="G784" s="9">
        <v>5</v>
      </c>
      <c r="H784" s="9">
        <v>84219999</v>
      </c>
      <c r="I784" s="11" t="s">
        <v>37</v>
      </c>
      <c r="J784" s="12">
        <v>1.6500000000000001E-2</v>
      </c>
      <c r="K784" s="12">
        <v>7.5999999999999998E-2</v>
      </c>
      <c r="L784" s="12">
        <v>5.1999999999999998E-2</v>
      </c>
      <c r="M784" s="13">
        <v>8003453809918</v>
      </c>
      <c r="N784" s="14">
        <v>0</v>
      </c>
      <c r="O784" s="14">
        <v>0</v>
      </c>
      <c r="P784" s="15">
        <v>45566</v>
      </c>
      <c r="Q784" s="16" t="s">
        <v>10347</v>
      </c>
      <c r="R784" s="17" t="s">
        <v>10351</v>
      </c>
      <c r="S784" s="17" t="s">
        <v>35</v>
      </c>
      <c r="T784" s="17" t="s">
        <v>35</v>
      </c>
      <c r="U784" s="17" t="s">
        <v>35</v>
      </c>
      <c r="V784" s="17" t="s">
        <v>35</v>
      </c>
      <c r="W784" s="17" t="s">
        <v>35</v>
      </c>
      <c r="X784" s="17" t="s">
        <v>35</v>
      </c>
      <c r="Y784" s="17" t="s">
        <v>35</v>
      </c>
      <c r="Z784" s="17" t="s">
        <v>10351</v>
      </c>
      <c r="AA784" s="17" t="s">
        <v>35</v>
      </c>
      <c r="AB784" s="17" t="s">
        <v>10352</v>
      </c>
      <c r="AC784" s="17" t="s">
        <v>9539</v>
      </c>
      <c r="AD784" s="41">
        <v>262.43</v>
      </c>
      <c r="AE784" s="41">
        <v>276.08</v>
      </c>
      <c r="AF784" s="48"/>
      <c r="AG784" s="44"/>
      <c r="AH784" s="7">
        <f t="shared" si="12"/>
        <v>0</v>
      </c>
      <c r="AI784" s="18"/>
      <c r="AJ784" s="18"/>
    </row>
    <row r="785" spans="1:38" ht="26.65" customHeight="1" x14ac:dyDescent="0.25">
      <c r="A785" s="10" t="s">
        <v>4858</v>
      </c>
      <c r="B785" s="9" t="s">
        <v>3056</v>
      </c>
      <c r="C785" s="9" t="s">
        <v>34</v>
      </c>
      <c r="D785" s="9" t="s">
        <v>3031</v>
      </c>
      <c r="E785" s="9" t="s">
        <v>35</v>
      </c>
      <c r="F785" s="9" t="s">
        <v>36</v>
      </c>
      <c r="G785" s="9">
        <v>1</v>
      </c>
      <c r="H785" s="9">
        <v>84219999</v>
      </c>
      <c r="I785" s="11" t="s">
        <v>37</v>
      </c>
      <c r="J785" s="12">
        <v>1.6500000000000001E-2</v>
      </c>
      <c r="K785" s="12">
        <v>7.5999999999999998E-2</v>
      </c>
      <c r="L785" s="12">
        <v>5.1999999999999998E-2</v>
      </c>
      <c r="M785" s="13">
        <v>8003453104648</v>
      </c>
      <c r="N785" s="14">
        <v>2.12</v>
      </c>
      <c r="O785" s="14">
        <v>2.34</v>
      </c>
      <c r="P785" s="15">
        <v>45139</v>
      </c>
      <c r="Q785" s="16" t="s">
        <v>4859</v>
      </c>
      <c r="R785" s="17" t="s">
        <v>4860</v>
      </c>
      <c r="S785" s="17" t="s">
        <v>4861</v>
      </c>
      <c r="T785" s="17" t="s">
        <v>4862</v>
      </c>
      <c r="U785" s="17" t="s">
        <v>35</v>
      </c>
      <c r="V785" s="17" t="s">
        <v>35</v>
      </c>
      <c r="W785" s="17" t="s">
        <v>35</v>
      </c>
      <c r="X785" s="17" t="s">
        <v>4863</v>
      </c>
      <c r="Y785" s="17" t="s">
        <v>35</v>
      </c>
      <c r="Z785" s="17" t="s">
        <v>4864</v>
      </c>
      <c r="AA785" s="17" t="s">
        <v>4865</v>
      </c>
      <c r="AB785" s="17" t="s">
        <v>4866</v>
      </c>
      <c r="AC785" s="17" t="s">
        <v>9539</v>
      </c>
      <c r="AD785" s="42">
        <v>150.88</v>
      </c>
      <c r="AE785" s="42">
        <v>158.72999999999999</v>
      </c>
      <c r="AF785" s="48"/>
      <c r="AG785" s="44"/>
      <c r="AH785" s="7">
        <f t="shared" si="12"/>
        <v>0</v>
      </c>
      <c r="AI785" s="18"/>
      <c r="AJ785" s="18"/>
    </row>
    <row r="786" spans="1:38" ht="26.65" customHeight="1" x14ac:dyDescent="0.25">
      <c r="A786" s="10" t="s">
        <v>4867</v>
      </c>
      <c r="B786" s="9" t="s">
        <v>3056</v>
      </c>
      <c r="C786" s="9" t="s">
        <v>34</v>
      </c>
      <c r="D786" s="9" t="s">
        <v>3031</v>
      </c>
      <c r="E786" s="9" t="s">
        <v>35</v>
      </c>
      <c r="F786" s="9" t="s">
        <v>36</v>
      </c>
      <c r="G786" s="9">
        <v>1</v>
      </c>
      <c r="H786" s="9">
        <v>84219999</v>
      </c>
      <c r="I786" s="11" t="s">
        <v>37</v>
      </c>
      <c r="J786" s="12">
        <v>1.6500000000000001E-2</v>
      </c>
      <c r="K786" s="12">
        <v>7.5999999999999998E-2</v>
      </c>
      <c r="L786" s="12">
        <v>5.1999999999999998E-2</v>
      </c>
      <c r="M786" s="13">
        <v>8003453104655</v>
      </c>
      <c r="N786" s="14">
        <v>0.93400000000000005</v>
      </c>
      <c r="O786" s="14">
        <v>1.02</v>
      </c>
      <c r="P786" s="15">
        <v>45139</v>
      </c>
      <c r="Q786" s="16" t="s">
        <v>4868</v>
      </c>
      <c r="R786" s="17" t="s">
        <v>4869</v>
      </c>
      <c r="S786" s="17" t="s">
        <v>4870</v>
      </c>
      <c r="T786" s="17" t="s">
        <v>4871</v>
      </c>
      <c r="U786" s="17" t="s">
        <v>35</v>
      </c>
      <c r="V786" s="17" t="s">
        <v>35</v>
      </c>
      <c r="W786" s="17" t="s">
        <v>35</v>
      </c>
      <c r="X786" s="17" t="s">
        <v>4872</v>
      </c>
      <c r="Y786" s="17" t="s">
        <v>35</v>
      </c>
      <c r="Z786" s="17" t="s">
        <v>4873</v>
      </c>
      <c r="AA786" s="17" t="s">
        <v>35</v>
      </c>
      <c r="AB786" s="17" t="s">
        <v>4874</v>
      </c>
      <c r="AC786" s="17" t="s">
        <v>9539</v>
      </c>
      <c r="AD786" s="42">
        <v>98.11</v>
      </c>
      <c r="AE786" s="42">
        <v>103.21</v>
      </c>
      <c r="AF786" s="48"/>
      <c r="AG786" s="44"/>
      <c r="AH786" s="7">
        <f t="shared" si="12"/>
        <v>0</v>
      </c>
      <c r="AI786" s="18"/>
      <c r="AJ786" s="18"/>
    </row>
    <row r="787" spans="1:38" ht="26.65" customHeight="1" x14ac:dyDescent="0.25">
      <c r="A787" s="10" t="s">
        <v>4875</v>
      </c>
      <c r="B787" s="9" t="s">
        <v>3030</v>
      </c>
      <c r="C787" s="9" t="s">
        <v>34</v>
      </c>
      <c r="D787" s="9" t="s">
        <v>3031</v>
      </c>
      <c r="E787" s="9" t="s">
        <v>35</v>
      </c>
      <c r="F787" s="9" t="s">
        <v>36</v>
      </c>
      <c r="G787" s="9">
        <v>1</v>
      </c>
      <c r="H787" s="9">
        <v>84219999</v>
      </c>
      <c r="I787" s="11" t="s">
        <v>37</v>
      </c>
      <c r="J787" s="12">
        <v>1.6500000000000001E-2</v>
      </c>
      <c r="K787" s="12">
        <v>7.5999999999999998E-2</v>
      </c>
      <c r="L787" s="12">
        <v>5.1999999999999998E-2</v>
      </c>
      <c r="M787" s="13">
        <v>8003453104662</v>
      </c>
      <c r="N787" s="14">
        <v>0.42</v>
      </c>
      <c r="O787" s="14">
        <v>0.505</v>
      </c>
      <c r="P787" s="15">
        <v>45139</v>
      </c>
      <c r="Q787" s="16" t="s">
        <v>4876</v>
      </c>
      <c r="R787" s="17" t="s">
        <v>4877</v>
      </c>
      <c r="S787" s="17" t="s">
        <v>4878</v>
      </c>
      <c r="T787" s="17" t="s">
        <v>35</v>
      </c>
      <c r="U787" s="17" t="s">
        <v>35</v>
      </c>
      <c r="V787" s="17" t="s">
        <v>35</v>
      </c>
      <c r="W787" s="17" t="s">
        <v>35</v>
      </c>
      <c r="X787" s="17" t="s">
        <v>35</v>
      </c>
      <c r="Y787" s="17" t="s">
        <v>35</v>
      </c>
      <c r="Z787" s="17" t="s">
        <v>35</v>
      </c>
      <c r="AA787" s="17" t="s">
        <v>35</v>
      </c>
      <c r="AB787" s="17" t="s">
        <v>35</v>
      </c>
      <c r="AC787" s="17" t="s">
        <v>9539</v>
      </c>
      <c r="AD787" s="41">
        <v>57.08</v>
      </c>
      <c r="AE787" s="41">
        <v>60.05</v>
      </c>
      <c r="AF787" s="48"/>
      <c r="AG787" s="44"/>
      <c r="AH787" s="7">
        <f t="shared" si="12"/>
        <v>0</v>
      </c>
      <c r="AI787" s="18"/>
      <c r="AJ787" s="18"/>
      <c r="AL787" s="18"/>
    </row>
    <row r="788" spans="1:38" ht="26.65" customHeight="1" x14ac:dyDescent="0.25">
      <c r="A788" s="10" t="s">
        <v>4879</v>
      </c>
      <c r="B788" s="9" t="s">
        <v>3063</v>
      </c>
      <c r="C788" s="9" t="s">
        <v>34</v>
      </c>
      <c r="D788" s="9" t="s">
        <v>3064</v>
      </c>
      <c r="E788" s="9" t="s">
        <v>35</v>
      </c>
      <c r="F788" s="9" t="s">
        <v>36</v>
      </c>
      <c r="G788" s="9">
        <v>1</v>
      </c>
      <c r="H788" s="9">
        <v>84219999</v>
      </c>
      <c r="I788" s="11" t="s">
        <v>37</v>
      </c>
      <c r="J788" s="12">
        <v>1.6500000000000001E-2</v>
      </c>
      <c r="K788" s="12">
        <v>7.5999999999999998E-2</v>
      </c>
      <c r="L788" s="12">
        <v>5.1999999999999998E-2</v>
      </c>
      <c r="M788" s="13">
        <v>8003453104679</v>
      </c>
      <c r="N788" s="14">
        <v>0.91800000000000004</v>
      </c>
      <c r="O788" s="14">
        <v>1.0209999999999999</v>
      </c>
      <c r="P788" s="15">
        <v>45200</v>
      </c>
      <c r="Q788" s="16" t="s">
        <v>4880</v>
      </c>
      <c r="R788" s="17" t="s">
        <v>4881</v>
      </c>
      <c r="S788" s="17" t="s">
        <v>35</v>
      </c>
      <c r="T788" s="17" t="s">
        <v>35</v>
      </c>
      <c r="U788" s="17" t="s">
        <v>35</v>
      </c>
      <c r="V788" s="17" t="s">
        <v>35</v>
      </c>
      <c r="W788" s="17" t="s">
        <v>35</v>
      </c>
      <c r="X788" s="17" t="s">
        <v>35</v>
      </c>
      <c r="Y788" s="17" t="s">
        <v>4882</v>
      </c>
      <c r="Z788" s="17" t="s">
        <v>4883</v>
      </c>
      <c r="AA788" s="17" t="s">
        <v>35</v>
      </c>
      <c r="AB788" s="17" t="s">
        <v>4884</v>
      </c>
      <c r="AC788" s="17" t="s">
        <v>9539</v>
      </c>
      <c r="AD788" s="42">
        <v>51.65</v>
      </c>
      <c r="AE788" s="42">
        <v>54.34</v>
      </c>
      <c r="AF788" s="48"/>
      <c r="AG788" s="44"/>
      <c r="AH788" s="7">
        <f t="shared" si="12"/>
        <v>0</v>
      </c>
      <c r="AI788" s="18"/>
      <c r="AJ788" s="18"/>
    </row>
    <row r="789" spans="1:38" ht="26.65" customHeight="1" x14ac:dyDescent="0.25">
      <c r="A789" s="10" t="s">
        <v>4885</v>
      </c>
      <c r="B789" s="9" t="s">
        <v>3030</v>
      </c>
      <c r="C789" s="9" t="s">
        <v>34</v>
      </c>
      <c r="D789" s="9" t="s">
        <v>3031</v>
      </c>
      <c r="E789" s="9" t="s">
        <v>35</v>
      </c>
      <c r="F789" s="9" t="s">
        <v>36</v>
      </c>
      <c r="G789" s="9">
        <v>1</v>
      </c>
      <c r="H789" s="9">
        <v>84219999</v>
      </c>
      <c r="I789" s="11" t="s">
        <v>37</v>
      </c>
      <c r="J789" s="12">
        <v>1.6500000000000001E-2</v>
      </c>
      <c r="K789" s="12">
        <v>7.5999999999999998E-2</v>
      </c>
      <c r="L789" s="12">
        <v>5.1999999999999998E-2</v>
      </c>
      <c r="M789" s="13">
        <v>8003453104693</v>
      </c>
      <c r="N789" s="14">
        <v>2.2869999999999999</v>
      </c>
      <c r="O789" s="14">
        <v>2.4590000000000001</v>
      </c>
      <c r="P789" s="15">
        <v>45139</v>
      </c>
      <c r="Q789" s="16" t="s">
        <v>4886</v>
      </c>
      <c r="R789" s="17" t="s">
        <v>4887</v>
      </c>
      <c r="S789" s="17" t="s">
        <v>4888</v>
      </c>
      <c r="T789" s="17" t="s">
        <v>3772</v>
      </c>
      <c r="U789" s="17" t="s">
        <v>35</v>
      </c>
      <c r="V789" s="17" t="s">
        <v>35</v>
      </c>
      <c r="W789" s="17" t="s">
        <v>35</v>
      </c>
      <c r="X789" s="17" t="s">
        <v>35</v>
      </c>
      <c r="Y789" s="17" t="s">
        <v>35</v>
      </c>
      <c r="Z789" s="17" t="s">
        <v>4889</v>
      </c>
      <c r="AA789" s="17" t="s">
        <v>35</v>
      </c>
      <c r="AB789" s="17" t="s">
        <v>35</v>
      </c>
      <c r="AC789" s="17" t="s">
        <v>9539</v>
      </c>
      <c r="AD789" s="41">
        <v>45.51</v>
      </c>
      <c r="AE789" s="41">
        <v>47.88</v>
      </c>
      <c r="AF789" s="48"/>
      <c r="AG789" s="44"/>
      <c r="AH789" s="7">
        <f t="shared" si="12"/>
        <v>0</v>
      </c>
      <c r="AI789" s="18"/>
      <c r="AJ789" s="18"/>
      <c r="AL789" s="18"/>
    </row>
    <row r="790" spans="1:38" ht="26.65" customHeight="1" x14ac:dyDescent="0.25">
      <c r="A790" s="10" t="s">
        <v>4890</v>
      </c>
      <c r="B790" s="9" t="s">
        <v>3030</v>
      </c>
      <c r="C790" s="9" t="s">
        <v>34</v>
      </c>
      <c r="D790" s="9" t="s">
        <v>3031</v>
      </c>
      <c r="E790" s="9" t="s">
        <v>35</v>
      </c>
      <c r="F790" s="9" t="s">
        <v>36</v>
      </c>
      <c r="G790" s="9">
        <v>1</v>
      </c>
      <c r="H790" s="9">
        <v>84219999</v>
      </c>
      <c r="I790" s="11" t="s">
        <v>37</v>
      </c>
      <c r="J790" s="12">
        <v>1.6500000000000001E-2</v>
      </c>
      <c r="K790" s="12">
        <v>7.5999999999999998E-2</v>
      </c>
      <c r="L790" s="12">
        <v>5.1999999999999998E-2</v>
      </c>
      <c r="M790" s="13">
        <v>8003453104716</v>
      </c>
      <c r="N790" s="14">
        <v>2.5670000000000002</v>
      </c>
      <c r="O790" s="14">
        <v>2.82</v>
      </c>
      <c r="P790" s="15">
        <v>45139</v>
      </c>
      <c r="Q790" s="16" t="s">
        <v>4891</v>
      </c>
      <c r="R790" s="17" t="s">
        <v>4892</v>
      </c>
      <c r="S790" s="17" t="s">
        <v>4893</v>
      </c>
      <c r="T790" s="17" t="s">
        <v>35</v>
      </c>
      <c r="U790" s="17" t="s">
        <v>35</v>
      </c>
      <c r="V790" s="17" t="s">
        <v>35</v>
      </c>
      <c r="W790" s="17" t="s">
        <v>35</v>
      </c>
      <c r="X790" s="17" t="s">
        <v>35</v>
      </c>
      <c r="Y790" s="17" t="s">
        <v>35</v>
      </c>
      <c r="Z790" s="17" t="s">
        <v>4894</v>
      </c>
      <c r="AA790" s="17" t="s">
        <v>35</v>
      </c>
      <c r="AB790" s="17" t="s">
        <v>35</v>
      </c>
      <c r="AC790" s="17" t="s">
        <v>9539</v>
      </c>
      <c r="AD790" s="42">
        <v>161.36000000000001</v>
      </c>
      <c r="AE790" s="42">
        <v>169.75</v>
      </c>
      <c r="AF790" s="48"/>
      <c r="AG790" s="44"/>
      <c r="AH790" s="7">
        <f t="shared" si="12"/>
        <v>0</v>
      </c>
      <c r="AI790" s="18"/>
      <c r="AJ790" s="18"/>
    </row>
    <row r="791" spans="1:38" ht="26.65" customHeight="1" x14ac:dyDescent="0.25">
      <c r="A791" s="10" t="s">
        <v>4895</v>
      </c>
      <c r="B791" s="9" t="s">
        <v>3030</v>
      </c>
      <c r="C791" s="9" t="s">
        <v>34</v>
      </c>
      <c r="D791" s="9" t="s">
        <v>3031</v>
      </c>
      <c r="E791" s="9" t="s">
        <v>35</v>
      </c>
      <c r="F791" s="9" t="s">
        <v>36</v>
      </c>
      <c r="G791" s="9">
        <v>1</v>
      </c>
      <c r="H791" s="9">
        <v>84219999</v>
      </c>
      <c r="I791" s="11" t="s">
        <v>37</v>
      </c>
      <c r="J791" s="12">
        <v>1.6500000000000001E-2</v>
      </c>
      <c r="K791" s="12">
        <v>7.5999999999999998E-2</v>
      </c>
      <c r="L791" s="12">
        <v>5.1999999999999998E-2</v>
      </c>
      <c r="M791" s="13">
        <v>8003453104723</v>
      </c>
      <c r="N791" s="14">
        <v>0.64500000000000002</v>
      </c>
      <c r="O791" s="14">
        <v>0.746</v>
      </c>
      <c r="P791" s="15">
        <v>45139</v>
      </c>
      <c r="Q791" s="16" t="s">
        <v>4896</v>
      </c>
      <c r="R791" s="17" t="s">
        <v>4897</v>
      </c>
      <c r="S791" s="17" t="s">
        <v>4898</v>
      </c>
      <c r="T791" s="17" t="s">
        <v>35</v>
      </c>
      <c r="U791" s="17" t="s">
        <v>35</v>
      </c>
      <c r="V791" s="17" t="s">
        <v>35</v>
      </c>
      <c r="W791" s="17" t="s">
        <v>35</v>
      </c>
      <c r="X791" s="17" t="s">
        <v>35</v>
      </c>
      <c r="Y791" s="17" t="s">
        <v>35</v>
      </c>
      <c r="Z791" s="17" t="s">
        <v>35</v>
      </c>
      <c r="AA791" s="17" t="s">
        <v>35</v>
      </c>
      <c r="AB791" s="17" t="s">
        <v>35</v>
      </c>
      <c r="AC791" s="17" t="s">
        <v>9539</v>
      </c>
      <c r="AD791" s="41">
        <v>55.88</v>
      </c>
      <c r="AE791" s="41">
        <v>58.79</v>
      </c>
      <c r="AF791" s="48"/>
      <c r="AG791" s="44"/>
      <c r="AH791" s="7">
        <f t="shared" si="12"/>
        <v>0</v>
      </c>
      <c r="AI791" s="18"/>
      <c r="AJ791" s="18"/>
      <c r="AL791" s="18"/>
    </row>
    <row r="792" spans="1:38" ht="26.65" customHeight="1" x14ac:dyDescent="0.25">
      <c r="A792" s="10" t="s">
        <v>4899</v>
      </c>
      <c r="B792" s="9" t="s">
        <v>3030</v>
      </c>
      <c r="C792" s="9" t="s">
        <v>34</v>
      </c>
      <c r="D792" s="9" t="s">
        <v>3207</v>
      </c>
      <c r="E792" s="9" t="s">
        <v>35</v>
      </c>
      <c r="F792" s="9" t="s">
        <v>36</v>
      </c>
      <c r="G792" s="9">
        <v>1</v>
      </c>
      <c r="H792" s="9">
        <v>84219999</v>
      </c>
      <c r="I792" s="11" t="s">
        <v>37</v>
      </c>
      <c r="J792" s="12">
        <v>1.6500000000000001E-2</v>
      </c>
      <c r="K792" s="12">
        <v>7.5999999999999998E-2</v>
      </c>
      <c r="L792" s="12">
        <v>5.1999999999999998E-2</v>
      </c>
      <c r="M792" s="13">
        <v>8003453104747</v>
      </c>
      <c r="N792" s="14">
        <v>0.87</v>
      </c>
      <c r="O792" s="14">
        <v>1.03</v>
      </c>
      <c r="P792" s="15">
        <v>44868</v>
      </c>
      <c r="Q792" s="16" t="s">
        <v>4880</v>
      </c>
      <c r="R792" s="17" t="s">
        <v>4900</v>
      </c>
      <c r="S792" s="17" t="s">
        <v>4901</v>
      </c>
      <c r="T792" s="17" t="s">
        <v>35</v>
      </c>
      <c r="U792" s="17" t="s">
        <v>35</v>
      </c>
      <c r="V792" s="17" t="s">
        <v>35</v>
      </c>
      <c r="W792" s="17" t="s">
        <v>35</v>
      </c>
      <c r="X792" s="17" t="s">
        <v>35</v>
      </c>
      <c r="Y792" s="17" t="s">
        <v>4902</v>
      </c>
      <c r="Z792" s="17" t="s">
        <v>4903</v>
      </c>
      <c r="AA792" s="17" t="s">
        <v>35</v>
      </c>
      <c r="AB792" s="17" t="s">
        <v>4904</v>
      </c>
      <c r="AC792" s="17" t="s">
        <v>9539</v>
      </c>
      <c r="AD792" s="42">
        <v>87.11</v>
      </c>
      <c r="AE792" s="42">
        <v>91.64</v>
      </c>
      <c r="AF792" s="48"/>
      <c r="AG792" s="44"/>
      <c r="AH792" s="7">
        <f t="shared" si="12"/>
        <v>0</v>
      </c>
      <c r="AI792" s="18"/>
      <c r="AJ792" s="18"/>
    </row>
    <row r="793" spans="1:38" ht="26.65" customHeight="1" x14ac:dyDescent="0.25">
      <c r="A793" s="10" t="s">
        <v>4905</v>
      </c>
      <c r="B793" s="9" t="s">
        <v>3030</v>
      </c>
      <c r="C793" s="9" t="s">
        <v>34</v>
      </c>
      <c r="D793" s="9" t="s">
        <v>3031</v>
      </c>
      <c r="E793" s="9" t="s">
        <v>35</v>
      </c>
      <c r="F793" s="9" t="s">
        <v>36</v>
      </c>
      <c r="G793" s="9">
        <v>1</v>
      </c>
      <c r="H793" s="9">
        <v>84219999</v>
      </c>
      <c r="I793" s="11" t="s">
        <v>37</v>
      </c>
      <c r="J793" s="12">
        <v>1.6500000000000001E-2</v>
      </c>
      <c r="K793" s="12">
        <v>7.5999999999999998E-2</v>
      </c>
      <c r="L793" s="12">
        <v>5.1999999999999998E-2</v>
      </c>
      <c r="M793" s="13">
        <v>8003453104754</v>
      </c>
      <c r="N793" s="14">
        <v>0.83</v>
      </c>
      <c r="O793" s="14">
        <v>1.02</v>
      </c>
      <c r="P793" s="15">
        <v>44805</v>
      </c>
      <c r="Q793" s="16" t="s">
        <v>4906</v>
      </c>
      <c r="R793" s="17" t="s">
        <v>4907</v>
      </c>
      <c r="S793" s="17" t="s">
        <v>35</v>
      </c>
      <c r="T793" s="17" t="s">
        <v>35</v>
      </c>
      <c r="U793" s="17" t="s">
        <v>35</v>
      </c>
      <c r="V793" s="17" t="s">
        <v>35</v>
      </c>
      <c r="W793" s="17" t="s">
        <v>35</v>
      </c>
      <c r="X793" s="17" t="s">
        <v>35</v>
      </c>
      <c r="Y793" s="17" t="s">
        <v>35</v>
      </c>
      <c r="Z793" s="17" t="s">
        <v>4908</v>
      </c>
      <c r="AA793" s="17" t="s">
        <v>35</v>
      </c>
      <c r="AB793" s="17" t="s">
        <v>4909</v>
      </c>
      <c r="AC793" s="17" t="s">
        <v>9539</v>
      </c>
      <c r="AD793" s="42">
        <v>77.86</v>
      </c>
      <c r="AE793" s="42">
        <v>81.91</v>
      </c>
      <c r="AF793" s="48"/>
      <c r="AG793" s="44"/>
      <c r="AH793" s="7">
        <f t="shared" si="12"/>
        <v>0</v>
      </c>
      <c r="AI793" s="18"/>
      <c r="AJ793" s="18"/>
    </row>
    <row r="794" spans="1:38" ht="26.65" customHeight="1" x14ac:dyDescent="0.25">
      <c r="A794" s="10" t="s">
        <v>4910</v>
      </c>
      <c r="B794" s="9" t="s">
        <v>3030</v>
      </c>
      <c r="C794" s="9" t="s">
        <v>34</v>
      </c>
      <c r="D794" s="9" t="s">
        <v>4911</v>
      </c>
      <c r="E794" s="9" t="s">
        <v>35</v>
      </c>
      <c r="F794" s="9" t="s">
        <v>2072</v>
      </c>
      <c r="G794" s="9">
        <v>1</v>
      </c>
      <c r="H794" s="9">
        <v>84219999</v>
      </c>
      <c r="I794" s="11" t="s">
        <v>2073</v>
      </c>
      <c r="J794" s="12">
        <v>1.6500000000000001E-2</v>
      </c>
      <c r="K794" s="12">
        <v>7.5999999999999998E-2</v>
      </c>
      <c r="L794" s="12">
        <v>0</v>
      </c>
      <c r="M794" s="13" t="s">
        <v>4912</v>
      </c>
      <c r="N794" s="14">
        <v>1.1200000000000001</v>
      </c>
      <c r="O794" s="14">
        <v>1.1499999999999999</v>
      </c>
      <c r="P794" s="15" t="s">
        <v>35</v>
      </c>
      <c r="Q794" s="16" t="s">
        <v>4913</v>
      </c>
      <c r="R794" s="17" t="s">
        <v>4914</v>
      </c>
      <c r="S794" s="17" t="s">
        <v>4915</v>
      </c>
      <c r="T794" s="17" t="s">
        <v>35</v>
      </c>
      <c r="U794" s="17" t="s">
        <v>4916</v>
      </c>
      <c r="V794" s="17" t="s">
        <v>4917</v>
      </c>
      <c r="W794" s="17" t="s">
        <v>4918</v>
      </c>
      <c r="X794" s="17" t="s">
        <v>4919</v>
      </c>
      <c r="Y794" s="17" t="s">
        <v>4920</v>
      </c>
      <c r="Z794" s="17" t="s">
        <v>4921</v>
      </c>
      <c r="AA794" s="17" t="s">
        <v>35</v>
      </c>
      <c r="AB794" s="17" t="s">
        <v>4922</v>
      </c>
      <c r="AC794" s="17" t="s">
        <v>9539</v>
      </c>
      <c r="AD794" s="41">
        <v>65.739999999999995</v>
      </c>
      <c r="AE794" s="41">
        <v>65.739999999999995</v>
      </c>
      <c r="AF794" s="48"/>
      <c r="AG794" s="44"/>
      <c r="AH794" s="7">
        <f t="shared" si="12"/>
        <v>0</v>
      </c>
      <c r="AI794" s="18"/>
      <c r="AJ794" s="18"/>
    </row>
    <row r="795" spans="1:38" ht="26.65" customHeight="1" x14ac:dyDescent="0.25">
      <c r="A795" s="10" t="s">
        <v>4923</v>
      </c>
      <c r="B795" s="9" t="s">
        <v>3063</v>
      </c>
      <c r="C795" s="9" t="s">
        <v>34</v>
      </c>
      <c r="D795" s="9" t="s">
        <v>3064</v>
      </c>
      <c r="E795" s="9" t="s">
        <v>35</v>
      </c>
      <c r="F795" s="9" t="s">
        <v>36</v>
      </c>
      <c r="G795" s="9">
        <v>1</v>
      </c>
      <c r="H795" s="9">
        <v>84219999</v>
      </c>
      <c r="I795" s="11" t="s">
        <v>37</v>
      </c>
      <c r="J795" s="12">
        <v>1.6500000000000001E-2</v>
      </c>
      <c r="K795" s="12">
        <v>7.5999999999999998E-2</v>
      </c>
      <c r="L795" s="12">
        <v>5.1999999999999998E-2</v>
      </c>
      <c r="M795" s="13">
        <v>8003453104839</v>
      </c>
      <c r="N795" s="14">
        <v>0.73</v>
      </c>
      <c r="O795" s="14">
        <v>0.85</v>
      </c>
      <c r="P795" s="15">
        <v>44835</v>
      </c>
      <c r="Q795" s="16" t="s">
        <v>4924</v>
      </c>
      <c r="R795" s="17" t="s">
        <v>4925</v>
      </c>
      <c r="S795" s="17" t="s">
        <v>4926</v>
      </c>
      <c r="T795" s="17" t="s">
        <v>35</v>
      </c>
      <c r="U795" s="17" t="s">
        <v>4927</v>
      </c>
      <c r="V795" s="17" t="s">
        <v>4928</v>
      </c>
      <c r="W795" s="17" t="s">
        <v>4929</v>
      </c>
      <c r="X795" s="17" t="s">
        <v>35</v>
      </c>
      <c r="Y795" s="17" t="s">
        <v>4930</v>
      </c>
      <c r="Z795" s="17" t="s">
        <v>4931</v>
      </c>
      <c r="AA795" s="17" t="s">
        <v>35</v>
      </c>
      <c r="AB795" s="17" t="s">
        <v>4932</v>
      </c>
      <c r="AC795" s="17" t="s">
        <v>9539</v>
      </c>
      <c r="AD795" s="41">
        <v>45.62</v>
      </c>
      <c r="AE795" s="41">
        <v>47.99</v>
      </c>
      <c r="AF795" s="48"/>
      <c r="AG795" s="44"/>
      <c r="AH795" s="7">
        <f t="shared" si="12"/>
        <v>0</v>
      </c>
      <c r="AI795" s="18"/>
      <c r="AJ795" s="18"/>
      <c r="AL795" s="18"/>
    </row>
    <row r="796" spans="1:38" ht="26.65" customHeight="1" x14ac:dyDescent="0.25">
      <c r="A796" s="10" t="s">
        <v>9159</v>
      </c>
      <c r="B796" s="9" t="s">
        <v>3206</v>
      </c>
      <c r="C796" s="9" t="s">
        <v>34</v>
      </c>
      <c r="D796" s="9" t="s">
        <v>3306</v>
      </c>
      <c r="E796" s="9" t="s">
        <v>35</v>
      </c>
      <c r="F796" s="9" t="s">
        <v>36</v>
      </c>
      <c r="G796" s="9">
        <v>1</v>
      </c>
      <c r="H796" s="9">
        <v>84219999</v>
      </c>
      <c r="I796" s="11" t="s">
        <v>37</v>
      </c>
      <c r="J796" s="12">
        <v>1.6500000000000001E-2</v>
      </c>
      <c r="K796" s="12">
        <v>7.5999999999999998E-2</v>
      </c>
      <c r="L796" s="12">
        <v>5.1999999999999998E-2</v>
      </c>
      <c r="M796" s="13">
        <v>8003453105294</v>
      </c>
      <c r="N796" s="14">
        <v>0.82</v>
      </c>
      <c r="O796" s="14">
        <v>0.95</v>
      </c>
      <c r="P796" s="15">
        <v>45383</v>
      </c>
      <c r="Q796" s="16" t="s">
        <v>9160</v>
      </c>
      <c r="R796" s="17" t="s">
        <v>35</v>
      </c>
      <c r="S796" s="17" t="s">
        <v>35</v>
      </c>
      <c r="T796" s="17" t="s">
        <v>35</v>
      </c>
      <c r="U796" s="17" t="s">
        <v>35</v>
      </c>
      <c r="V796" s="17" t="s">
        <v>35</v>
      </c>
      <c r="W796" s="17" t="s">
        <v>35</v>
      </c>
      <c r="X796" s="17" t="s">
        <v>35</v>
      </c>
      <c r="Y796" s="17" t="s">
        <v>35</v>
      </c>
      <c r="Z796" s="17" t="s">
        <v>9161</v>
      </c>
      <c r="AA796" s="17" t="s">
        <v>35</v>
      </c>
      <c r="AB796" s="17" t="s">
        <v>35</v>
      </c>
      <c r="AC796" s="17" t="s">
        <v>9539</v>
      </c>
      <c r="AD796" s="42">
        <v>115.27</v>
      </c>
      <c r="AE796" s="42">
        <v>121.26</v>
      </c>
      <c r="AF796" s="48"/>
      <c r="AG796" s="44"/>
      <c r="AH796" s="7">
        <f t="shared" si="12"/>
        <v>0</v>
      </c>
      <c r="AI796" s="18"/>
      <c r="AJ796" s="18"/>
    </row>
    <row r="797" spans="1:38" ht="26.65" customHeight="1" x14ac:dyDescent="0.25">
      <c r="A797" s="10" t="s">
        <v>9162</v>
      </c>
      <c r="B797" s="9" t="s">
        <v>3086</v>
      </c>
      <c r="C797" s="9" t="s">
        <v>34</v>
      </c>
      <c r="D797" s="9" t="s">
        <v>3306</v>
      </c>
      <c r="E797" s="9" t="s">
        <v>35</v>
      </c>
      <c r="F797" s="9" t="s">
        <v>36</v>
      </c>
      <c r="G797" s="9">
        <v>1</v>
      </c>
      <c r="H797" s="9">
        <v>84219999</v>
      </c>
      <c r="I797" s="11" t="s">
        <v>37</v>
      </c>
      <c r="J797" s="12">
        <v>1.6500000000000001E-2</v>
      </c>
      <c r="K797" s="12">
        <v>7.5999999999999998E-2</v>
      </c>
      <c r="L797" s="12">
        <v>5.1999999999999998E-2</v>
      </c>
      <c r="M797" s="13">
        <v>8003453105324</v>
      </c>
      <c r="N797" s="14">
        <v>1.48</v>
      </c>
      <c r="O797" s="14">
        <v>1.8</v>
      </c>
      <c r="P797" s="15">
        <v>45383</v>
      </c>
      <c r="Q797" s="16" t="s">
        <v>9160</v>
      </c>
      <c r="R797" s="17" t="s">
        <v>35</v>
      </c>
      <c r="S797" s="17" t="s">
        <v>35</v>
      </c>
      <c r="T797" s="17" t="s">
        <v>35</v>
      </c>
      <c r="U797" s="17" t="s">
        <v>35</v>
      </c>
      <c r="V797" s="17" t="s">
        <v>35</v>
      </c>
      <c r="W797" s="17" t="s">
        <v>35</v>
      </c>
      <c r="X797" s="17" t="s">
        <v>35</v>
      </c>
      <c r="Y797" s="17" t="s">
        <v>35</v>
      </c>
      <c r="Z797" s="17" t="s">
        <v>9163</v>
      </c>
      <c r="AA797" s="17" t="s">
        <v>35</v>
      </c>
      <c r="AB797" s="17" t="s">
        <v>35</v>
      </c>
      <c r="AC797" s="17" t="s">
        <v>9539</v>
      </c>
      <c r="AD797" s="42">
        <v>162.69999999999999</v>
      </c>
      <c r="AE797" s="42">
        <v>171.16</v>
      </c>
      <c r="AF797" s="48"/>
      <c r="AG797" s="44"/>
      <c r="AH797" s="7">
        <f t="shared" si="12"/>
        <v>0</v>
      </c>
      <c r="AI797" s="18"/>
      <c r="AJ797" s="18"/>
    </row>
    <row r="798" spans="1:38" ht="26.65" customHeight="1" x14ac:dyDescent="0.25">
      <c r="A798" s="10" t="s">
        <v>4933</v>
      </c>
      <c r="B798" s="9" t="s">
        <v>3086</v>
      </c>
      <c r="C798" s="9" t="s">
        <v>34</v>
      </c>
      <c r="D798" s="9" t="s">
        <v>3064</v>
      </c>
      <c r="E798" s="9" t="s">
        <v>35</v>
      </c>
      <c r="F798" s="9" t="s">
        <v>36</v>
      </c>
      <c r="G798" s="9">
        <v>1</v>
      </c>
      <c r="H798" s="9">
        <v>84219999</v>
      </c>
      <c r="I798" s="11" t="s">
        <v>37</v>
      </c>
      <c r="J798" s="12">
        <v>1.6500000000000001E-2</v>
      </c>
      <c r="K798" s="12">
        <v>7.5999999999999998E-2</v>
      </c>
      <c r="L798" s="12">
        <v>5.1999999999999998E-2</v>
      </c>
      <c r="M798" s="13">
        <v>8003453105461</v>
      </c>
      <c r="N798" s="14">
        <v>0.15</v>
      </c>
      <c r="O798" s="14">
        <v>0.16800000000000001</v>
      </c>
      <c r="P798" s="15">
        <v>45047</v>
      </c>
      <c r="Q798" s="16" t="s">
        <v>4934</v>
      </c>
      <c r="R798" s="17" t="s">
        <v>4935</v>
      </c>
      <c r="S798" s="17" t="s">
        <v>4936</v>
      </c>
      <c r="T798" s="17" t="s">
        <v>4937</v>
      </c>
      <c r="U798" s="17" t="s">
        <v>35</v>
      </c>
      <c r="V798" s="17" t="s">
        <v>35</v>
      </c>
      <c r="W798" s="17" t="s">
        <v>35</v>
      </c>
      <c r="X798" s="17" t="s">
        <v>35</v>
      </c>
      <c r="Y798" s="17" t="s">
        <v>35</v>
      </c>
      <c r="Z798" s="17" t="s">
        <v>4938</v>
      </c>
      <c r="AA798" s="17" t="s">
        <v>35</v>
      </c>
      <c r="AB798" s="17" t="s">
        <v>4939</v>
      </c>
      <c r="AC798" s="17" t="s">
        <v>9539</v>
      </c>
      <c r="AD798" s="42">
        <v>23.48</v>
      </c>
      <c r="AE798" s="42">
        <v>24.7</v>
      </c>
      <c r="AF798" s="48"/>
      <c r="AG798" s="44"/>
      <c r="AH798" s="7">
        <f t="shared" si="12"/>
        <v>0</v>
      </c>
      <c r="AI798" s="18"/>
      <c r="AJ798" s="18"/>
    </row>
    <row r="799" spans="1:38" ht="26.65" customHeight="1" x14ac:dyDescent="0.25">
      <c r="A799" s="10" t="s">
        <v>10353</v>
      </c>
      <c r="B799" s="9" t="s">
        <v>3030</v>
      </c>
      <c r="C799" s="9" t="s">
        <v>34</v>
      </c>
      <c r="D799" s="9" t="s">
        <v>3031</v>
      </c>
      <c r="E799" s="9" t="s">
        <v>35</v>
      </c>
      <c r="F799" s="9" t="s">
        <v>36</v>
      </c>
      <c r="G799" s="9">
        <v>5</v>
      </c>
      <c r="H799" s="9">
        <v>84219999</v>
      </c>
      <c r="I799" s="11" t="s">
        <v>37</v>
      </c>
      <c r="J799" s="12">
        <v>1.6500000000000001E-2</v>
      </c>
      <c r="K799" s="12">
        <v>7.5999999999999998E-2</v>
      </c>
      <c r="L799" s="12">
        <v>5.1999999999999998E-2</v>
      </c>
      <c r="M799" s="13" t="s">
        <v>10354</v>
      </c>
      <c r="N799" s="14">
        <v>0</v>
      </c>
      <c r="O799" s="14">
        <v>0</v>
      </c>
      <c r="P799" s="15">
        <v>45566</v>
      </c>
      <c r="Q799" s="16" t="s">
        <v>4934</v>
      </c>
      <c r="R799" s="17" t="s">
        <v>35</v>
      </c>
      <c r="S799" s="17" t="s">
        <v>4936</v>
      </c>
      <c r="T799" s="17" t="s">
        <v>4937</v>
      </c>
      <c r="U799" s="17" t="s">
        <v>35</v>
      </c>
      <c r="V799" s="17" t="s">
        <v>35</v>
      </c>
      <c r="W799" s="17" t="s">
        <v>35</v>
      </c>
      <c r="X799" s="17" t="s">
        <v>10355</v>
      </c>
      <c r="Y799" s="17" t="s">
        <v>35</v>
      </c>
      <c r="Z799" s="17" t="s">
        <v>4938</v>
      </c>
      <c r="AA799" s="17" t="s">
        <v>35</v>
      </c>
      <c r="AB799" s="17" t="s">
        <v>4939</v>
      </c>
      <c r="AC799" s="17" t="s">
        <v>9539</v>
      </c>
      <c r="AD799" s="41">
        <v>21.74</v>
      </c>
      <c r="AE799" s="41">
        <v>22.87</v>
      </c>
      <c r="AF799" s="48"/>
      <c r="AG799" s="44"/>
      <c r="AH799" s="7">
        <f t="shared" si="12"/>
        <v>0</v>
      </c>
      <c r="AI799" s="18"/>
      <c r="AJ799" s="18"/>
    </row>
    <row r="800" spans="1:38" ht="26.65" customHeight="1" x14ac:dyDescent="0.25">
      <c r="A800" s="10" t="s">
        <v>10356</v>
      </c>
      <c r="B800" s="9" t="s">
        <v>3030</v>
      </c>
      <c r="C800" s="9" t="s">
        <v>34</v>
      </c>
      <c r="D800" s="9" t="s">
        <v>3207</v>
      </c>
      <c r="E800" s="9" t="s">
        <v>35</v>
      </c>
      <c r="F800" s="9" t="s">
        <v>36</v>
      </c>
      <c r="G800" s="9">
        <v>5</v>
      </c>
      <c r="H800" s="9">
        <v>84219999</v>
      </c>
      <c r="I800" s="11" t="s">
        <v>37</v>
      </c>
      <c r="J800" s="12">
        <v>1.6500000000000001E-2</v>
      </c>
      <c r="K800" s="12">
        <v>7.5999999999999998E-2</v>
      </c>
      <c r="L800" s="12">
        <v>5.1999999999999998E-2</v>
      </c>
      <c r="M800" s="13">
        <v>8003453801769</v>
      </c>
      <c r="N800" s="14">
        <v>0</v>
      </c>
      <c r="O800" s="14">
        <v>0</v>
      </c>
      <c r="P800" s="15">
        <v>45566</v>
      </c>
      <c r="Q800" s="16" t="s">
        <v>10357</v>
      </c>
      <c r="R800" s="17">
        <v>6001853110</v>
      </c>
      <c r="S800" s="17" t="s">
        <v>10358</v>
      </c>
      <c r="T800" s="17" t="s">
        <v>10359</v>
      </c>
      <c r="U800" s="17" t="s">
        <v>10360</v>
      </c>
      <c r="V800" s="17" t="s">
        <v>35</v>
      </c>
      <c r="W800" s="17" t="s">
        <v>35</v>
      </c>
      <c r="X800" s="17" t="s">
        <v>3856</v>
      </c>
      <c r="Y800" s="17" t="s">
        <v>3857</v>
      </c>
      <c r="Z800" s="17" t="s">
        <v>10361</v>
      </c>
      <c r="AA800" s="17" t="s">
        <v>35</v>
      </c>
      <c r="AB800" s="17" t="s">
        <v>10362</v>
      </c>
      <c r="AC800" s="17" t="s">
        <v>9539</v>
      </c>
      <c r="AD800" s="41">
        <v>73.67</v>
      </c>
      <c r="AE800" s="41">
        <v>77.5</v>
      </c>
      <c r="AF800" s="48"/>
      <c r="AG800" s="44"/>
      <c r="AH800" s="7">
        <f t="shared" si="12"/>
        <v>0</v>
      </c>
      <c r="AI800" s="18"/>
      <c r="AJ800" s="18"/>
    </row>
    <row r="801" spans="1:38" ht="26.65" customHeight="1" x14ac:dyDescent="0.25">
      <c r="A801" s="10" t="s">
        <v>4940</v>
      </c>
      <c r="B801" s="9" t="s">
        <v>3063</v>
      </c>
      <c r="C801" s="9" t="s">
        <v>34</v>
      </c>
      <c r="D801" s="9" t="s">
        <v>3064</v>
      </c>
      <c r="E801" s="9" t="s">
        <v>35</v>
      </c>
      <c r="F801" s="9" t="s">
        <v>36</v>
      </c>
      <c r="G801" s="9">
        <v>1</v>
      </c>
      <c r="H801" s="9">
        <v>84219999</v>
      </c>
      <c r="I801" s="11" t="s">
        <v>37</v>
      </c>
      <c r="J801" s="12">
        <v>1.6500000000000001E-2</v>
      </c>
      <c r="K801" s="12">
        <v>7.5999999999999998E-2</v>
      </c>
      <c r="L801" s="12">
        <v>5.1999999999999998E-2</v>
      </c>
      <c r="M801" s="13">
        <v>8003453105010</v>
      </c>
      <c r="N801" s="14">
        <v>0.995</v>
      </c>
      <c r="O801" s="14">
        <v>1.25</v>
      </c>
      <c r="P801" s="15">
        <v>44868</v>
      </c>
      <c r="Q801" s="16" t="s">
        <v>4941</v>
      </c>
      <c r="R801" s="17" t="s">
        <v>4942</v>
      </c>
      <c r="S801" s="17" t="s">
        <v>35</v>
      </c>
      <c r="T801" s="17" t="s">
        <v>4943</v>
      </c>
      <c r="U801" s="17" t="s">
        <v>35</v>
      </c>
      <c r="V801" s="17" t="s">
        <v>4944</v>
      </c>
      <c r="W801" s="17" t="s">
        <v>35</v>
      </c>
      <c r="X801" s="17" t="s">
        <v>35</v>
      </c>
      <c r="Y801" s="17" t="s">
        <v>4945</v>
      </c>
      <c r="Z801" s="17" t="s">
        <v>4946</v>
      </c>
      <c r="AA801" s="17" t="s">
        <v>35</v>
      </c>
      <c r="AB801" s="17" t="s">
        <v>4947</v>
      </c>
      <c r="AC801" s="17" t="s">
        <v>9539</v>
      </c>
      <c r="AD801" s="42">
        <v>46.33</v>
      </c>
      <c r="AE801" s="42">
        <v>48.74</v>
      </c>
      <c r="AF801" s="48"/>
      <c r="AG801" s="44"/>
      <c r="AH801" s="7">
        <f t="shared" si="12"/>
        <v>0</v>
      </c>
      <c r="AI801" s="18"/>
      <c r="AJ801" s="18"/>
    </row>
    <row r="802" spans="1:38" ht="26.65" customHeight="1" x14ac:dyDescent="0.25">
      <c r="A802" s="10" t="s">
        <v>4948</v>
      </c>
      <c r="B802" s="9" t="s">
        <v>3030</v>
      </c>
      <c r="C802" s="9" t="s">
        <v>34</v>
      </c>
      <c r="D802" s="9" t="s">
        <v>3031</v>
      </c>
      <c r="E802" s="9" t="s">
        <v>35</v>
      </c>
      <c r="F802" s="9" t="s">
        <v>36</v>
      </c>
      <c r="G802" s="9">
        <v>1</v>
      </c>
      <c r="H802" s="9">
        <v>84219999</v>
      </c>
      <c r="I802" s="11" t="s">
        <v>37</v>
      </c>
      <c r="J802" s="12">
        <v>1.6500000000000001E-2</v>
      </c>
      <c r="K802" s="12">
        <v>7.5999999999999998E-2</v>
      </c>
      <c r="L802" s="12">
        <v>5.1999999999999998E-2</v>
      </c>
      <c r="M802" s="13">
        <v>8003453105034</v>
      </c>
      <c r="N802" s="14">
        <v>3.42</v>
      </c>
      <c r="O802" s="14">
        <v>3.85</v>
      </c>
      <c r="P802" s="15">
        <v>45139</v>
      </c>
      <c r="Q802" s="16" t="s">
        <v>4949</v>
      </c>
      <c r="R802" s="17" t="s">
        <v>4950</v>
      </c>
      <c r="S802" s="17" t="s">
        <v>4951</v>
      </c>
      <c r="T802" s="17" t="s">
        <v>4952</v>
      </c>
      <c r="U802" s="17" t="s">
        <v>35</v>
      </c>
      <c r="V802" s="17" t="s">
        <v>35</v>
      </c>
      <c r="W802" s="17" t="s">
        <v>35</v>
      </c>
      <c r="X802" s="17" t="s">
        <v>35</v>
      </c>
      <c r="Y802" s="17" t="s">
        <v>35</v>
      </c>
      <c r="Z802" s="17" t="s">
        <v>4953</v>
      </c>
      <c r="AA802" s="17" t="s">
        <v>35</v>
      </c>
      <c r="AB802" s="17" t="s">
        <v>4954</v>
      </c>
      <c r="AC802" s="17" t="s">
        <v>9539</v>
      </c>
      <c r="AD802" s="41">
        <v>179.78</v>
      </c>
      <c r="AE802" s="41">
        <v>189.13</v>
      </c>
      <c r="AF802" s="48"/>
      <c r="AG802" s="44"/>
      <c r="AH802" s="7">
        <f t="shared" si="12"/>
        <v>0</v>
      </c>
      <c r="AI802" s="18"/>
      <c r="AJ802" s="18"/>
      <c r="AL802" s="18"/>
    </row>
    <row r="803" spans="1:38" ht="26.65" customHeight="1" x14ac:dyDescent="0.25">
      <c r="A803" s="10" t="s">
        <v>4955</v>
      </c>
      <c r="B803" s="9" t="s">
        <v>3030</v>
      </c>
      <c r="C803" s="9" t="s">
        <v>58</v>
      </c>
      <c r="D803" s="9" t="s">
        <v>3306</v>
      </c>
      <c r="E803" s="9" t="s">
        <v>35</v>
      </c>
      <c r="F803" s="9" t="s">
        <v>36</v>
      </c>
      <c r="G803" s="9">
        <v>1</v>
      </c>
      <c r="H803" s="9">
        <v>84219999</v>
      </c>
      <c r="I803" s="11" t="s">
        <v>37</v>
      </c>
      <c r="J803" s="12">
        <v>1.6500000000000001E-2</v>
      </c>
      <c r="K803" s="12">
        <v>7.5999999999999998E-2</v>
      </c>
      <c r="L803" s="12">
        <v>5.1999999999999998E-2</v>
      </c>
      <c r="M803" s="13">
        <v>8003453105072</v>
      </c>
      <c r="N803" s="14">
        <v>0.48299999999999998</v>
      </c>
      <c r="O803" s="14">
        <v>0.59</v>
      </c>
      <c r="P803" s="15">
        <v>44774</v>
      </c>
      <c r="Q803" s="16" t="s">
        <v>4956</v>
      </c>
      <c r="R803" s="17" t="s">
        <v>4957</v>
      </c>
      <c r="S803" s="17" t="s">
        <v>3646</v>
      </c>
      <c r="T803" s="17" t="s">
        <v>35</v>
      </c>
      <c r="U803" s="17" t="s">
        <v>4958</v>
      </c>
      <c r="V803" s="17" t="s">
        <v>3648</v>
      </c>
      <c r="W803" s="17" t="s">
        <v>3649</v>
      </c>
      <c r="X803" s="17" t="s">
        <v>4959</v>
      </c>
      <c r="Y803" s="17" t="s">
        <v>3650</v>
      </c>
      <c r="Z803" s="17" t="s">
        <v>4960</v>
      </c>
      <c r="AA803" s="17" t="s">
        <v>35</v>
      </c>
      <c r="AB803" s="17" t="s">
        <v>4961</v>
      </c>
      <c r="AC803" s="17" t="s">
        <v>9539</v>
      </c>
      <c r="AD803" s="42">
        <v>48.93</v>
      </c>
      <c r="AE803" s="42">
        <v>51.47</v>
      </c>
      <c r="AF803" s="48"/>
      <c r="AG803" s="44"/>
      <c r="AH803" s="7">
        <f t="shared" si="12"/>
        <v>0</v>
      </c>
      <c r="AI803" s="18"/>
      <c r="AJ803" s="18"/>
    </row>
    <row r="804" spans="1:38" ht="26.65" customHeight="1" x14ac:dyDescent="0.25">
      <c r="A804" s="10" t="s">
        <v>4962</v>
      </c>
      <c r="B804" s="9" t="s">
        <v>4712</v>
      </c>
      <c r="C804" s="9" t="s">
        <v>34</v>
      </c>
      <c r="D804" s="9" t="s">
        <v>3064</v>
      </c>
      <c r="E804" s="9" t="s">
        <v>35</v>
      </c>
      <c r="F804" s="9" t="s">
        <v>36</v>
      </c>
      <c r="G804" s="9">
        <v>1</v>
      </c>
      <c r="H804" s="9">
        <v>84219999</v>
      </c>
      <c r="I804" s="11" t="s">
        <v>37</v>
      </c>
      <c r="J804" s="12">
        <v>1.6500000000000001E-2</v>
      </c>
      <c r="K804" s="12">
        <v>7.5999999999999998E-2</v>
      </c>
      <c r="L804" s="12">
        <v>5.1999999999999998E-2</v>
      </c>
      <c r="M804" s="13">
        <v>8003453105188</v>
      </c>
      <c r="N804" s="14">
        <v>0.45300000000000001</v>
      </c>
      <c r="O804" s="14">
        <v>0.53</v>
      </c>
      <c r="P804" s="15">
        <v>45170</v>
      </c>
      <c r="Q804" s="16" t="s">
        <v>4963</v>
      </c>
      <c r="R804" s="17" t="s">
        <v>4964</v>
      </c>
      <c r="S804" s="17" t="s">
        <v>4965</v>
      </c>
      <c r="T804" s="17" t="s">
        <v>4966</v>
      </c>
      <c r="U804" s="17" t="s">
        <v>35</v>
      </c>
      <c r="V804" s="17" t="s">
        <v>4967</v>
      </c>
      <c r="W804" s="17" t="s">
        <v>4968</v>
      </c>
      <c r="X804" s="17" t="s">
        <v>4968</v>
      </c>
      <c r="Y804" s="17" t="s">
        <v>35</v>
      </c>
      <c r="Z804" s="17" t="s">
        <v>4969</v>
      </c>
      <c r="AA804" s="17" t="s">
        <v>35</v>
      </c>
      <c r="AB804" s="17" t="s">
        <v>4970</v>
      </c>
      <c r="AC804" s="17" t="s">
        <v>9539</v>
      </c>
      <c r="AD804" s="42">
        <v>57.48</v>
      </c>
      <c r="AE804" s="42">
        <v>60.47</v>
      </c>
      <c r="AF804" s="48"/>
      <c r="AG804" s="44"/>
      <c r="AH804" s="7">
        <f t="shared" si="12"/>
        <v>0</v>
      </c>
      <c r="AI804" s="18"/>
      <c r="AJ804" s="18"/>
    </row>
    <row r="805" spans="1:38" ht="26.65" customHeight="1" x14ac:dyDescent="0.25">
      <c r="A805" s="10" t="s">
        <v>4971</v>
      </c>
      <c r="B805" s="9" t="s">
        <v>3030</v>
      </c>
      <c r="C805" s="9" t="s">
        <v>58</v>
      </c>
      <c r="D805" s="9" t="s">
        <v>3031</v>
      </c>
      <c r="E805" s="9" t="s">
        <v>35</v>
      </c>
      <c r="F805" s="9" t="s">
        <v>2072</v>
      </c>
      <c r="G805" s="9">
        <v>1</v>
      </c>
      <c r="H805" s="9">
        <v>84219999</v>
      </c>
      <c r="I805" s="11" t="s">
        <v>2073</v>
      </c>
      <c r="J805" s="12">
        <v>1.6500000000000001E-2</v>
      </c>
      <c r="K805" s="12">
        <v>7.5999999999999998E-2</v>
      </c>
      <c r="L805" s="12">
        <v>0</v>
      </c>
      <c r="M805" s="13" t="s">
        <v>4972</v>
      </c>
      <c r="N805" s="14">
        <v>2.2000000000000002</v>
      </c>
      <c r="O805" s="14">
        <v>2.5299999999999998</v>
      </c>
      <c r="P805" s="15">
        <v>44774</v>
      </c>
      <c r="Q805" s="16" t="s">
        <v>4973</v>
      </c>
      <c r="R805" s="17" t="s">
        <v>35</v>
      </c>
      <c r="S805" s="17" t="s">
        <v>4974</v>
      </c>
      <c r="T805" s="17" t="s">
        <v>4975</v>
      </c>
      <c r="U805" s="17" t="s">
        <v>4976</v>
      </c>
      <c r="V805" s="17" t="s">
        <v>4977</v>
      </c>
      <c r="W805" s="17" t="s">
        <v>4978</v>
      </c>
      <c r="X805" s="17" t="s">
        <v>4979</v>
      </c>
      <c r="Y805" s="17" t="s">
        <v>4980</v>
      </c>
      <c r="Z805" s="17" t="s">
        <v>4981</v>
      </c>
      <c r="AA805" s="17" t="s">
        <v>35</v>
      </c>
      <c r="AB805" s="17" t="s">
        <v>35</v>
      </c>
      <c r="AC805" s="17" t="s">
        <v>9539</v>
      </c>
      <c r="AD805" s="41">
        <v>72.459999999999994</v>
      </c>
      <c r="AE805" s="41">
        <v>72.459999999999994</v>
      </c>
      <c r="AF805" s="48"/>
      <c r="AG805" s="44"/>
      <c r="AH805" s="7">
        <f t="shared" si="12"/>
        <v>0</v>
      </c>
      <c r="AI805" s="18"/>
      <c r="AJ805" s="18"/>
    </row>
    <row r="806" spans="1:38" ht="26.65" customHeight="1" x14ac:dyDescent="0.25">
      <c r="A806" s="10" t="s">
        <v>10603</v>
      </c>
      <c r="B806" s="9" t="s">
        <v>3030</v>
      </c>
      <c r="C806" s="9" t="s">
        <v>34</v>
      </c>
      <c r="D806" s="9" t="s">
        <v>3064</v>
      </c>
      <c r="E806" s="9" t="s">
        <v>35</v>
      </c>
      <c r="F806" s="9" t="s">
        <v>36</v>
      </c>
      <c r="G806" s="9">
        <v>1</v>
      </c>
      <c r="H806" s="9">
        <v>84219999</v>
      </c>
      <c r="I806" s="11" t="s">
        <v>37</v>
      </c>
      <c r="J806" s="12">
        <v>1.6500000000000001E-2</v>
      </c>
      <c r="K806" s="12">
        <v>7.5999999999999998E-2</v>
      </c>
      <c r="L806" s="12">
        <v>5.1999999999999998E-2</v>
      </c>
      <c r="M806" s="13">
        <v>8003453105515</v>
      </c>
      <c r="N806" s="14">
        <v>4.37</v>
      </c>
      <c r="O806" s="14">
        <v>5.452</v>
      </c>
      <c r="P806" s="15">
        <v>45597</v>
      </c>
      <c r="Q806" s="16" t="s">
        <v>10591</v>
      </c>
      <c r="R806" s="17" t="s">
        <v>35</v>
      </c>
      <c r="S806" s="17" t="s">
        <v>35</v>
      </c>
      <c r="T806" s="17" t="s">
        <v>35</v>
      </c>
      <c r="U806" s="17" t="s">
        <v>35</v>
      </c>
      <c r="V806" s="17" t="s">
        <v>35</v>
      </c>
      <c r="W806" s="17" t="s">
        <v>35</v>
      </c>
      <c r="X806" s="17" t="s">
        <v>35</v>
      </c>
      <c r="Y806" s="17" t="s">
        <v>35</v>
      </c>
      <c r="Z806" s="17" t="s">
        <v>10604</v>
      </c>
      <c r="AA806" s="17" t="s">
        <v>35</v>
      </c>
      <c r="AB806" s="17" t="s">
        <v>10605</v>
      </c>
      <c r="AC806" s="17" t="s">
        <v>9539</v>
      </c>
      <c r="AD806" s="41">
        <v>285.58999999999997</v>
      </c>
      <c r="AE806" s="41">
        <v>300.44</v>
      </c>
      <c r="AF806" s="48"/>
      <c r="AG806" s="44"/>
      <c r="AH806" s="7">
        <f t="shared" si="12"/>
        <v>0</v>
      </c>
      <c r="AI806" s="18"/>
      <c r="AJ806" s="18"/>
    </row>
    <row r="807" spans="1:38" ht="26.65" customHeight="1" x14ac:dyDescent="0.25">
      <c r="A807" s="10" t="s">
        <v>4982</v>
      </c>
      <c r="B807" s="9" t="s">
        <v>3086</v>
      </c>
      <c r="C807" s="9" t="s">
        <v>34</v>
      </c>
      <c r="D807" s="9" t="s">
        <v>3064</v>
      </c>
      <c r="E807" s="9" t="s">
        <v>122</v>
      </c>
      <c r="F807" s="9" t="s">
        <v>36</v>
      </c>
      <c r="G807" s="9">
        <v>1</v>
      </c>
      <c r="H807" s="9">
        <v>84219999</v>
      </c>
      <c r="I807" s="11" t="s">
        <v>37</v>
      </c>
      <c r="J807" s="12">
        <v>1.6500000000000001E-2</v>
      </c>
      <c r="K807" s="12">
        <v>7.5999999999999998E-2</v>
      </c>
      <c r="L807" s="12">
        <v>5.1999999999999998E-2</v>
      </c>
      <c r="M807" s="13">
        <v>8003453105539</v>
      </c>
      <c r="N807" s="14">
        <v>0.5</v>
      </c>
      <c r="O807" s="14">
        <v>0.73</v>
      </c>
      <c r="P807" s="15">
        <v>45078</v>
      </c>
      <c r="Q807" s="16" t="s">
        <v>4983</v>
      </c>
      <c r="R807" s="17" t="s">
        <v>4984</v>
      </c>
      <c r="S807" s="17" t="s">
        <v>35</v>
      </c>
      <c r="T807" s="17" t="s">
        <v>35</v>
      </c>
      <c r="U807" s="17" t="s">
        <v>35</v>
      </c>
      <c r="V807" s="17" t="s">
        <v>35</v>
      </c>
      <c r="W807" s="17" t="s">
        <v>35</v>
      </c>
      <c r="X807" s="17" t="s">
        <v>35</v>
      </c>
      <c r="Y807" s="17" t="s">
        <v>35</v>
      </c>
      <c r="Z807" s="17" t="s">
        <v>4985</v>
      </c>
      <c r="AA807" s="17" t="s">
        <v>35</v>
      </c>
      <c r="AB807" s="17" t="s">
        <v>35</v>
      </c>
      <c r="AC807" s="17" t="s">
        <v>9539</v>
      </c>
      <c r="AD807" s="42">
        <v>40.15</v>
      </c>
      <c r="AE807" s="42">
        <v>42.24</v>
      </c>
      <c r="AF807" s="48"/>
      <c r="AG807" s="44"/>
      <c r="AH807" s="7">
        <f t="shared" si="12"/>
        <v>0</v>
      </c>
      <c r="AI807" s="18"/>
      <c r="AJ807" s="18"/>
    </row>
    <row r="808" spans="1:38" ht="26.65" customHeight="1" x14ac:dyDescent="0.25">
      <c r="A808" s="10" t="s">
        <v>4986</v>
      </c>
      <c r="B808" s="9" t="s">
        <v>3063</v>
      </c>
      <c r="C808" s="9" t="s">
        <v>58</v>
      </c>
      <c r="D808" s="9" t="s">
        <v>3064</v>
      </c>
      <c r="E808" s="9" t="s">
        <v>35</v>
      </c>
      <c r="F808" s="9" t="s">
        <v>2072</v>
      </c>
      <c r="G808" s="9">
        <v>1</v>
      </c>
      <c r="H808" s="9">
        <v>84219999</v>
      </c>
      <c r="I808" s="11" t="s">
        <v>2073</v>
      </c>
      <c r="J808" s="12">
        <v>1.6500000000000001E-2</v>
      </c>
      <c r="K808" s="12">
        <v>7.5999999999999998E-2</v>
      </c>
      <c r="L808" s="12">
        <v>0</v>
      </c>
      <c r="M808" s="13" t="s">
        <v>4987</v>
      </c>
      <c r="N808" s="14">
        <v>0.55000000000000004</v>
      </c>
      <c r="O808" s="14">
        <v>0.63</v>
      </c>
      <c r="P808" s="15" t="s">
        <v>35</v>
      </c>
      <c r="Q808" s="16" t="s">
        <v>4973</v>
      </c>
      <c r="R808" s="17" t="s">
        <v>35</v>
      </c>
      <c r="S808" s="17" t="s">
        <v>4988</v>
      </c>
      <c r="T808" s="17" t="s">
        <v>4989</v>
      </c>
      <c r="U808" s="17" t="s">
        <v>4990</v>
      </c>
      <c r="V808" s="17" t="s">
        <v>4991</v>
      </c>
      <c r="W808" s="17" t="s">
        <v>35</v>
      </c>
      <c r="X808" s="17" t="s">
        <v>4992</v>
      </c>
      <c r="Y808" s="17" t="s">
        <v>4993</v>
      </c>
      <c r="Z808" s="17" t="s">
        <v>35</v>
      </c>
      <c r="AA808" s="17" t="s">
        <v>35</v>
      </c>
      <c r="AB808" s="17" t="s">
        <v>35</v>
      </c>
      <c r="AC808" s="17" t="s">
        <v>9539</v>
      </c>
      <c r="AD808" s="41">
        <v>32.78</v>
      </c>
      <c r="AE808" s="41">
        <v>32.78</v>
      </c>
      <c r="AF808" s="48"/>
      <c r="AG808" s="44"/>
      <c r="AH808" s="7">
        <f t="shared" si="12"/>
        <v>0</v>
      </c>
      <c r="AI808" s="18"/>
      <c r="AJ808" s="18"/>
    </row>
    <row r="809" spans="1:38" ht="26.65" customHeight="1" x14ac:dyDescent="0.25">
      <c r="A809" s="10" t="s">
        <v>4994</v>
      </c>
      <c r="B809" s="9" t="s">
        <v>3063</v>
      </c>
      <c r="C809" s="9" t="s">
        <v>34</v>
      </c>
      <c r="D809" s="9" t="s">
        <v>3064</v>
      </c>
      <c r="E809" s="9" t="s">
        <v>35</v>
      </c>
      <c r="F809" s="9" t="s">
        <v>36</v>
      </c>
      <c r="G809" s="9">
        <v>1</v>
      </c>
      <c r="H809" s="9">
        <v>84219999</v>
      </c>
      <c r="I809" s="11" t="s">
        <v>37</v>
      </c>
      <c r="J809" s="12">
        <v>1.6500000000000001E-2</v>
      </c>
      <c r="K809" s="12">
        <v>7.5999999999999998E-2</v>
      </c>
      <c r="L809" s="12">
        <v>5.1999999999999998E-2</v>
      </c>
      <c r="M809" s="13">
        <v>8003453105706</v>
      </c>
      <c r="N809" s="14">
        <v>2.65</v>
      </c>
      <c r="O809" s="14">
        <v>2.92</v>
      </c>
      <c r="P809" s="15">
        <v>45200</v>
      </c>
      <c r="Q809" s="16" t="s">
        <v>4995</v>
      </c>
      <c r="R809" s="17" t="s">
        <v>4996</v>
      </c>
      <c r="S809" s="17" t="s">
        <v>35</v>
      </c>
      <c r="T809" s="17" t="s">
        <v>35</v>
      </c>
      <c r="U809" s="17" t="s">
        <v>35</v>
      </c>
      <c r="V809" s="17" t="s">
        <v>35</v>
      </c>
      <c r="W809" s="17" t="s">
        <v>35</v>
      </c>
      <c r="X809" s="17" t="s">
        <v>35</v>
      </c>
      <c r="Y809" s="17" t="s">
        <v>35</v>
      </c>
      <c r="Z809" s="17" t="s">
        <v>4997</v>
      </c>
      <c r="AA809" s="17" t="s">
        <v>35</v>
      </c>
      <c r="AB809" s="17" t="s">
        <v>4998</v>
      </c>
      <c r="AC809" s="17" t="s">
        <v>9539</v>
      </c>
      <c r="AD809" s="42">
        <v>230.04</v>
      </c>
      <c r="AE809" s="42">
        <v>242</v>
      </c>
      <c r="AF809" s="48"/>
      <c r="AG809" s="44"/>
      <c r="AH809" s="7">
        <f t="shared" si="12"/>
        <v>0</v>
      </c>
      <c r="AI809" s="18"/>
      <c r="AJ809" s="18"/>
    </row>
    <row r="810" spans="1:38" ht="26.65" customHeight="1" x14ac:dyDescent="0.25">
      <c r="A810" s="10" t="s">
        <v>4999</v>
      </c>
      <c r="B810" s="9" t="s">
        <v>3056</v>
      </c>
      <c r="C810" s="9" t="s">
        <v>34</v>
      </c>
      <c r="D810" s="9" t="s">
        <v>3031</v>
      </c>
      <c r="E810" s="9" t="s">
        <v>35</v>
      </c>
      <c r="F810" s="9" t="s">
        <v>36</v>
      </c>
      <c r="G810" s="9">
        <v>1</v>
      </c>
      <c r="H810" s="9">
        <v>84219999</v>
      </c>
      <c r="I810" s="11" t="s">
        <v>37</v>
      </c>
      <c r="J810" s="12">
        <v>1.6500000000000001E-2</v>
      </c>
      <c r="K810" s="12">
        <v>7.5999999999999998E-2</v>
      </c>
      <c r="L810" s="12">
        <v>5.1999999999999998E-2</v>
      </c>
      <c r="M810" s="13">
        <v>8003453105942</v>
      </c>
      <c r="N810" s="14">
        <v>3.75</v>
      </c>
      <c r="O810" s="14">
        <v>4.12</v>
      </c>
      <c r="P810" s="15">
        <v>45139</v>
      </c>
      <c r="Q810" s="16" t="s">
        <v>5000</v>
      </c>
      <c r="R810" s="17" t="s">
        <v>5001</v>
      </c>
      <c r="S810" s="17" t="s">
        <v>35</v>
      </c>
      <c r="T810" s="17" t="s">
        <v>35</v>
      </c>
      <c r="U810" s="17" t="s">
        <v>35</v>
      </c>
      <c r="V810" s="17" t="s">
        <v>35</v>
      </c>
      <c r="W810" s="17" t="s">
        <v>35</v>
      </c>
      <c r="X810" s="17" t="s">
        <v>5002</v>
      </c>
      <c r="Y810" s="17" t="s">
        <v>35</v>
      </c>
      <c r="Z810" s="17" t="s">
        <v>5003</v>
      </c>
      <c r="AA810" s="17" t="s">
        <v>35</v>
      </c>
      <c r="AB810" s="17" t="s">
        <v>5004</v>
      </c>
      <c r="AC810" s="17" t="s">
        <v>9539</v>
      </c>
      <c r="AD810" s="42">
        <v>272.04000000000002</v>
      </c>
      <c r="AE810" s="42">
        <v>286.19</v>
      </c>
      <c r="AF810" s="48"/>
      <c r="AG810" s="44"/>
      <c r="AH810" s="7">
        <f t="shared" si="12"/>
        <v>0</v>
      </c>
      <c r="AI810" s="18"/>
      <c r="AJ810" s="18"/>
    </row>
    <row r="811" spans="1:38" ht="26.65" customHeight="1" x14ac:dyDescent="0.25">
      <c r="A811" s="10" t="s">
        <v>10363</v>
      </c>
      <c r="B811" s="9" t="s">
        <v>3030</v>
      </c>
      <c r="C811" s="9" t="s">
        <v>34</v>
      </c>
      <c r="D811" s="9" t="s">
        <v>3031</v>
      </c>
      <c r="E811" s="9" t="s">
        <v>35</v>
      </c>
      <c r="F811" s="9" t="s">
        <v>36</v>
      </c>
      <c r="G811" s="9">
        <v>5</v>
      </c>
      <c r="H811" s="9">
        <v>84219999</v>
      </c>
      <c r="I811" s="11" t="s">
        <v>37</v>
      </c>
      <c r="J811" s="12">
        <v>1.6500000000000001E-2</v>
      </c>
      <c r="K811" s="12">
        <v>7.5999999999999998E-2</v>
      </c>
      <c r="L811" s="12">
        <v>5.1999999999999998E-2</v>
      </c>
      <c r="M811" s="13">
        <v>8003453807716</v>
      </c>
      <c r="N811" s="14">
        <v>0</v>
      </c>
      <c r="O811" s="14">
        <v>0</v>
      </c>
      <c r="P811" s="15">
        <v>45566</v>
      </c>
      <c r="Q811" s="16" t="s">
        <v>10364</v>
      </c>
      <c r="R811" s="17" t="s">
        <v>10365</v>
      </c>
      <c r="S811" s="17" t="s">
        <v>35</v>
      </c>
      <c r="T811" s="17" t="s">
        <v>35</v>
      </c>
      <c r="U811" s="17" t="s">
        <v>35</v>
      </c>
      <c r="V811" s="17" t="s">
        <v>35</v>
      </c>
      <c r="W811" s="17" t="s">
        <v>35</v>
      </c>
      <c r="X811" s="17" t="s">
        <v>35</v>
      </c>
      <c r="Y811" s="17" t="s">
        <v>35</v>
      </c>
      <c r="Z811" s="17" t="s">
        <v>35</v>
      </c>
      <c r="AA811" s="17" t="s">
        <v>35</v>
      </c>
      <c r="AB811" s="17" t="s">
        <v>10366</v>
      </c>
      <c r="AC811" s="17" t="s">
        <v>9539</v>
      </c>
      <c r="AD811" s="41">
        <v>175.08</v>
      </c>
      <c r="AE811" s="41">
        <v>184.18</v>
      </c>
      <c r="AF811" s="48"/>
      <c r="AG811" s="44"/>
      <c r="AH811" s="7">
        <f t="shared" si="12"/>
        <v>0</v>
      </c>
      <c r="AI811" s="18"/>
      <c r="AJ811" s="18"/>
    </row>
    <row r="812" spans="1:38" ht="26.65" customHeight="1" x14ac:dyDescent="0.25">
      <c r="A812" s="10" t="s">
        <v>5005</v>
      </c>
      <c r="B812" s="9" t="s">
        <v>3056</v>
      </c>
      <c r="C812" s="9" t="s">
        <v>34</v>
      </c>
      <c r="D812" s="9" t="s">
        <v>3031</v>
      </c>
      <c r="E812" s="9" t="s">
        <v>35</v>
      </c>
      <c r="F812" s="9" t="s">
        <v>36</v>
      </c>
      <c r="G812" s="9">
        <v>1</v>
      </c>
      <c r="H812" s="9">
        <v>84219999</v>
      </c>
      <c r="I812" s="11" t="s">
        <v>37</v>
      </c>
      <c r="J812" s="12">
        <v>1.6500000000000001E-2</v>
      </c>
      <c r="K812" s="12">
        <v>7.5999999999999998E-2</v>
      </c>
      <c r="L812" s="12">
        <v>5.1999999999999998E-2</v>
      </c>
      <c r="M812" s="13">
        <v>8003453106017</v>
      </c>
      <c r="N812" s="14">
        <v>1.48</v>
      </c>
      <c r="O812" s="14">
        <v>1.62</v>
      </c>
      <c r="P812" s="15">
        <v>45139</v>
      </c>
      <c r="Q812" s="16" t="s">
        <v>5006</v>
      </c>
      <c r="R812" s="17" t="s">
        <v>5007</v>
      </c>
      <c r="S812" s="17" t="s">
        <v>35</v>
      </c>
      <c r="T812" s="17" t="s">
        <v>35</v>
      </c>
      <c r="U812" s="17" t="s">
        <v>35</v>
      </c>
      <c r="V812" s="17" t="s">
        <v>5008</v>
      </c>
      <c r="W812" s="17" t="s">
        <v>35</v>
      </c>
      <c r="X812" s="17" t="s">
        <v>35</v>
      </c>
      <c r="Y812" s="17" t="s">
        <v>35</v>
      </c>
      <c r="Z812" s="17" t="s">
        <v>5009</v>
      </c>
      <c r="AA812" s="17" t="s">
        <v>35</v>
      </c>
      <c r="AB812" s="17" t="s">
        <v>5010</v>
      </c>
      <c r="AC812" s="17" t="s">
        <v>9539</v>
      </c>
      <c r="AD812" s="41">
        <v>160.80000000000001</v>
      </c>
      <c r="AE812" s="41">
        <v>169.16</v>
      </c>
      <c r="AF812" s="48"/>
      <c r="AG812" s="44"/>
      <c r="AH812" s="7">
        <f t="shared" si="12"/>
        <v>0</v>
      </c>
      <c r="AI812" s="18"/>
      <c r="AJ812" s="18"/>
    </row>
    <row r="813" spans="1:38" ht="26.65" customHeight="1" x14ac:dyDescent="0.25">
      <c r="A813" s="10" t="s">
        <v>5011</v>
      </c>
      <c r="B813" s="9" t="s">
        <v>3030</v>
      </c>
      <c r="C813" s="9" t="s">
        <v>34</v>
      </c>
      <c r="D813" s="9" t="s">
        <v>3031</v>
      </c>
      <c r="E813" s="9" t="s">
        <v>35</v>
      </c>
      <c r="F813" s="9" t="s">
        <v>36</v>
      </c>
      <c r="G813" s="9">
        <v>1</v>
      </c>
      <c r="H813" s="9">
        <v>84219999</v>
      </c>
      <c r="I813" s="11" t="s">
        <v>37</v>
      </c>
      <c r="J813" s="12">
        <v>1.6500000000000001E-2</v>
      </c>
      <c r="K813" s="12">
        <v>7.5999999999999998E-2</v>
      </c>
      <c r="L813" s="12">
        <v>5.1999999999999998E-2</v>
      </c>
      <c r="M813" s="13">
        <v>8003453106086</v>
      </c>
      <c r="N813" s="14">
        <v>4.8499999999999996</v>
      </c>
      <c r="O813" s="14">
        <v>4.92</v>
      </c>
      <c r="P813" s="15">
        <v>45139</v>
      </c>
      <c r="Q813" s="16" t="s">
        <v>5012</v>
      </c>
      <c r="R813" s="17" t="s">
        <v>5013</v>
      </c>
      <c r="S813" s="17" t="s">
        <v>5014</v>
      </c>
      <c r="T813" s="17" t="s">
        <v>35</v>
      </c>
      <c r="U813" s="17" t="s">
        <v>35</v>
      </c>
      <c r="V813" s="17" t="s">
        <v>35</v>
      </c>
      <c r="W813" s="17" t="s">
        <v>35</v>
      </c>
      <c r="X813" s="17" t="s">
        <v>35</v>
      </c>
      <c r="Y813" s="17" t="s">
        <v>35</v>
      </c>
      <c r="Z813" s="17" t="s">
        <v>35</v>
      </c>
      <c r="AA813" s="17" t="s">
        <v>35</v>
      </c>
      <c r="AB813" s="17" t="s">
        <v>35</v>
      </c>
      <c r="AC813" s="17" t="s">
        <v>9539</v>
      </c>
      <c r="AD813" s="41">
        <v>204.66</v>
      </c>
      <c r="AE813" s="41">
        <v>215.3</v>
      </c>
      <c r="AF813" s="48"/>
      <c r="AG813" s="44"/>
      <c r="AH813" s="7">
        <f t="shared" si="12"/>
        <v>0</v>
      </c>
      <c r="AI813" s="18"/>
      <c r="AJ813" s="18"/>
    </row>
    <row r="814" spans="1:38" ht="26.65" customHeight="1" x14ac:dyDescent="0.25">
      <c r="A814" s="10" t="s">
        <v>5015</v>
      </c>
      <c r="B814" s="9" t="s">
        <v>3063</v>
      </c>
      <c r="C814" s="9" t="s">
        <v>58</v>
      </c>
      <c r="D814" s="9" t="s">
        <v>3064</v>
      </c>
      <c r="E814" s="9" t="s">
        <v>35</v>
      </c>
      <c r="F814" s="9" t="s">
        <v>2072</v>
      </c>
      <c r="G814" s="9">
        <v>1</v>
      </c>
      <c r="H814" s="9">
        <v>84219999</v>
      </c>
      <c r="I814" s="11" t="s">
        <v>2073</v>
      </c>
      <c r="J814" s="12">
        <v>1.6500000000000001E-2</v>
      </c>
      <c r="K814" s="12">
        <v>7.5999999999999998E-2</v>
      </c>
      <c r="L814" s="12">
        <v>0</v>
      </c>
      <c r="M814" s="13" t="s">
        <v>5016</v>
      </c>
      <c r="N814" s="14">
        <v>0.5</v>
      </c>
      <c r="O814" s="14">
        <v>0.73</v>
      </c>
      <c r="P814" s="15">
        <v>45078</v>
      </c>
      <c r="Q814" s="16" t="s">
        <v>5017</v>
      </c>
      <c r="R814" s="17" t="s">
        <v>35</v>
      </c>
      <c r="S814" s="17" t="s">
        <v>5018</v>
      </c>
      <c r="T814" s="17" t="s">
        <v>8683</v>
      </c>
      <c r="U814" s="17" t="s">
        <v>35</v>
      </c>
      <c r="V814" s="17" t="s">
        <v>5019</v>
      </c>
      <c r="W814" s="17" t="s">
        <v>5020</v>
      </c>
      <c r="X814" s="17" t="s">
        <v>5021</v>
      </c>
      <c r="Y814" s="17" t="s">
        <v>5022</v>
      </c>
      <c r="Z814" s="17" t="s">
        <v>35</v>
      </c>
      <c r="AA814" s="17" t="s">
        <v>35</v>
      </c>
      <c r="AB814" s="17" t="s">
        <v>35</v>
      </c>
      <c r="AC814" s="17" t="s">
        <v>9539</v>
      </c>
      <c r="AD814" s="41">
        <v>72.95</v>
      </c>
      <c r="AE814" s="41">
        <v>72.95</v>
      </c>
      <c r="AF814" s="48"/>
      <c r="AG814" s="44"/>
      <c r="AH814" s="7">
        <f t="shared" si="12"/>
        <v>0</v>
      </c>
      <c r="AI814" s="18"/>
      <c r="AJ814" s="18"/>
    </row>
    <row r="815" spans="1:38" ht="26.65" customHeight="1" x14ac:dyDescent="0.25">
      <c r="A815" s="10" t="s">
        <v>9164</v>
      </c>
      <c r="B815" s="9" t="s">
        <v>3030</v>
      </c>
      <c r="C815" s="9" t="s">
        <v>34</v>
      </c>
      <c r="D815" s="9" t="s">
        <v>3031</v>
      </c>
      <c r="E815" s="9" t="s">
        <v>35</v>
      </c>
      <c r="F815" s="9" t="s">
        <v>36</v>
      </c>
      <c r="G815" s="9">
        <v>1</v>
      </c>
      <c r="H815" s="9">
        <v>84219999</v>
      </c>
      <c r="I815" s="11" t="s">
        <v>37</v>
      </c>
      <c r="J815" s="12">
        <v>1.6500000000000001E-2</v>
      </c>
      <c r="K815" s="12">
        <v>7.5999999999999998E-2</v>
      </c>
      <c r="L815" s="12">
        <v>5.1999999999999998E-2</v>
      </c>
      <c r="M815" s="13">
        <v>8003453106284</v>
      </c>
      <c r="N815" s="14">
        <v>1.1000000000000001</v>
      </c>
      <c r="O815" s="14">
        <v>1.26</v>
      </c>
      <c r="P815" s="15">
        <v>45383</v>
      </c>
      <c r="Q815" s="16" t="s">
        <v>9165</v>
      </c>
      <c r="R815" s="17" t="s">
        <v>9166</v>
      </c>
      <c r="S815" s="17" t="s">
        <v>35</v>
      </c>
      <c r="T815" s="17" t="s">
        <v>9167</v>
      </c>
      <c r="U815" s="17" t="s">
        <v>9168</v>
      </c>
      <c r="V815" s="17" t="s">
        <v>35</v>
      </c>
      <c r="W815" s="17" t="s">
        <v>35</v>
      </c>
      <c r="X815" s="17" t="s">
        <v>35</v>
      </c>
      <c r="Y815" s="17" t="s">
        <v>35</v>
      </c>
      <c r="Z815" s="17" t="s">
        <v>9169</v>
      </c>
      <c r="AA815" s="17" t="s">
        <v>35</v>
      </c>
      <c r="AB815" s="17" t="s">
        <v>9170</v>
      </c>
      <c r="AC815" s="17" t="s">
        <v>9539</v>
      </c>
      <c r="AD815" s="42">
        <v>90.97</v>
      </c>
      <c r="AE815" s="42">
        <v>95.7</v>
      </c>
      <c r="AF815" s="48"/>
      <c r="AG815" s="44"/>
      <c r="AH815" s="7">
        <f t="shared" si="12"/>
        <v>0</v>
      </c>
      <c r="AI815" s="18"/>
      <c r="AJ815" s="18"/>
    </row>
    <row r="816" spans="1:38" ht="26.65" customHeight="1" x14ac:dyDescent="0.25">
      <c r="A816" s="10" t="s">
        <v>5023</v>
      </c>
      <c r="B816" s="9" t="s">
        <v>3086</v>
      </c>
      <c r="C816" s="9" t="s">
        <v>34</v>
      </c>
      <c r="D816" s="9" t="s">
        <v>3064</v>
      </c>
      <c r="E816" s="9" t="s">
        <v>35</v>
      </c>
      <c r="F816" s="9" t="s">
        <v>36</v>
      </c>
      <c r="G816" s="9">
        <v>1</v>
      </c>
      <c r="H816" s="9">
        <v>84219999</v>
      </c>
      <c r="I816" s="11" t="s">
        <v>37</v>
      </c>
      <c r="J816" s="12">
        <v>1.6500000000000001E-2</v>
      </c>
      <c r="K816" s="12">
        <v>7.5999999999999998E-2</v>
      </c>
      <c r="L816" s="12">
        <v>5.1999999999999998E-2</v>
      </c>
      <c r="M816" s="13">
        <v>8003453106345</v>
      </c>
      <c r="N816" s="14">
        <v>1.18</v>
      </c>
      <c r="O816" s="14">
        <v>1.53</v>
      </c>
      <c r="P816" s="15">
        <v>45017</v>
      </c>
      <c r="Q816" s="16" t="s">
        <v>5024</v>
      </c>
      <c r="R816" s="17" t="s">
        <v>5025</v>
      </c>
      <c r="S816" s="17" t="s">
        <v>5026</v>
      </c>
      <c r="T816" s="17" t="s">
        <v>5027</v>
      </c>
      <c r="U816" s="17" t="s">
        <v>35</v>
      </c>
      <c r="V816" s="17" t="s">
        <v>5028</v>
      </c>
      <c r="W816" s="17" t="s">
        <v>35</v>
      </c>
      <c r="X816" s="17" t="s">
        <v>35</v>
      </c>
      <c r="Y816" s="17" t="s">
        <v>35</v>
      </c>
      <c r="Z816" s="17" t="s">
        <v>5029</v>
      </c>
      <c r="AA816" s="17" t="s">
        <v>35</v>
      </c>
      <c r="AB816" s="17" t="s">
        <v>5030</v>
      </c>
      <c r="AC816" s="17" t="s">
        <v>9539</v>
      </c>
      <c r="AD816" s="41">
        <v>70.48</v>
      </c>
      <c r="AE816" s="41">
        <v>74.14</v>
      </c>
      <c r="AF816" s="48"/>
      <c r="AG816" s="44"/>
      <c r="AH816" s="7">
        <f t="shared" si="12"/>
        <v>0</v>
      </c>
      <c r="AI816" s="18"/>
      <c r="AJ816" s="18"/>
      <c r="AL816" s="18"/>
    </row>
    <row r="817" spans="1:38" ht="26.65" customHeight="1" x14ac:dyDescent="0.25">
      <c r="A817" s="10" t="s">
        <v>5031</v>
      </c>
      <c r="B817" s="9" t="s">
        <v>3030</v>
      </c>
      <c r="C817" s="9" t="s">
        <v>58</v>
      </c>
      <c r="D817" s="9" t="s">
        <v>3031</v>
      </c>
      <c r="E817" s="9" t="s">
        <v>35</v>
      </c>
      <c r="F817" s="9" t="s">
        <v>2072</v>
      </c>
      <c r="G817" s="9">
        <v>1</v>
      </c>
      <c r="H817" s="9">
        <v>84219999</v>
      </c>
      <c r="I817" s="11" t="s">
        <v>2073</v>
      </c>
      <c r="J817" s="12">
        <v>1.6500000000000001E-2</v>
      </c>
      <c r="K817" s="12">
        <v>7.5999999999999998E-2</v>
      </c>
      <c r="L817" s="12">
        <v>0</v>
      </c>
      <c r="M817" s="13" t="s">
        <v>5032</v>
      </c>
      <c r="N817" s="14">
        <v>2.2999999999999998</v>
      </c>
      <c r="O817" s="14">
        <v>2.64</v>
      </c>
      <c r="P817" s="15" t="s">
        <v>35</v>
      </c>
      <c r="Q817" s="16" t="s">
        <v>5033</v>
      </c>
      <c r="R817" s="17" t="s">
        <v>35</v>
      </c>
      <c r="S817" s="17" t="s">
        <v>5034</v>
      </c>
      <c r="T817" s="17" t="s">
        <v>5035</v>
      </c>
      <c r="U817" s="17" t="s">
        <v>5036</v>
      </c>
      <c r="V817" s="17" t="s">
        <v>5037</v>
      </c>
      <c r="W817" s="17" t="s">
        <v>5038</v>
      </c>
      <c r="X817" s="17" t="s">
        <v>5039</v>
      </c>
      <c r="Y817" s="17" t="s">
        <v>5040</v>
      </c>
      <c r="Z817" s="17" t="s">
        <v>35</v>
      </c>
      <c r="AA817" s="17" t="s">
        <v>35</v>
      </c>
      <c r="AB817" s="17" t="s">
        <v>35</v>
      </c>
      <c r="AC817" s="17" t="s">
        <v>9539</v>
      </c>
      <c r="AD817" s="41">
        <v>103.82</v>
      </c>
      <c r="AE817" s="41">
        <v>103.82</v>
      </c>
      <c r="AF817" s="48"/>
      <c r="AG817" s="44"/>
      <c r="AH817" s="7">
        <f t="shared" si="12"/>
        <v>0</v>
      </c>
      <c r="AI817" s="18"/>
      <c r="AJ817" s="18"/>
    </row>
    <row r="818" spans="1:38" ht="26.65" customHeight="1" x14ac:dyDescent="0.25">
      <c r="A818" s="10" t="s">
        <v>5041</v>
      </c>
      <c r="B818" s="9" t="s">
        <v>3063</v>
      </c>
      <c r="C818" s="9" t="s">
        <v>58</v>
      </c>
      <c r="D818" s="9" t="s">
        <v>3064</v>
      </c>
      <c r="E818" s="9" t="s">
        <v>35</v>
      </c>
      <c r="F818" s="9" t="s">
        <v>2072</v>
      </c>
      <c r="G818" s="9">
        <v>1</v>
      </c>
      <c r="H818" s="9">
        <v>84219999</v>
      </c>
      <c r="I818" s="11" t="s">
        <v>2073</v>
      </c>
      <c r="J818" s="12">
        <v>1.6500000000000001E-2</v>
      </c>
      <c r="K818" s="12">
        <v>7.5999999999999998E-2</v>
      </c>
      <c r="L818" s="12">
        <v>0</v>
      </c>
      <c r="M818" s="13" t="s">
        <v>5042</v>
      </c>
      <c r="N818" s="14">
        <v>0.85</v>
      </c>
      <c r="O818" s="14">
        <v>1.1499999999999999</v>
      </c>
      <c r="P818" s="15" t="s">
        <v>35</v>
      </c>
      <c r="Q818" s="16" t="s">
        <v>238</v>
      </c>
      <c r="R818" s="17" t="s">
        <v>35</v>
      </c>
      <c r="S818" s="17" t="s">
        <v>5043</v>
      </c>
      <c r="T818" s="17" t="s">
        <v>35</v>
      </c>
      <c r="U818" s="17" t="s">
        <v>5044</v>
      </c>
      <c r="V818" s="17" t="s">
        <v>5045</v>
      </c>
      <c r="W818" s="17" t="s">
        <v>5046</v>
      </c>
      <c r="X818" s="17" t="s">
        <v>5047</v>
      </c>
      <c r="Y818" s="17" t="s">
        <v>5048</v>
      </c>
      <c r="Z818" s="17" t="s">
        <v>35</v>
      </c>
      <c r="AA818" s="17" t="s">
        <v>35</v>
      </c>
      <c r="AB818" s="17" t="s">
        <v>35</v>
      </c>
      <c r="AC818" s="17" t="s">
        <v>9539</v>
      </c>
      <c r="AD818" s="41">
        <v>68.39</v>
      </c>
      <c r="AE818" s="41">
        <v>68.39</v>
      </c>
      <c r="AF818" s="48"/>
      <c r="AG818" s="44"/>
      <c r="AH818" s="7">
        <f t="shared" si="12"/>
        <v>0</v>
      </c>
      <c r="AI818" s="18"/>
      <c r="AJ818" s="18"/>
    </row>
    <row r="819" spans="1:38" ht="26.65" customHeight="1" x14ac:dyDescent="0.25">
      <c r="A819" s="10" t="s">
        <v>5049</v>
      </c>
      <c r="B819" s="9" t="s">
        <v>3030</v>
      </c>
      <c r="C819" s="9" t="s">
        <v>58</v>
      </c>
      <c r="D819" s="9" t="s">
        <v>3064</v>
      </c>
      <c r="E819" s="9" t="s">
        <v>35</v>
      </c>
      <c r="F819" s="9" t="s">
        <v>2072</v>
      </c>
      <c r="G819" s="9">
        <v>1</v>
      </c>
      <c r="H819" s="9">
        <v>84219999</v>
      </c>
      <c r="I819" s="11" t="s">
        <v>2073</v>
      </c>
      <c r="J819" s="12">
        <v>1.6500000000000001E-2</v>
      </c>
      <c r="K819" s="12">
        <v>7.5999999999999998E-2</v>
      </c>
      <c r="L819" s="12">
        <v>0</v>
      </c>
      <c r="M819" s="13" t="s">
        <v>5050</v>
      </c>
      <c r="N819" s="14">
        <v>1.45</v>
      </c>
      <c r="O819" s="14">
        <v>1.67</v>
      </c>
      <c r="P819" s="15" t="s">
        <v>35</v>
      </c>
      <c r="Q819" s="16" t="s">
        <v>5051</v>
      </c>
      <c r="R819" s="17" t="s">
        <v>35</v>
      </c>
      <c r="S819" s="17" t="s">
        <v>5052</v>
      </c>
      <c r="T819" s="17" t="s">
        <v>5053</v>
      </c>
      <c r="U819" s="17" t="s">
        <v>5054</v>
      </c>
      <c r="V819" s="17" t="s">
        <v>5055</v>
      </c>
      <c r="W819" s="17" t="s">
        <v>5056</v>
      </c>
      <c r="X819" s="17" t="s">
        <v>5057</v>
      </c>
      <c r="Y819" s="17" t="s">
        <v>5058</v>
      </c>
      <c r="Z819" s="17" t="s">
        <v>5059</v>
      </c>
      <c r="AA819" s="17" t="s">
        <v>35</v>
      </c>
      <c r="AB819" s="17" t="s">
        <v>35</v>
      </c>
      <c r="AC819" s="17" t="s">
        <v>9539</v>
      </c>
      <c r="AD819" s="41">
        <v>62.7</v>
      </c>
      <c r="AE819" s="41">
        <v>62.7</v>
      </c>
      <c r="AF819" s="48"/>
      <c r="AG819" s="44"/>
      <c r="AH819" s="7">
        <f t="shared" si="12"/>
        <v>0</v>
      </c>
      <c r="AI819" s="18"/>
      <c r="AJ819" s="18"/>
    </row>
    <row r="820" spans="1:38" ht="26.65" customHeight="1" x14ac:dyDescent="0.25">
      <c r="A820" s="38" t="s">
        <v>5060</v>
      </c>
      <c r="B820" s="9" t="s">
        <v>3030</v>
      </c>
      <c r="C820" s="9" t="s">
        <v>58</v>
      </c>
      <c r="D820" s="9" t="s">
        <v>3031</v>
      </c>
      <c r="E820" s="9" t="s">
        <v>35</v>
      </c>
      <c r="F820" s="9" t="s">
        <v>2072</v>
      </c>
      <c r="G820" s="9">
        <v>1</v>
      </c>
      <c r="H820" s="9">
        <v>84219999</v>
      </c>
      <c r="I820" s="11" t="s">
        <v>2073</v>
      </c>
      <c r="J820" s="12">
        <v>1.6500000000000001E-2</v>
      </c>
      <c r="K820" s="12">
        <v>7.5999999999999998E-2</v>
      </c>
      <c r="L820" s="12">
        <v>0</v>
      </c>
      <c r="M820" s="13" t="s">
        <v>5061</v>
      </c>
      <c r="N820" s="14">
        <v>1.43</v>
      </c>
      <c r="O820" s="14">
        <v>1.5</v>
      </c>
      <c r="P820" s="15" t="s">
        <v>35</v>
      </c>
      <c r="Q820" s="16" t="s">
        <v>5062</v>
      </c>
      <c r="R820" s="17" t="s">
        <v>5063</v>
      </c>
      <c r="S820" s="17" t="s">
        <v>5064</v>
      </c>
      <c r="T820" s="17" t="s">
        <v>5065</v>
      </c>
      <c r="U820" s="17" t="s">
        <v>35</v>
      </c>
      <c r="V820" s="17" t="s">
        <v>5066</v>
      </c>
      <c r="W820" s="17" t="s">
        <v>5067</v>
      </c>
      <c r="X820" s="17" t="s">
        <v>5068</v>
      </c>
      <c r="Y820" s="17" t="s">
        <v>5069</v>
      </c>
      <c r="Z820" s="17" t="s">
        <v>35</v>
      </c>
      <c r="AA820" s="17" t="s">
        <v>35</v>
      </c>
      <c r="AB820" s="17" t="s">
        <v>35</v>
      </c>
      <c r="AC820" s="17" t="s">
        <v>9538</v>
      </c>
      <c r="AD820" s="41">
        <v>62.99</v>
      </c>
      <c r="AE820" s="41">
        <v>62.99</v>
      </c>
      <c r="AF820" s="48"/>
      <c r="AG820" s="44"/>
      <c r="AH820" s="7">
        <f t="shared" si="12"/>
        <v>0</v>
      </c>
      <c r="AI820" s="18"/>
      <c r="AJ820" s="18"/>
    </row>
    <row r="821" spans="1:38" ht="26.65" customHeight="1" x14ac:dyDescent="0.25">
      <c r="A821" s="10" t="s">
        <v>9235</v>
      </c>
      <c r="B821" s="9" t="s">
        <v>3063</v>
      </c>
      <c r="C821" s="9" t="s">
        <v>58</v>
      </c>
      <c r="D821" s="9" t="s">
        <v>3064</v>
      </c>
      <c r="E821" s="9" t="s">
        <v>35</v>
      </c>
      <c r="F821" s="9" t="s">
        <v>2072</v>
      </c>
      <c r="G821" s="9">
        <v>1</v>
      </c>
      <c r="H821" s="9">
        <v>84219999</v>
      </c>
      <c r="I821" s="11" t="s">
        <v>2073</v>
      </c>
      <c r="J821" s="12">
        <v>1.6500000000000001E-2</v>
      </c>
      <c r="K821" s="12">
        <v>7.5999999999999998E-2</v>
      </c>
      <c r="L821" s="12">
        <v>0</v>
      </c>
      <c r="M821" s="13">
        <v>8003453806269</v>
      </c>
      <c r="N821" s="14">
        <v>0.77</v>
      </c>
      <c r="O821" s="14">
        <v>0.98499999999999999</v>
      </c>
      <c r="P821" s="15">
        <v>44621</v>
      </c>
      <c r="Q821" s="16" t="s">
        <v>5070</v>
      </c>
      <c r="R821" s="17">
        <v>1869991</v>
      </c>
      <c r="S821" s="17" t="s">
        <v>5071</v>
      </c>
      <c r="T821" s="17" t="s">
        <v>5072</v>
      </c>
      <c r="U821" s="17" t="s">
        <v>35</v>
      </c>
      <c r="V821" s="17" t="s">
        <v>5073</v>
      </c>
      <c r="W821" s="17" t="s">
        <v>35</v>
      </c>
      <c r="X821" s="17" t="s">
        <v>35</v>
      </c>
      <c r="Y821" s="17" t="s">
        <v>5074</v>
      </c>
      <c r="Z821" s="17" t="s">
        <v>35</v>
      </c>
      <c r="AA821" s="17" t="s">
        <v>35</v>
      </c>
      <c r="AB821" s="17" t="s">
        <v>5075</v>
      </c>
      <c r="AC821" s="17" t="s">
        <v>9539</v>
      </c>
      <c r="AD821" s="42">
        <v>41.07</v>
      </c>
      <c r="AE821" s="42">
        <v>43.21</v>
      </c>
      <c r="AF821" s="48"/>
      <c r="AG821" s="44"/>
      <c r="AH821" s="7">
        <f t="shared" si="12"/>
        <v>0</v>
      </c>
      <c r="AI821" s="18"/>
      <c r="AJ821" s="18"/>
    </row>
    <row r="822" spans="1:38" ht="26.65" customHeight="1" x14ac:dyDescent="0.25">
      <c r="A822" s="10" t="s">
        <v>5076</v>
      </c>
      <c r="B822" s="9" t="s">
        <v>3030</v>
      </c>
      <c r="C822" s="9" t="s">
        <v>34</v>
      </c>
      <c r="D822" s="9" t="s">
        <v>3031</v>
      </c>
      <c r="E822" s="9" t="s">
        <v>35</v>
      </c>
      <c r="F822" s="9" t="s">
        <v>36</v>
      </c>
      <c r="G822" s="9">
        <v>1</v>
      </c>
      <c r="H822" s="9">
        <v>84219999</v>
      </c>
      <c r="I822" s="11" t="s">
        <v>37</v>
      </c>
      <c r="J822" s="12">
        <v>1.6500000000000001E-2</v>
      </c>
      <c r="K822" s="12">
        <v>7.5999999999999998E-2</v>
      </c>
      <c r="L822" s="12">
        <v>5.1999999999999998E-2</v>
      </c>
      <c r="M822" s="13">
        <v>8003453106505</v>
      </c>
      <c r="N822" s="14">
        <v>0.99199999999999999</v>
      </c>
      <c r="O822" s="14">
        <v>1.25</v>
      </c>
      <c r="P822" s="15">
        <v>45139</v>
      </c>
      <c r="Q822" s="16" t="s">
        <v>5077</v>
      </c>
      <c r="R822" s="17" t="s">
        <v>5078</v>
      </c>
      <c r="S822" s="17" t="s">
        <v>5079</v>
      </c>
      <c r="T822" s="17" t="s">
        <v>35</v>
      </c>
      <c r="U822" s="17" t="s">
        <v>35</v>
      </c>
      <c r="V822" s="17" t="s">
        <v>35</v>
      </c>
      <c r="W822" s="17" t="s">
        <v>35</v>
      </c>
      <c r="X822" s="17" t="s">
        <v>35</v>
      </c>
      <c r="Y822" s="17" t="s">
        <v>35</v>
      </c>
      <c r="Z822" s="17" t="s">
        <v>5080</v>
      </c>
      <c r="AA822" s="17" t="s">
        <v>35</v>
      </c>
      <c r="AB822" s="17" t="s">
        <v>5081</v>
      </c>
      <c r="AC822" s="17" t="s">
        <v>9539</v>
      </c>
      <c r="AD822" s="41">
        <v>96.46</v>
      </c>
      <c r="AE822" s="41">
        <v>101.48</v>
      </c>
      <c r="AF822" s="48"/>
      <c r="AG822" s="44"/>
      <c r="AH822" s="7">
        <f t="shared" si="12"/>
        <v>0</v>
      </c>
      <c r="AI822" s="18"/>
      <c r="AJ822" s="18"/>
      <c r="AL822" s="18"/>
    </row>
    <row r="823" spans="1:38" ht="26.65" customHeight="1" x14ac:dyDescent="0.25">
      <c r="A823" s="10" t="s">
        <v>5082</v>
      </c>
      <c r="B823" s="9" t="s">
        <v>3030</v>
      </c>
      <c r="C823" s="9" t="s">
        <v>34</v>
      </c>
      <c r="D823" s="9" t="s">
        <v>3306</v>
      </c>
      <c r="E823" s="9" t="s">
        <v>35</v>
      </c>
      <c r="F823" s="9" t="s">
        <v>36</v>
      </c>
      <c r="G823" s="9">
        <v>1</v>
      </c>
      <c r="H823" s="9">
        <v>84219999</v>
      </c>
      <c r="I823" s="11" t="s">
        <v>37</v>
      </c>
      <c r="J823" s="12">
        <v>1.6500000000000001E-2</v>
      </c>
      <c r="K823" s="12">
        <v>7.5999999999999998E-2</v>
      </c>
      <c r="L823" s="12">
        <v>5.1999999999999998E-2</v>
      </c>
      <c r="M823" s="13">
        <v>8003453106604</v>
      </c>
      <c r="N823" s="14">
        <v>0.60899999999999999</v>
      </c>
      <c r="O823" s="14">
        <v>0.68400000000000005</v>
      </c>
      <c r="P823" s="15">
        <v>45200</v>
      </c>
      <c r="Q823" s="16" t="s">
        <v>5083</v>
      </c>
      <c r="R823" s="17" t="s">
        <v>5084</v>
      </c>
      <c r="S823" s="17" t="s">
        <v>5085</v>
      </c>
      <c r="T823" s="17" t="s">
        <v>35</v>
      </c>
      <c r="U823" s="17" t="s">
        <v>35</v>
      </c>
      <c r="V823" s="17" t="s">
        <v>35</v>
      </c>
      <c r="W823" s="17" t="s">
        <v>35</v>
      </c>
      <c r="X823" s="17" t="s">
        <v>35</v>
      </c>
      <c r="Y823" s="17" t="s">
        <v>35</v>
      </c>
      <c r="Z823" s="17" t="s">
        <v>35</v>
      </c>
      <c r="AA823" s="17" t="s">
        <v>35</v>
      </c>
      <c r="AB823" s="17" t="s">
        <v>35</v>
      </c>
      <c r="AC823" s="17" t="s">
        <v>9539</v>
      </c>
      <c r="AD823" s="42">
        <v>54.65</v>
      </c>
      <c r="AE823" s="42">
        <v>57.49</v>
      </c>
      <c r="AF823" s="48"/>
      <c r="AG823" s="44"/>
      <c r="AH823" s="7">
        <f t="shared" si="12"/>
        <v>0</v>
      </c>
      <c r="AI823" s="18"/>
      <c r="AJ823" s="18"/>
    </row>
    <row r="824" spans="1:38" ht="26.65" customHeight="1" x14ac:dyDescent="0.25">
      <c r="A824" s="10" t="s">
        <v>5086</v>
      </c>
      <c r="B824" s="9" t="s">
        <v>3086</v>
      </c>
      <c r="C824" s="9" t="s">
        <v>34</v>
      </c>
      <c r="D824" s="9" t="s">
        <v>3064</v>
      </c>
      <c r="E824" s="9" t="s">
        <v>35</v>
      </c>
      <c r="F824" s="9" t="s">
        <v>36</v>
      </c>
      <c r="G824" s="9">
        <v>1</v>
      </c>
      <c r="H824" s="9">
        <v>84219999</v>
      </c>
      <c r="I824" s="11" t="s">
        <v>37</v>
      </c>
      <c r="J824" s="12">
        <v>1.6500000000000001E-2</v>
      </c>
      <c r="K824" s="12">
        <v>7.5999999999999998E-2</v>
      </c>
      <c r="L824" s="12">
        <v>5.1999999999999998E-2</v>
      </c>
      <c r="M824" s="13">
        <v>8003453107236</v>
      </c>
      <c r="N824" s="14">
        <v>1.1100000000000001</v>
      </c>
      <c r="O824" s="14">
        <v>1.35</v>
      </c>
      <c r="P824" s="15">
        <v>45139</v>
      </c>
      <c r="Q824" s="16" t="s">
        <v>5087</v>
      </c>
      <c r="R824" s="17" t="s">
        <v>5088</v>
      </c>
      <c r="S824" s="17" t="s">
        <v>35</v>
      </c>
      <c r="T824" s="17" t="s">
        <v>35</v>
      </c>
      <c r="U824" s="17" t="s">
        <v>35</v>
      </c>
      <c r="V824" s="17" t="s">
        <v>5089</v>
      </c>
      <c r="W824" s="17" t="s">
        <v>35</v>
      </c>
      <c r="X824" s="17" t="s">
        <v>35</v>
      </c>
      <c r="Y824" s="17" t="s">
        <v>35</v>
      </c>
      <c r="Z824" s="17" t="s">
        <v>5090</v>
      </c>
      <c r="AA824" s="17" t="s">
        <v>35</v>
      </c>
      <c r="AB824" s="17" t="s">
        <v>5091</v>
      </c>
      <c r="AC824" s="17" t="s">
        <v>9539</v>
      </c>
      <c r="AD824" s="42">
        <v>118.89</v>
      </c>
      <c r="AE824" s="42">
        <v>125.07</v>
      </c>
      <c r="AF824" s="48"/>
      <c r="AG824" s="44"/>
      <c r="AH824" s="7">
        <f t="shared" si="12"/>
        <v>0</v>
      </c>
      <c r="AI824" s="18"/>
      <c r="AJ824" s="18"/>
    </row>
    <row r="825" spans="1:38" ht="26.65" customHeight="1" x14ac:dyDescent="0.25">
      <c r="A825" s="10" t="s">
        <v>5092</v>
      </c>
      <c r="B825" s="9" t="s">
        <v>3030</v>
      </c>
      <c r="C825" s="9" t="s">
        <v>34</v>
      </c>
      <c r="D825" s="9" t="s">
        <v>3207</v>
      </c>
      <c r="E825" s="9" t="s">
        <v>35</v>
      </c>
      <c r="F825" s="9" t="s">
        <v>36</v>
      </c>
      <c r="G825" s="9">
        <v>1</v>
      </c>
      <c r="H825" s="9">
        <v>84219999</v>
      </c>
      <c r="I825" s="11" t="s">
        <v>37</v>
      </c>
      <c r="J825" s="12">
        <v>1.6500000000000001E-2</v>
      </c>
      <c r="K825" s="12">
        <v>7.5999999999999998E-2</v>
      </c>
      <c r="L825" s="12">
        <v>5.1999999999999998E-2</v>
      </c>
      <c r="M825" s="13">
        <v>8003453107250</v>
      </c>
      <c r="N825" s="14">
        <v>3.8</v>
      </c>
      <c r="O825" s="14">
        <v>4.3</v>
      </c>
      <c r="P825" s="15">
        <v>45200</v>
      </c>
      <c r="Q825" s="16" t="s">
        <v>5093</v>
      </c>
      <c r="R825" s="17" t="s">
        <v>5094</v>
      </c>
      <c r="S825" s="17" t="s">
        <v>35</v>
      </c>
      <c r="T825" s="17" t="s">
        <v>35</v>
      </c>
      <c r="U825" s="17" t="s">
        <v>35</v>
      </c>
      <c r="V825" s="17" t="s">
        <v>5095</v>
      </c>
      <c r="W825" s="17" t="s">
        <v>35</v>
      </c>
      <c r="X825" s="17" t="s">
        <v>35</v>
      </c>
      <c r="Y825" s="17" t="s">
        <v>35</v>
      </c>
      <c r="Z825" s="17" t="s">
        <v>5096</v>
      </c>
      <c r="AA825" s="17" t="s">
        <v>35</v>
      </c>
      <c r="AB825" s="17" t="s">
        <v>5097</v>
      </c>
      <c r="AC825" s="17" t="s">
        <v>9539</v>
      </c>
      <c r="AD825" s="42">
        <v>204.72</v>
      </c>
      <c r="AE825" s="42">
        <v>215.37</v>
      </c>
      <c r="AF825" s="48"/>
      <c r="AG825" s="44"/>
      <c r="AH825" s="7">
        <f t="shared" si="12"/>
        <v>0</v>
      </c>
      <c r="AI825" s="18"/>
      <c r="AJ825" s="18"/>
    </row>
    <row r="826" spans="1:38" ht="26.65" customHeight="1" x14ac:dyDescent="0.25">
      <c r="A826" s="10" t="s">
        <v>10367</v>
      </c>
      <c r="B826" s="9" t="s">
        <v>3030</v>
      </c>
      <c r="C826" s="9" t="s">
        <v>34</v>
      </c>
      <c r="D826" s="9" t="s">
        <v>3207</v>
      </c>
      <c r="E826" s="9" t="s">
        <v>35</v>
      </c>
      <c r="F826" s="9" t="s">
        <v>36</v>
      </c>
      <c r="G826" s="9">
        <v>5</v>
      </c>
      <c r="H826" s="9">
        <v>84219999</v>
      </c>
      <c r="I826" s="11" t="s">
        <v>37</v>
      </c>
      <c r="J826" s="12">
        <v>1.6500000000000001E-2</v>
      </c>
      <c r="K826" s="12">
        <v>7.5999999999999998E-2</v>
      </c>
      <c r="L826" s="12">
        <v>5.1999999999999998E-2</v>
      </c>
      <c r="M826" s="13">
        <v>8003453802421</v>
      </c>
      <c r="N826" s="14">
        <v>0</v>
      </c>
      <c r="O826" s="14">
        <v>0</v>
      </c>
      <c r="P826" s="15">
        <v>45566</v>
      </c>
      <c r="Q826" s="16" t="s">
        <v>10368</v>
      </c>
      <c r="R826" s="17" t="s">
        <v>10369</v>
      </c>
      <c r="S826" s="17" t="s">
        <v>35</v>
      </c>
      <c r="T826" s="17" t="s">
        <v>35</v>
      </c>
      <c r="U826" s="17" t="s">
        <v>35</v>
      </c>
      <c r="V826" s="17" t="s">
        <v>35</v>
      </c>
      <c r="W826" s="17" t="s">
        <v>35</v>
      </c>
      <c r="X826" s="17" t="s">
        <v>35</v>
      </c>
      <c r="Y826" s="17" t="s">
        <v>5189</v>
      </c>
      <c r="Z826" s="17" t="s">
        <v>5190</v>
      </c>
      <c r="AA826" s="17" t="s">
        <v>35</v>
      </c>
      <c r="AB826" s="17" t="s">
        <v>10370</v>
      </c>
      <c r="AC826" s="17" t="s">
        <v>9539</v>
      </c>
      <c r="AD826" s="41">
        <v>103.4</v>
      </c>
      <c r="AE826" s="41">
        <v>108.78</v>
      </c>
      <c r="AF826" s="48"/>
      <c r="AG826" s="44"/>
      <c r="AH826" s="7">
        <f t="shared" si="12"/>
        <v>0</v>
      </c>
      <c r="AI826" s="18"/>
      <c r="AJ826" s="18"/>
    </row>
    <row r="827" spans="1:38" ht="26.65" customHeight="1" x14ac:dyDescent="0.25">
      <c r="A827" s="38" t="s">
        <v>9171</v>
      </c>
      <c r="B827" s="9" t="s">
        <v>9172</v>
      </c>
      <c r="C827" s="9" t="s">
        <v>58</v>
      </c>
      <c r="D827" s="9" t="s">
        <v>5121</v>
      </c>
      <c r="E827" s="9" t="s">
        <v>35</v>
      </c>
      <c r="F827" s="9" t="s">
        <v>36</v>
      </c>
      <c r="G827" s="9">
        <v>6</v>
      </c>
      <c r="H827" s="9">
        <v>84213990</v>
      </c>
      <c r="I827" s="11" t="s">
        <v>37</v>
      </c>
      <c r="J827" s="12">
        <v>1.6500000000000001E-2</v>
      </c>
      <c r="K827" s="12">
        <v>7.5999999999999998E-2</v>
      </c>
      <c r="L827" s="12">
        <v>0</v>
      </c>
      <c r="M827" s="13">
        <v>8003453809468</v>
      </c>
      <c r="N827" s="14" t="s">
        <v>35</v>
      </c>
      <c r="O827" s="14" t="s">
        <v>35</v>
      </c>
      <c r="P827" s="15">
        <v>45383</v>
      </c>
      <c r="Q827" s="16" t="s">
        <v>9173</v>
      </c>
      <c r="R827" s="17" t="s">
        <v>9174</v>
      </c>
      <c r="S827" s="17" t="s">
        <v>9175</v>
      </c>
      <c r="T827" s="17" t="s">
        <v>9176</v>
      </c>
      <c r="U827" s="17" t="s">
        <v>9177</v>
      </c>
      <c r="V827" s="17" t="s">
        <v>9178</v>
      </c>
      <c r="W827" s="17" t="s">
        <v>35</v>
      </c>
      <c r="X827" s="17" t="s">
        <v>35</v>
      </c>
      <c r="Y827" s="17" t="s">
        <v>9179</v>
      </c>
      <c r="Z827" s="17" t="s">
        <v>9180</v>
      </c>
      <c r="AA827" s="17" t="s">
        <v>35</v>
      </c>
      <c r="AB827" s="17" t="s">
        <v>9181</v>
      </c>
      <c r="AC827" s="17" t="s">
        <v>9538</v>
      </c>
      <c r="AD827" s="42">
        <v>98.88</v>
      </c>
      <c r="AE827" s="42">
        <v>98.88</v>
      </c>
      <c r="AF827" s="48"/>
      <c r="AG827" s="44"/>
      <c r="AH827" s="7">
        <f t="shared" si="12"/>
        <v>0</v>
      </c>
      <c r="AI827" s="18"/>
      <c r="AJ827" s="18"/>
    </row>
    <row r="828" spans="1:38" ht="26.65" customHeight="1" x14ac:dyDescent="0.25">
      <c r="A828" s="10" t="s">
        <v>5098</v>
      </c>
      <c r="B828" s="9" t="s">
        <v>3056</v>
      </c>
      <c r="C828" s="9" t="s">
        <v>58</v>
      </c>
      <c r="D828" s="9" t="s">
        <v>3031</v>
      </c>
      <c r="E828" s="9" t="s">
        <v>35</v>
      </c>
      <c r="F828" s="9" t="s">
        <v>36</v>
      </c>
      <c r="G828" s="9">
        <v>1</v>
      </c>
      <c r="H828" s="9">
        <v>84219999</v>
      </c>
      <c r="I828" s="11" t="s">
        <v>37</v>
      </c>
      <c r="J828" s="12">
        <v>1.6500000000000001E-2</v>
      </c>
      <c r="K828" s="12">
        <v>7.5999999999999998E-2</v>
      </c>
      <c r="L828" s="12">
        <v>5.1999999999999998E-2</v>
      </c>
      <c r="M828" s="13">
        <v>8003453107540</v>
      </c>
      <c r="N828" s="14">
        <v>3.8929999999999998</v>
      </c>
      <c r="O828" s="14">
        <v>4.4580000000000002</v>
      </c>
      <c r="P828" s="15">
        <v>45139</v>
      </c>
      <c r="Q828" s="16" t="s">
        <v>5099</v>
      </c>
      <c r="R828" s="17" t="s">
        <v>5100</v>
      </c>
      <c r="S828" s="17" t="s">
        <v>5101</v>
      </c>
      <c r="T828" s="17" t="s">
        <v>5102</v>
      </c>
      <c r="U828" s="17" t="s">
        <v>35</v>
      </c>
      <c r="V828" s="17" t="s">
        <v>35</v>
      </c>
      <c r="W828" s="17" t="s">
        <v>35</v>
      </c>
      <c r="X828" s="17" t="s">
        <v>5103</v>
      </c>
      <c r="Y828" s="17" t="s">
        <v>35</v>
      </c>
      <c r="Z828" s="17" t="s">
        <v>5104</v>
      </c>
      <c r="AA828" s="17" t="s">
        <v>35</v>
      </c>
      <c r="AB828" s="17" t="s">
        <v>5105</v>
      </c>
      <c r="AC828" s="17" t="s">
        <v>9539</v>
      </c>
      <c r="AD828" s="42">
        <v>265.39</v>
      </c>
      <c r="AE828" s="42">
        <v>279.19</v>
      </c>
      <c r="AF828" s="48"/>
      <c r="AG828" s="44"/>
      <c r="AH828" s="7">
        <f t="shared" si="12"/>
        <v>0</v>
      </c>
      <c r="AI828" s="18"/>
      <c r="AJ828" s="18"/>
    </row>
    <row r="829" spans="1:38" ht="26.65" customHeight="1" x14ac:dyDescent="0.25">
      <c r="A829" s="10" t="s">
        <v>8938</v>
      </c>
      <c r="B829" s="9" t="s">
        <v>8666</v>
      </c>
      <c r="C829" s="9" t="s">
        <v>58</v>
      </c>
      <c r="D829" s="9" t="s">
        <v>5121</v>
      </c>
      <c r="E829" s="9" t="s">
        <v>35</v>
      </c>
      <c r="F829" s="9" t="s">
        <v>36</v>
      </c>
      <c r="G829" s="9">
        <v>1</v>
      </c>
      <c r="H829" s="9">
        <v>84213990</v>
      </c>
      <c r="I829" s="11" t="s">
        <v>37</v>
      </c>
      <c r="J829" s="12">
        <v>1.6500000000000001E-2</v>
      </c>
      <c r="K829" s="12">
        <v>7.5999999999999998E-2</v>
      </c>
      <c r="L829" s="12">
        <v>0</v>
      </c>
      <c r="M829" s="13">
        <v>8003453107601</v>
      </c>
      <c r="N829" s="14">
        <v>0</v>
      </c>
      <c r="O829" s="14">
        <v>0</v>
      </c>
      <c r="P829" s="15">
        <v>45323</v>
      </c>
      <c r="Q829" s="16" t="s">
        <v>8939</v>
      </c>
      <c r="R829" s="17" t="s">
        <v>35</v>
      </c>
      <c r="S829" s="17" t="s">
        <v>8940</v>
      </c>
      <c r="T829" s="17" t="s">
        <v>8941</v>
      </c>
      <c r="U829" s="17" t="s">
        <v>8942</v>
      </c>
      <c r="V829" s="17" t="s">
        <v>35</v>
      </c>
      <c r="W829" s="17" t="s">
        <v>35</v>
      </c>
      <c r="X829" s="17" t="s">
        <v>35</v>
      </c>
      <c r="Y829" s="17" t="s">
        <v>35</v>
      </c>
      <c r="Z829" s="17" t="s">
        <v>8943</v>
      </c>
      <c r="AA829" s="17" t="s">
        <v>35</v>
      </c>
      <c r="AB829" s="17" t="s">
        <v>8944</v>
      </c>
      <c r="AC829" s="17" t="s">
        <v>9539</v>
      </c>
      <c r="AD829" s="42">
        <v>266.62</v>
      </c>
      <c r="AE829" s="42">
        <v>266.62</v>
      </c>
      <c r="AF829" s="48"/>
      <c r="AG829" s="44"/>
      <c r="AH829" s="7">
        <f t="shared" si="12"/>
        <v>0</v>
      </c>
      <c r="AI829" s="18"/>
      <c r="AJ829" s="18"/>
    </row>
    <row r="830" spans="1:38" ht="26.65" customHeight="1" x14ac:dyDescent="0.25">
      <c r="A830" s="10" t="s">
        <v>10371</v>
      </c>
      <c r="B830" s="9" t="s">
        <v>3030</v>
      </c>
      <c r="C830" s="9" t="s">
        <v>58</v>
      </c>
      <c r="D830" s="9" t="s">
        <v>3031</v>
      </c>
      <c r="E830" s="9" t="s">
        <v>35</v>
      </c>
      <c r="F830" s="9" t="s">
        <v>36</v>
      </c>
      <c r="G830" s="9">
        <v>5</v>
      </c>
      <c r="H830" s="9">
        <v>84219999</v>
      </c>
      <c r="I830" s="11" t="s">
        <v>37</v>
      </c>
      <c r="J830" s="12">
        <v>1.6500000000000001E-2</v>
      </c>
      <c r="K830" s="12">
        <v>7.5999999999999998E-2</v>
      </c>
      <c r="L830" s="12">
        <v>5.1999999999999998E-2</v>
      </c>
      <c r="M830" s="13">
        <v>8003453107625</v>
      </c>
      <c r="N830" s="14">
        <v>0</v>
      </c>
      <c r="O830" s="14">
        <v>0</v>
      </c>
      <c r="P830" s="15">
        <v>45566</v>
      </c>
      <c r="Q830" s="16" t="s">
        <v>10372</v>
      </c>
      <c r="R830" s="17" t="s">
        <v>35</v>
      </c>
      <c r="S830" s="17" t="s">
        <v>10373</v>
      </c>
      <c r="T830" s="17" t="s">
        <v>10374</v>
      </c>
      <c r="U830" s="17" t="s">
        <v>35</v>
      </c>
      <c r="V830" s="17" t="s">
        <v>35</v>
      </c>
      <c r="W830" s="17" t="s">
        <v>35</v>
      </c>
      <c r="X830" s="17" t="s">
        <v>35</v>
      </c>
      <c r="Y830" s="17" t="s">
        <v>10375</v>
      </c>
      <c r="Z830" s="17" t="s">
        <v>10376</v>
      </c>
      <c r="AA830" s="17" t="s">
        <v>35</v>
      </c>
      <c r="AB830" s="17" t="s">
        <v>35</v>
      </c>
      <c r="AC830" s="17" t="s">
        <v>9539</v>
      </c>
      <c r="AD830" s="41">
        <v>309.45</v>
      </c>
      <c r="AE830" s="41">
        <v>325.54000000000002</v>
      </c>
      <c r="AF830" s="48"/>
      <c r="AG830" s="44"/>
      <c r="AH830" s="7">
        <f t="shared" si="12"/>
        <v>0</v>
      </c>
      <c r="AI830" s="18"/>
      <c r="AJ830" s="18"/>
    </row>
    <row r="831" spans="1:38" ht="26.65" customHeight="1" x14ac:dyDescent="0.25">
      <c r="A831" s="38" t="s">
        <v>5106</v>
      </c>
      <c r="B831" s="9" t="s">
        <v>8666</v>
      </c>
      <c r="C831" s="9" t="s">
        <v>58</v>
      </c>
      <c r="D831" s="9" t="s">
        <v>5121</v>
      </c>
      <c r="E831" s="9" t="s">
        <v>35</v>
      </c>
      <c r="F831" s="9" t="s">
        <v>36</v>
      </c>
      <c r="G831" s="9">
        <v>4</v>
      </c>
      <c r="H831" s="9">
        <v>84213990</v>
      </c>
      <c r="I831" s="11" t="s">
        <v>37</v>
      </c>
      <c r="J831" s="12">
        <v>1.6500000000000001E-2</v>
      </c>
      <c r="K831" s="12">
        <v>7.5999999999999998E-2</v>
      </c>
      <c r="L831" s="12">
        <v>0</v>
      </c>
      <c r="M831" s="13">
        <v>8003453808119</v>
      </c>
      <c r="N831" s="14">
        <v>2.4</v>
      </c>
      <c r="O831" s="14">
        <v>2.5</v>
      </c>
      <c r="P831" s="15">
        <v>45017</v>
      </c>
      <c r="Q831" s="16" t="s">
        <v>3414</v>
      </c>
      <c r="R831" s="17" t="s">
        <v>5107</v>
      </c>
      <c r="S831" s="17" t="s">
        <v>5108</v>
      </c>
      <c r="T831" s="17" t="s">
        <v>9930</v>
      </c>
      <c r="U831" s="17" t="s">
        <v>35</v>
      </c>
      <c r="V831" s="17" t="s">
        <v>5109</v>
      </c>
      <c r="W831" s="17" t="s">
        <v>35</v>
      </c>
      <c r="X831" s="17" t="s">
        <v>35</v>
      </c>
      <c r="Y831" s="17" t="s">
        <v>5110</v>
      </c>
      <c r="Z831" s="17" t="s">
        <v>35</v>
      </c>
      <c r="AA831" s="17" t="s">
        <v>35</v>
      </c>
      <c r="AB831" s="17" t="s">
        <v>5111</v>
      </c>
      <c r="AC831" s="17" t="s">
        <v>9538</v>
      </c>
      <c r="AD831" s="42">
        <v>90.94</v>
      </c>
      <c r="AE831" s="42">
        <v>90.94</v>
      </c>
      <c r="AF831" s="48"/>
      <c r="AG831" s="44"/>
      <c r="AH831" s="7">
        <f t="shared" si="12"/>
        <v>0</v>
      </c>
      <c r="AI831" s="18"/>
      <c r="AJ831" s="18"/>
    </row>
    <row r="832" spans="1:38" ht="26.65" customHeight="1" x14ac:dyDescent="0.25">
      <c r="A832" s="10" t="s">
        <v>5112</v>
      </c>
      <c r="B832" s="9" t="s">
        <v>3206</v>
      </c>
      <c r="C832" s="9" t="s">
        <v>34</v>
      </c>
      <c r="D832" s="9" t="s">
        <v>3207</v>
      </c>
      <c r="E832" s="9" t="s">
        <v>35</v>
      </c>
      <c r="F832" s="9" t="s">
        <v>36</v>
      </c>
      <c r="G832" s="9">
        <v>1</v>
      </c>
      <c r="H832" s="9">
        <v>84219999</v>
      </c>
      <c r="I832" s="11" t="s">
        <v>37</v>
      </c>
      <c r="J832" s="12">
        <v>1.6500000000000001E-2</v>
      </c>
      <c r="K832" s="12">
        <v>7.5999999999999998E-2</v>
      </c>
      <c r="L832" s="12">
        <v>5.1999999999999998E-2</v>
      </c>
      <c r="M832" s="13">
        <v>8003453107786</v>
      </c>
      <c r="N832" s="14">
        <v>5.2290000000000001</v>
      </c>
      <c r="O832" s="14">
        <v>5.6740000000000004</v>
      </c>
      <c r="P832" s="15">
        <v>45017</v>
      </c>
      <c r="Q832" s="16" t="s">
        <v>5113</v>
      </c>
      <c r="R832" s="17" t="s">
        <v>5114</v>
      </c>
      <c r="S832" s="17" t="s">
        <v>5115</v>
      </c>
      <c r="T832" s="17" t="s">
        <v>5116</v>
      </c>
      <c r="U832" s="17" t="s">
        <v>35</v>
      </c>
      <c r="V832" s="17" t="s">
        <v>5117</v>
      </c>
      <c r="W832" s="17" t="s">
        <v>35</v>
      </c>
      <c r="X832" s="17" t="s">
        <v>35</v>
      </c>
      <c r="Y832" s="17" t="s">
        <v>35</v>
      </c>
      <c r="Z832" s="17" t="s">
        <v>5118</v>
      </c>
      <c r="AA832" s="17" t="s">
        <v>35</v>
      </c>
      <c r="AB832" s="17" t="s">
        <v>5119</v>
      </c>
      <c r="AC832" s="17" t="s">
        <v>9539</v>
      </c>
      <c r="AD832" s="41">
        <v>172.76</v>
      </c>
      <c r="AE832" s="41">
        <v>181.74</v>
      </c>
      <c r="AF832" s="48"/>
      <c r="AG832" s="44"/>
      <c r="AH832" s="7">
        <f t="shared" si="12"/>
        <v>0</v>
      </c>
      <c r="AI832" s="18"/>
      <c r="AJ832" s="18"/>
    </row>
    <row r="833" spans="1:38" ht="26.65" customHeight="1" x14ac:dyDescent="0.25">
      <c r="A833" s="38" t="s">
        <v>5120</v>
      </c>
      <c r="B833" s="9" t="s">
        <v>8684</v>
      </c>
      <c r="C833" s="9" t="s">
        <v>58</v>
      </c>
      <c r="D833" s="9" t="s">
        <v>5121</v>
      </c>
      <c r="E833" s="9" t="s">
        <v>35</v>
      </c>
      <c r="F833" s="9" t="s">
        <v>36</v>
      </c>
      <c r="G833" s="9">
        <v>1</v>
      </c>
      <c r="H833" s="9">
        <v>84213990</v>
      </c>
      <c r="I833" s="11" t="s">
        <v>37</v>
      </c>
      <c r="J833" s="12">
        <v>1.6500000000000001E-2</v>
      </c>
      <c r="K833" s="12">
        <v>7.5999999999999998E-2</v>
      </c>
      <c r="L833" s="12">
        <v>0</v>
      </c>
      <c r="M833" s="13">
        <v>8003453803916</v>
      </c>
      <c r="N833" s="14">
        <v>1.42</v>
      </c>
      <c r="O833" s="14">
        <v>1.56</v>
      </c>
      <c r="P833" s="15">
        <v>44378</v>
      </c>
      <c r="Q833" s="16" t="s">
        <v>5122</v>
      </c>
      <c r="R833" s="17" t="s">
        <v>5123</v>
      </c>
      <c r="S833" s="17" t="s">
        <v>35</v>
      </c>
      <c r="T833" s="17" t="s">
        <v>5124</v>
      </c>
      <c r="U833" s="17" t="s">
        <v>35</v>
      </c>
      <c r="V833" s="17" t="s">
        <v>35</v>
      </c>
      <c r="W833" s="17" t="s">
        <v>35</v>
      </c>
      <c r="X833" s="17" t="s">
        <v>35</v>
      </c>
      <c r="Y833" s="17" t="s">
        <v>5125</v>
      </c>
      <c r="Z833" s="17" t="s">
        <v>35</v>
      </c>
      <c r="AA833" s="17" t="s">
        <v>35</v>
      </c>
      <c r="AB833" s="17" t="s">
        <v>35</v>
      </c>
      <c r="AC833" s="17" t="s">
        <v>9538</v>
      </c>
      <c r="AD833" s="41">
        <v>105.25</v>
      </c>
      <c r="AE833" s="41">
        <v>105.25</v>
      </c>
      <c r="AF833" s="48"/>
      <c r="AG833" s="44"/>
      <c r="AH833" s="7">
        <f t="shared" si="12"/>
        <v>0</v>
      </c>
      <c r="AI833" s="18"/>
      <c r="AJ833" s="18"/>
      <c r="AL833" s="18"/>
    </row>
    <row r="834" spans="1:38" ht="26.65" customHeight="1" x14ac:dyDescent="0.25">
      <c r="A834" s="10" t="s">
        <v>10377</v>
      </c>
      <c r="B834" s="9" t="s">
        <v>3030</v>
      </c>
      <c r="C834" s="9" t="s">
        <v>34</v>
      </c>
      <c r="D834" s="9" t="s">
        <v>3031</v>
      </c>
      <c r="E834" s="9" t="s">
        <v>35</v>
      </c>
      <c r="F834" s="9" t="s">
        <v>36</v>
      </c>
      <c r="G834" s="9">
        <v>5</v>
      </c>
      <c r="H834" s="9">
        <v>84219999</v>
      </c>
      <c r="I834" s="11" t="s">
        <v>37</v>
      </c>
      <c r="J834" s="12">
        <v>1.6500000000000001E-2</v>
      </c>
      <c r="K834" s="12">
        <v>7.5999999999999998E-2</v>
      </c>
      <c r="L834" s="12">
        <v>5.1999999999999998E-2</v>
      </c>
      <c r="M834" s="13">
        <v>8003453809895</v>
      </c>
      <c r="N834" s="14">
        <v>0</v>
      </c>
      <c r="O834" s="14">
        <v>0</v>
      </c>
      <c r="P834" s="15">
        <v>45566</v>
      </c>
      <c r="Q834" s="16" t="s">
        <v>10378</v>
      </c>
      <c r="R834" s="17" t="s">
        <v>10379</v>
      </c>
      <c r="S834" s="17" t="s">
        <v>35</v>
      </c>
      <c r="T834" s="17" t="s">
        <v>35</v>
      </c>
      <c r="U834" s="17" t="s">
        <v>35</v>
      </c>
      <c r="V834" s="17" t="s">
        <v>35</v>
      </c>
      <c r="W834" s="17" t="s">
        <v>35</v>
      </c>
      <c r="X834" s="17" t="s">
        <v>35</v>
      </c>
      <c r="Y834" s="17" t="s">
        <v>35</v>
      </c>
      <c r="Z834" s="17" t="s">
        <v>10380</v>
      </c>
      <c r="AA834" s="17" t="s">
        <v>35</v>
      </c>
      <c r="AB834" s="17" t="s">
        <v>10381</v>
      </c>
      <c r="AC834" s="17" t="s">
        <v>9539</v>
      </c>
      <c r="AD834" s="41">
        <v>974.23</v>
      </c>
      <c r="AE834" s="41">
        <v>1024.8900000000001</v>
      </c>
      <c r="AF834" s="48"/>
      <c r="AG834" s="44"/>
      <c r="AH834" s="7">
        <f t="shared" si="12"/>
        <v>0</v>
      </c>
      <c r="AI834" s="18"/>
      <c r="AJ834" s="18"/>
    </row>
    <row r="835" spans="1:38" ht="26.65" customHeight="1" x14ac:dyDescent="0.25">
      <c r="A835" s="10" t="s">
        <v>5126</v>
      </c>
      <c r="B835" s="9" t="s">
        <v>3030</v>
      </c>
      <c r="C835" s="9" t="s">
        <v>43</v>
      </c>
      <c r="D835" s="9" t="s">
        <v>3031</v>
      </c>
      <c r="E835" s="9" t="s">
        <v>35</v>
      </c>
      <c r="F835" s="9" t="s">
        <v>36</v>
      </c>
      <c r="G835" s="9">
        <v>1</v>
      </c>
      <c r="H835" s="9">
        <v>84219999</v>
      </c>
      <c r="I835" s="11" t="s">
        <v>37</v>
      </c>
      <c r="J835" s="12">
        <v>1.6500000000000001E-2</v>
      </c>
      <c r="K835" s="12">
        <v>7.5999999999999998E-2</v>
      </c>
      <c r="L835" s="12">
        <v>5.1999999999999998E-2</v>
      </c>
      <c r="M835" s="13">
        <v>8003453108011</v>
      </c>
      <c r="N835" s="14">
        <v>0.32</v>
      </c>
      <c r="O835" s="14">
        <v>0.435</v>
      </c>
      <c r="P835" s="15">
        <v>44896</v>
      </c>
      <c r="Q835" s="16" t="s">
        <v>5127</v>
      </c>
      <c r="R835" s="17" t="s">
        <v>5128</v>
      </c>
      <c r="S835" s="17" t="s">
        <v>5129</v>
      </c>
      <c r="T835" s="17" t="s">
        <v>5130</v>
      </c>
      <c r="U835" s="17" t="s">
        <v>5131</v>
      </c>
      <c r="V835" s="17" t="s">
        <v>35</v>
      </c>
      <c r="W835" s="17" t="s">
        <v>35</v>
      </c>
      <c r="X835" s="17" t="s">
        <v>35</v>
      </c>
      <c r="Y835" s="17" t="s">
        <v>5132</v>
      </c>
      <c r="Z835" s="17" t="s">
        <v>35</v>
      </c>
      <c r="AA835" s="17" t="s">
        <v>35</v>
      </c>
      <c r="AB835" s="17" t="s">
        <v>35</v>
      </c>
      <c r="AC835" s="17" t="s">
        <v>9539</v>
      </c>
      <c r="AD835" s="42">
        <v>93.71</v>
      </c>
      <c r="AE835" s="42">
        <v>98.58</v>
      </c>
      <c r="AF835" s="48"/>
      <c r="AG835" s="44"/>
      <c r="AH835" s="7">
        <f t="shared" si="12"/>
        <v>0</v>
      </c>
      <c r="AI835" s="18"/>
      <c r="AJ835" s="18"/>
    </row>
    <row r="836" spans="1:38" ht="26.65" customHeight="1" x14ac:dyDescent="0.25">
      <c r="A836" s="10" t="s">
        <v>9330</v>
      </c>
      <c r="B836" s="9" t="s">
        <v>3030</v>
      </c>
      <c r="C836" s="9" t="s">
        <v>43</v>
      </c>
      <c r="D836" s="9" t="s">
        <v>3031</v>
      </c>
      <c r="E836" s="9" t="s">
        <v>35</v>
      </c>
      <c r="F836" s="9" t="s">
        <v>36</v>
      </c>
      <c r="G836" s="9">
        <v>6</v>
      </c>
      <c r="H836" s="9">
        <v>84219999</v>
      </c>
      <c r="I836" s="11" t="s">
        <v>37</v>
      </c>
      <c r="J836" s="12">
        <v>1.6500000000000001E-2</v>
      </c>
      <c r="K836" s="12">
        <v>7.5999999999999998E-2</v>
      </c>
      <c r="L836" s="12">
        <v>5.1999999999999998E-2</v>
      </c>
      <c r="M836" s="13" t="s">
        <v>35</v>
      </c>
      <c r="N836" s="14">
        <v>0</v>
      </c>
      <c r="O836" s="14">
        <v>0</v>
      </c>
      <c r="P836" s="15">
        <v>45444</v>
      </c>
      <c r="Q836" s="16" t="s">
        <v>9331</v>
      </c>
      <c r="R836" s="17" t="s">
        <v>35</v>
      </c>
      <c r="S836" s="17" t="s">
        <v>9332</v>
      </c>
      <c r="T836" s="17" t="s">
        <v>9333</v>
      </c>
      <c r="U836" s="17" t="s">
        <v>9334</v>
      </c>
      <c r="V836" s="17" t="s">
        <v>35</v>
      </c>
      <c r="W836" s="17" t="s">
        <v>35</v>
      </c>
      <c r="X836" s="17" t="s">
        <v>9335</v>
      </c>
      <c r="Y836" s="17" t="s">
        <v>9336</v>
      </c>
      <c r="Z836" s="17" t="s">
        <v>35</v>
      </c>
      <c r="AA836" s="17" t="s">
        <v>35</v>
      </c>
      <c r="AB836" s="17" t="s">
        <v>35</v>
      </c>
      <c r="AC836" s="17" t="s">
        <v>9539</v>
      </c>
      <c r="AD836" s="42">
        <v>95.1</v>
      </c>
      <c r="AE836" s="42">
        <v>100.05</v>
      </c>
      <c r="AF836" s="48"/>
      <c r="AG836" s="44"/>
      <c r="AH836" s="7">
        <f t="shared" ref="AH836:AH899" si="13">AG836*AE836</f>
        <v>0</v>
      </c>
      <c r="AI836" s="18"/>
      <c r="AJ836" s="18"/>
    </row>
    <row r="837" spans="1:38" ht="26.65" customHeight="1" x14ac:dyDescent="0.25">
      <c r="A837" s="10" t="s">
        <v>5133</v>
      </c>
      <c r="B837" s="9" t="s">
        <v>3056</v>
      </c>
      <c r="C837" s="9" t="s">
        <v>34</v>
      </c>
      <c r="D837" s="9" t="s">
        <v>3031</v>
      </c>
      <c r="E837" s="9" t="s">
        <v>35</v>
      </c>
      <c r="F837" s="9" t="s">
        <v>36</v>
      </c>
      <c r="G837" s="9">
        <v>1</v>
      </c>
      <c r="H837" s="9">
        <v>84219999</v>
      </c>
      <c r="I837" s="11" t="s">
        <v>37</v>
      </c>
      <c r="J837" s="12">
        <v>1.6500000000000001E-2</v>
      </c>
      <c r="K837" s="12">
        <v>7.5999999999999998E-2</v>
      </c>
      <c r="L837" s="12">
        <v>5.1999999999999998E-2</v>
      </c>
      <c r="M837" s="13">
        <v>8003453107946</v>
      </c>
      <c r="N837" s="14">
        <v>1.591</v>
      </c>
      <c r="O837" s="14">
        <v>1.8340000000000001</v>
      </c>
      <c r="P837" s="15">
        <v>45139</v>
      </c>
      <c r="Q837" s="16" t="s">
        <v>5134</v>
      </c>
      <c r="R837" s="17" t="s">
        <v>5135</v>
      </c>
      <c r="S837" s="17" t="s">
        <v>35</v>
      </c>
      <c r="T837" s="17" t="s">
        <v>35</v>
      </c>
      <c r="U837" s="17" t="s">
        <v>35</v>
      </c>
      <c r="V837" s="17" t="s">
        <v>35</v>
      </c>
      <c r="W837" s="17" t="s">
        <v>35</v>
      </c>
      <c r="X837" s="17" t="s">
        <v>5136</v>
      </c>
      <c r="Y837" s="17" t="s">
        <v>35</v>
      </c>
      <c r="Z837" s="17" t="s">
        <v>5137</v>
      </c>
      <c r="AA837" s="17" t="s">
        <v>35</v>
      </c>
      <c r="AB837" s="17" t="s">
        <v>5138</v>
      </c>
      <c r="AC837" s="17" t="s">
        <v>9539</v>
      </c>
      <c r="AD837" s="41">
        <v>120.79</v>
      </c>
      <c r="AE837" s="41">
        <v>127.07</v>
      </c>
      <c r="AF837" s="48"/>
      <c r="AG837" s="44"/>
      <c r="AH837" s="7">
        <f t="shared" si="13"/>
        <v>0</v>
      </c>
      <c r="AI837" s="18"/>
      <c r="AJ837" s="18"/>
      <c r="AL837" s="18"/>
    </row>
    <row r="838" spans="1:38" ht="26.65" customHeight="1" x14ac:dyDescent="0.25">
      <c r="A838" s="10" t="s">
        <v>5139</v>
      </c>
      <c r="B838" s="9" t="s">
        <v>5140</v>
      </c>
      <c r="C838" s="9" t="s">
        <v>34</v>
      </c>
      <c r="D838" s="9" t="s">
        <v>5141</v>
      </c>
      <c r="E838" s="9" t="s">
        <v>35</v>
      </c>
      <c r="F838" s="9" t="s">
        <v>36</v>
      </c>
      <c r="G838" s="9">
        <v>1</v>
      </c>
      <c r="H838" s="9">
        <v>84219999</v>
      </c>
      <c r="I838" s="11" t="s">
        <v>37</v>
      </c>
      <c r="J838" s="12">
        <v>1.6500000000000001E-2</v>
      </c>
      <c r="K838" s="12">
        <v>7.5999999999999998E-2</v>
      </c>
      <c r="L838" s="12">
        <v>5.1999999999999998E-2</v>
      </c>
      <c r="M838" s="13">
        <v>8003453108509</v>
      </c>
      <c r="N838" s="14">
        <v>1.55</v>
      </c>
      <c r="O838" s="14">
        <v>1.7430000000000001</v>
      </c>
      <c r="P838" s="15">
        <v>45170</v>
      </c>
      <c r="Q838" s="16" t="s">
        <v>5142</v>
      </c>
      <c r="R838" s="17" t="s">
        <v>5143</v>
      </c>
      <c r="S838" s="17" t="s">
        <v>5144</v>
      </c>
      <c r="T838" s="17" t="s">
        <v>5145</v>
      </c>
      <c r="U838" s="17" t="s">
        <v>35</v>
      </c>
      <c r="V838" s="17" t="s">
        <v>5146</v>
      </c>
      <c r="W838" s="17" t="s">
        <v>5147</v>
      </c>
      <c r="X838" s="17" t="s">
        <v>35</v>
      </c>
      <c r="Y838" s="17" t="s">
        <v>35</v>
      </c>
      <c r="Z838" s="17" t="s">
        <v>5148</v>
      </c>
      <c r="AA838" s="17" t="s">
        <v>35</v>
      </c>
      <c r="AB838" s="17" t="s">
        <v>5149</v>
      </c>
      <c r="AC838" s="17" t="s">
        <v>9539</v>
      </c>
      <c r="AD838" s="42">
        <v>70.2</v>
      </c>
      <c r="AE838" s="42">
        <v>73.849999999999994</v>
      </c>
      <c r="AF838" s="48"/>
      <c r="AG838" s="44"/>
      <c r="AH838" s="7">
        <f t="shared" si="13"/>
        <v>0</v>
      </c>
      <c r="AI838" s="18"/>
      <c r="AJ838" s="18"/>
    </row>
    <row r="839" spans="1:38" ht="26.65" customHeight="1" x14ac:dyDescent="0.25">
      <c r="A839" s="10" t="s">
        <v>5150</v>
      </c>
      <c r="B839" s="9" t="s">
        <v>3030</v>
      </c>
      <c r="C839" s="9" t="s">
        <v>34</v>
      </c>
      <c r="D839" s="9" t="s">
        <v>3207</v>
      </c>
      <c r="E839" s="9" t="s">
        <v>35</v>
      </c>
      <c r="F839" s="9" t="s">
        <v>36</v>
      </c>
      <c r="G839" s="9">
        <v>1</v>
      </c>
      <c r="H839" s="9">
        <v>84219999</v>
      </c>
      <c r="I839" s="11" t="s">
        <v>37</v>
      </c>
      <c r="J839" s="12">
        <v>1.6500000000000001E-2</v>
      </c>
      <c r="K839" s="12">
        <v>7.5999999999999998E-2</v>
      </c>
      <c r="L839" s="12">
        <v>5.1999999999999998E-2</v>
      </c>
      <c r="M839" s="13">
        <v>8003453108578</v>
      </c>
      <c r="N839" s="14">
        <v>0.64100000000000001</v>
      </c>
      <c r="O839" s="14">
        <v>0.755</v>
      </c>
      <c r="P839" s="15">
        <v>44868</v>
      </c>
      <c r="Q839" s="16" t="s">
        <v>5151</v>
      </c>
      <c r="R839" s="17" t="s">
        <v>5152</v>
      </c>
      <c r="S839" s="17" t="s">
        <v>5153</v>
      </c>
      <c r="T839" s="17" t="s">
        <v>5154</v>
      </c>
      <c r="U839" s="17" t="s">
        <v>35</v>
      </c>
      <c r="V839" s="17" t="s">
        <v>35</v>
      </c>
      <c r="W839" s="17" t="s">
        <v>35</v>
      </c>
      <c r="X839" s="17" t="s">
        <v>35</v>
      </c>
      <c r="Y839" s="17" t="s">
        <v>35</v>
      </c>
      <c r="Z839" s="17" t="s">
        <v>5155</v>
      </c>
      <c r="AA839" s="17" t="s">
        <v>35</v>
      </c>
      <c r="AB839" s="17" t="s">
        <v>5156</v>
      </c>
      <c r="AC839" s="17" t="s">
        <v>9539</v>
      </c>
      <c r="AD839" s="42">
        <v>323.05</v>
      </c>
      <c r="AE839" s="42">
        <v>339.85</v>
      </c>
      <c r="AF839" s="48"/>
      <c r="AG839" s="44"/>
      <c r="AH839" s="7">
        <f t="shared" si="13"/>
        <v>0</v>
      </c>
      <c r="AI839" s="18"/>
      <c r="AJ839" s="18"/>
    </row>
    <row r="840" spans="1:38" ht="26.65" customHeight="1" x14ac:dyDescent="0.25">
      <c r="A840" s="10" t="s">
        <v>5157</v>
      </c>
      <c r="B840" s="9" t="s">
        <v>3030</v>
      </c>
      <c r="C840" s="9" t="s">
        <v>34</v>
      </c>
      <c r="D840" s="9" t="s">
        <v>3306</v>
      </c>
      <c r="E840" s="9" t="s">
        <v>35</v>
      </c>
      <c r="F840" s="9" t="s">
        <v>2072</v>
      </c>
      <c r="G840" s="9">
        <v>1</v>
      </c>
      <c r="H840" s="9">
        <v>84219999</v>
      </c>
      <c r="I840" s="11" t="s">
        <v>2073</v>
      </c>
      <c r="J840" s="12">
        <v>1.6500000000000001E-2</v>
      </c>
      <c r="K840" s="12">
        <v>7.5999999999999998E-2</v>
      </c>
      <c r="L840" s="12">
        <v>0</v>
      </c>
      <c r="M840" s="13">
        <v>8003453806047</v>
      </c>
      <c r="N840" s="14">
        <v>6</v>
      </c>
      <c r="O840" s="14">
        <v>7</v>
      </c>
      <c r="P840" s="15">
        <v>44501</v>
      </c>
      <c r="Q840" s="16" t="s">
        <v>5158</v>
      </c>
      <c r="R840" s="17" t="s">
        <v>5159</v>
      </c>
      <c r="S840" s="17" t="s">
        <v>35</v>
      </c>
      <c r="T840" s="17" t="s">
        <v>35</v>
      </c>
      <c r="U840" s="17" t="s">
        <v>35</v>
      </c>
      <c r="V840" s="17" t="s">
        <v>5160</v>
      </c>
      <c r="W840" s="17" t="s">
        <v>35</v>
      </c>
      <c r="X840" s="17" t="s">
        <v>35</v>
      </c>
      <c r="Y840" s="17" t="s">
        <v>35</v>
      </c>
      <c r="Z840" s="17" t="s">
        <v>5161</v>
      </c>
      <c r="AA840" s="17" t="s">
        <v>35</v>
      </c>
      <c r="AB840" s="17" t="s">
        <v>5162</v>
      </c>
      <c r="AC840" s="17" t="s">
        <v>9539</v>
      </c>
      <c r="AD840" s="41">
        <v>297.45999999999998</v>
      </c>
      <c r="AE840" s="41">
        <v>297.45999999999998</v>
      </c>
      <c r="AF840" s="48"/>
      <c r="AG840" s="44"/>
      <c r="AH840" s="7">
        <f t="shared" si="13"/>
        <v>0</v>
      </c>
      <c r="AI840" s="18"/>
      <c r="AJ840" s="18"/>
    </row>
    <row r="841" spans="1:38" ht="26.65" customHeight="1" x14ac:dyDescent="0.25">
      <c r="A841" s="10" t="s">
        <v>5163</v>
      </c>
      <c r="B841" s="9" t="s">
        <v>3063</v>
      </c>
      <c r="C841" s="9" t="s">
        <v>34</v>
      </c>
      <c r="D841" s="9" t="s">
        <v>3064</v>
      </c>
      <c r="E841" s="9" t="s">
        <v>35</v>
      </c>
      <c r="F841" s="9" t="s">
        <v>2072</v>
      </c>
      <c r="G841" s="9">
        <v>1</v>
      </c>
      <c r="H841" s="9">
        <v>84219999</v>
      </c>
      <c r="I841" s="11" t="s">
        <v>2073</v>
      </c>
      <c r="J841" s="12">
        <v>1.6500000000000001E-2</v>
      </c>
      <c r="K841" s="12">
        <v>7.5999999999999998E-2</v>
      </c>
      <c r="L841" s="12">
        <v>0</v>
      </c>
      <c r="M841" s="13">
        <v>8003453806054</v>
      </c>
      <c r="N841" s="14">
        <v>1.5</v>
      </c>
      <c r="O841" s="14">
        <v>2</v>
      </c>
      <c r="P841" s="15">
        <v>44501</v>
      </c>
      <c r="Q841" s="16" t="s">
        <v>5158</v>
      </c>
      <c r="R841" s="17" t="s">
        <v>5164</v>
      </c>
      <c r="S841" s="17" t="s">
        <v>35</v>
      </c>
      <c r="T841" s="17" t="s">
        <v>35</v>
      </c>
      <c r="U841" s="17" t="s">
        <v>35</v>
      </c>
      <c r="V841" s="17" t="s">
        <v>5165</v>
      </c>
      <c r="W841" s="17" t="s">
        <v>35</v>
      </c>
      <c r="X841" s="17" t="s">
        <v>35</v>
      </c>
      <c r="Y841" s="17" t="s">
        <v>35</v>
      </c>
      <c r="Z841" s="17" t="s">
        <v>5166</v>
      </c>
      <c r="AA841" s="17" t="s">
        <v>35</v>
      </c>
      <c r="AB841" s="17" t="s">
        <v>5167</v>
      </c>
      <c r="AC841" s="17" t="s">
        <v>9539</v>
      </c>
      <c r="AD841" s="41">
        <v>115.3</v>
      </c>
      <c r="AE841" s="41">
        <v>115.3</v>
      </c>
      <c r="AF841" s="48"/>
      <c r="AG841" s="44"/>
      <c r="AH841" s="7">
        <f t="shared" si="13"/>
        <v>0</v>
      </c>
      <c r="AI841" s="18"/>
      <c r="AJ841" s="18"/>
    </row>
    <row r="842" spans="1:38" ht="26.65" customHeight="1" x14ac:dyDescent="0.25">
      <c r="A842" s="10" t="s">
        <v>5168</v>
      </c>
      <c r="B842" s="9" t="s">
        <v>3030</v>
      </c>
      <c r="C842" s="9" t="s">
        <v>34</v>
      </c>
      <c r="D842" s="9" t="s">
        <v>3306</v>
      </c>
      <c r="E842" s="9" t="s">
        <v>35</v>
      </c>
      <c r="F842" s="9" t="s">
        <v>2072</v>
      </c>
      <c r="G842" s="9">
        <v>1</v>
      </c>
      <c r="H842" s="9">
        <v>84219999</v>
      </c>
      <c r="I842" s="11" t="s">
        <v>2073</v>
      </c>
      <c r="J842" s="12">
        <v>1.6500000000000001E-2</v>
      </c>
      <c r="K842" s="12">
        <v>7.5999999999999998E-2</v>
      </c>
      <c r="L842" s="12">
        <v>0</v>
      </c>
      <c r="M842" s="13">
        <v>8003453806221</v>
      </c>
      <c r="N842" s="14">
        <v>2.7</v>
      </c>
      <c r="O842" s="14">
        <v>3.1</v>
      </c>
      <c r="P842" s="15">
        <v>44621</v>
      </c>
      <c r="Q842" s="16" t="s">
        <v>5169</v>
      </c>
      <c r="R842" s="17" t="s">
        <v>5170</v>
      </c>
      <c r="S842" s="17" t="s">
        <v>35</v>
      </c>
      <c r="T842" s="17" t="s">
        <v>35</v>
      </c>
      <c r="U842" s="17" t="s">
        <v>35</v>
      </c>
      <c r="V842" s="17" t="s">
        <v>5171</v>
      </c>
      <c r="W842" s="17" t="s">
        <v>35</v>
      </c>
      <c r="X842" s="17" t="s">
        <v>35</v>
      </c>
      <c r="Y842" s="17" t="s">
        <v>5172</v>
      </c>
      <c r="Z842" s="17" t="s">
        <v>35</v>
      </c>
      <c r="AA842" s="17" t="s">
        <v>35</v>
      </c>
      <c r="AB842" s="17" t="s">
        <v>5173</v>
      </c>
      <c r="AC842" s="17" t="s">
        <v>9539</v>
      </c>
      <c r="AD842" s="41">
        <v>166.89</v>
      </c>
      <c r="AE842" s="41">
        <v>166.89</v>
      </c>
      <c r="AF842" s="48"/>
      <c r="AG842" s="44"/>
      <c r="AH842" s="7">
        <f t="shared" si="13"/>
        <v>0</v>
      </c>
      <c r="AI842" s="18"/>
      <c r="AJ842" s="18"/>
    </row>
    <row r="843" spans="1:38" ht="26.65" customHeight="1" x14ac:dyDescent="0.25">
      <c r="A843" s="10" t="s">
        <v>5174</v>
      </c>
      <c r="B843" s="9" t="s">
        <v>3063</v>
      </c>
      <c r="C843" s="9" t="s">
        <v>34</v>
      </c>
      <c r="D843" s="9" t="s">
        <v>3064</v>
      </c>
      <c r="E843" s="9" t="s">
        <v>35</v>
      </c>
      <c r="F843" s="9" t="s">
        <v>2072</v>
      </c>
      <c r="G843" s="9">
        <v>1</v>
      </c>
      <c r="H843" s="9">
        <v>84219999</v>
      </c>
      <c r="I843" s="11" t="s">
        <v>2073</v>
      </c>
      <c r="J843" s="12">
        <v>1.6500000000000001E-2</v>
      </c>
      <c r="K843" s="12">
        <v>7.5999999999999998E-2</v>
      </c>
      <c r="L843" s="12">
        <v>0</v>
      </c>
      <c r="M843" s="13">
        <v>8003453806238</v>
      </c>
      <c r="N843" s="14">
        <v>0.8</v>
      </c>
      <c r="O843" s="14">
        <v>1</v>
      </c>
      <c r="P843" s="15">
        <v>44621</v>
      </c>
      <c r="Q843" s="16" t="s">
        <v>5169</v>
      </c>
      <c r="R843" s="17" t="s">
        <v>5175</v>
      </c>
      <c r="S843" s="17" t="s">
        <v>35</v>
      </c>
      <c r="T843" s="17" t="s">
        <v>35</v>
      </c>
      <c r="U843" s="17" t="s">
        <v>35</v>
      </c>
      <c r="V843" s="17" t="s">
        <v>5176</v>
      </c>
      <c r="W843" s="17" t="s">
        <v>35</v>
      </c>
      <c r="X843" s="17" t="s">
        <v>35</v>
      </c>
      <c r="Y843" s="17" t="s">
        <v>5177</v>
      </c>
      <c r="Z843" s="17" t="s">
        <v>35</v>
      </c>
      <c r="AA843" s="17" t="s">
        <v>35</v>
      </c>
      <c r="AB843" s="17" t="s">
        <v>5178</v>
      </c>
      <c r="AC843" s="17" t="s">
        <v>9539</v>
      </c>
      <c r="AD843" s="41">
        <v>67.77</v>
      </c>
      <c r="AE843" s="41">
        <v>67.77</v>
      </c>
      <c r="AF843" s="48"/>
      <c r="AG843" s="44"/>
      <c r="AH843" s="7">
        <f t="shared" si="13"/>
        <v>0</v>
      </c>
      <c r="AI843" s="18"/>
      <c r="AJ843" s="18"/>
    </row>
    <row r="844" spans="1:38" ht="26.65" customHeight="1" x14ac:dyDescent="0.25">
      <c r="A844" s="10" t="s">
        <v>5179</v>
      </c>
      <c r="B844" s="9" t="s">
        <v>3030</v>
      </c>
      <c r="C844" s="9" t="s">
        <v>34</v>
      </c>
      <c r="D844" s="9" t="s">
        <v>3306</v>
      </c>
      <c r="E844" s="9" t="s">
        <v>35</v>
      </c>
      <c r="F844" s="9" t="s">
        <v>2072</v>
      </c>
      <c r="G844" s="9">
        <v>1</v>
      </c>
      <c r="H844" s="9">
        <v>84219999</v>
      </c>
      <c r="I844" s="11" t="s">
        <v>2073</v>
      </c>
      <c r="J844" s="12">
        <v>1.6500000000000001E-2</v>
      </c>
      <c r="K844" s="12">
        <v>7.5999999999999998E-2</v>
      </c>
      <c r="L844" s="12">
        <v>0</v>
      </c>
      <c r="M844" s="13">
        <v>8003453806245</v>
      </c>
      <c r="N844" s="14">
        <v>2.4</v>
      </c>
      <c r="O844" s="14">
        <v>2.9</v>
      </c>
      <c r="P844" s="15">
        <v>44621</v>
      </c>
      <c r="Q844" s="16" t="s">
        <v>5180</v>
      </c>
      <c r="R844" s="17" t="s">
        <v>5181</v>
      </c>
      <c r="S844" s="17" t="s">
        <v>35</v>
      </c>
      <c r="T844" s="17" t="s">
        <v>35</v>
      </c>
      <c r="U844" s="17" t="s">
        <v>35</v>
      </c>
      <c r="V844" s="17" t="s">
        <v>35</v>
      </c>
      <c r="W844" s="17" t="s">
        <v>35</v>
      </c>
      <c r="X844" s="17" t="s">
        <v>35</v>
      </c>
      <c r="Y844" s="17" t="s">
        <v>35</v>
      </c>
      <c r="Z844" s="17" t="s">
        <v>35</v>
      </c>
      <c r="AA844" s="17" t="s">
        <v>35</v>
      </c>
      <c r="AB844" s="17" t="s">
        <v>5182</v>
      </c>
      <c r="AC844" s="17" t="s">
        <v>9539</v>
      </c>
      <c r="AD844" s="41">
        <v>226.66</v>
      </c>
      <c r="AE844" s="41">
        <v>226.66</v>
      </c>
      <c r="AF844" s="48"/>
      <c r="AG844" s="44"/>
      <c r="AH844" s="7">
        <f t="shared" si="13"/>
        <v>0</v>
      </c>
      <c r="AI844" s="18"/>
      <c r="AJ844" s="18"/>
    </row>
    <row r="845" spans="1:38" ht="26.65" customHeight="1" x14ac:dyDescent="0.25">
      <c r="A845" s="10" t="s">
        <v>5183</v>
      </c>
      <c r="B845" s="9" t="s">
        <v>3063</v>
      </c>
      <c r="C845" s="9" t="s">
        <v>34</v>
      </c>
      <c r="D845" s="9" t="s">
        <v>3064</v>
      </c>
      <c r="E845" s="9" t="s">
        <v>35</v>
      </c>
      <c r="F845" s="9" t="s">
        <v>2072</v>
      </c>
      <c r="G845" s="9">
        <v>1</v>
      </c>
      <c r="H845" s="9">
        <v>84219999</v>
      </c>
      <c r="I845" s="11" t="s">
        <v>2073</v>
      </c>
      <c r="J845" s="12">
        <v>1.6500000000000001E-2</v>
      </c>
      <c r="K845" s="12">
        <v>7.5999999999999998E-2</v>
      </c>
      <c r="L845" s="12">
        <v>0</v>
      </c>
      <c r="M845" s="13">
        <v>8003453806252</v>
      </c>
      <c r="N845" s="14">
        <v>0.95</v>
      </c>
      <c r="O845" s="14">
        <v>1.2</v>
      </c>
      <c r="P845" s="15">
        <v>44621</v>
      </c>
      <c r="Q845" s="16" t="s">
        <v>5180</v>
      </c>
      <c r="R845" s="17" t="s">
        <v>5184</v>
      </c>
      <c r="S845" s="17" t="s">
        <v>35</v>
      </c>
      <c r="T845" s="17" t="s">
        <v>35</v>
      </c>
      <c r="U845" s="17" t="s">
        <v>35</v>
      </c>
      <c r="V845" s="17" t="s">
        <v>35</v>
      </c>
      <c r="W845" s="17" t="s">
        <v>35</v>
      </c>
      <c r="X845" s="17" t="s">
        <v>35</v>
      </c>
      <c r="Y845" s="17" t="s">
        <v>35</v>
      </c>
      <c r="Z845" s="17" t="s">
        <v>35</v>
      </c>
      <c r="AA845" s="17" t="s">
        <v>35</v>
      </c>
      <c r="AB845" s="17" t="s">
        <v>5185</v>
      </c>
      <c r="AC845" s="17" t="s">
        <v>9539</v>
      </c>
      <c r="AD845" s="41">
        <v>74.739999999999995</v>
      </c>
      <c r="AE845" s="41">
        <v>74.739999999999995</v>
      </c>
      <c r="AF845" s="48"/>
      <c r="AG845" s="44"/>
      <c r="AH845" s="7">
        <f t="shared" si="13"/>
        <v>0</v>
      </c>
      <c r="AI845" s="18"/>
      <c r="AJ845" s="18"/>
    </row>
    <row r="846" spans="1:38" ht="26.65" customHeight="1" x14ac:dyDescent="0.25">
      <c r="A846" s="10" t="s">
        <v>5186</v>
      </c>
      <c r="B846" s="9" t="s">
        <v>3206</v>
      </c>
      <c r="C846" s="9" t="s">
        <v>34</v>
      </c>
      <c r="D846" s="9" t="s">
        <v>3207</v>
      </c>
      <c r="E846" s="9" t="s">
        <v>35</v>
      </c>
      <c r="F846" s="9" t="s">
        <v>36</v>
      </c>
      <c r="G846" s="9">
        <v>1</v>
      </c>
      <c r="H846" s="9">
        <v>84219999</v>
      </c>
      <c r="I846" s="11" t="s">
        <v>37</v>
      </c>
      <c r="J846" s="12">
        <v>1.6500000000000001E-2</v>
      </c>
      <c r="K846" s="12">
        <v>7.5999999999999998E-2</v>
      </c>
      <c r="L846" s="12">
        <v>5.1999999999999998E-2</v>
      </c>
      <c r="M846" s="13">
        <v>8003453108776</v>
      </c>
      <c r="N846" s="14">
        <v>1.139</v>
      </c>
      <c r="O846" s="14">
        <v>1.391</v>
      </c>
      <c r="P846" s="15">
        <v>45068</v>
      </c>
      <c r="Q846" s="16" t="s">
        <v>5187</v>
      </c>
      <c r="R846" s="17" t="s">
        <v>5188</v>
      </c>
      <c r="S846" s="17" t="s">
        <v>35</v>
      </c>
      <c r="T846" s="17" t="s">
        <v>35</v>
      </c>
      <c r="U846" s="17" t="s">
        <v>35</v>
      </c>
      <c r="V846" s="17" t="s">
        <v>35</v>
      </c>
      <c r="W846" s="17" t="s">
        <v>35</v>
      </c>
      <c r="X846" s="17" t="s">
        <v>35</v>
      </c>
      <c r="Y846" s="17" t="s">
        <v>5189</v>
      </c>
      <c r="Z846" s="17" t="s">
        <v>5190</v>
      </c>
      <c r="AA846" s="17" t="s">
        <v>35</v>
      </c>
      <c r="AB846" s="17" t="s">
        <v>5190</v>
      </c>
      <c r="AC846" s="17" t="s">
        <v>9539</v>
      </c>
      <c r="AD846" s="42">
        <v>107.09</v>
      </c>
      <c r="AE846" s="42">
        <v>112.66</v>
      </c>
      <c r="AF846" s="48"/>
      <c r="AG846" s="44"/>
      <c r="AH846" s="7">
        <f t="shared" si="13"/>
        <v>0</v>
      </c>
      <c r="AI846" s="18"/>
      <c r="AJ846" s="18"/>
    </row>
    <row r="847" spans="1:38" ht="26.65" customHeight="1" x14ac:dyDescent="0.25">
      <c r="A847" s="10" t="s">
        <v>9702</v>
      </c>
      <c r="B847" s="9" t="s">
        <v>3030</v>
      </c>
      <c r="C847" s="9" t="s">
        <v>34</v>
      </c>
      <c r="D847" s="9" t="s">
        <v>3031</v>
      </c>
      <c r="E847" s="9" t="s">
        <v>35</v>
      </c>
      <c r="F847" s="9" t="s">
        <v>36</v>
      </c>
      <c r="G847" s="9">
        <v>1</v>
      </c>
      <c r="H847" s="9">
        <v>84219999</v>
      </c>
      <c r="I847" s="11" t="s">
        <v>37</v>
      </c>
      <c r="J847" s="12">
        <v>1.6500000000000001E-2</v>
      </c>
      <c r="K847" s="12">
        <v>7.5999999999999998E-2</v>
      </c>
      <c r="L847" s="12">
        <v>5.1999999999999998E-2</v>
      </c>
      <c r="M847" s="13">
        <v>8003453108868</v>
      </c>
      <c r="N847" s="14" t="s">
        <v>35</v>
      </c>
      <c r="O847" s="14" t="s">
        <v>35</v>
      </c>
      <c r="P847" s="15">
        <v>45474</v>
      </c>
      <c r="Q847" s="16" t="s">
        <v>9703</v>
      </c>
      <c r="R847" s="17" t="s">
        <v>9704</v>
      </c>
      <c r="S847" s="17" t="s">
        <v>35</v>
      </c>
      <c r="T847" s="17" t="s">
        <v>35</v>
      </c>
      <c r="U847" s="17" t="s">
        <v>35</v>
      </c>
      <c r="V847" s="17" t="s">
        <v>9705</v>
      </c>
      <c r="W847" s="17" t="s">
        <v>35</v>
      </c>
      <c r="X847" s="17" t="s">
        <v>35</v>
      </c>
      <c r="Y847" s="17" t="s">
        <v>9706</v>
      </c>
      <c r="Z847" s="17" t="s">
        <v>9707</v>
      </c>
      <c r="AA847" s="17" t="s">
        <v>35</v>
      </c>
      <c r="AB847" s="17" t="s">
        <v>9708</v>
      </c>
      <c r="AC847" s="17" t="s">
        <v>9539</v>
      </c>
      <c r="AD847" s="42">
        <v>55.48</v>
      </c>
      <c r="AE847" s="42">
        <v>58.36</v>
      </c>
      <c r="AF847" s="48"/>
      <c r="AG847" s="44"/>
      <c r="AH847" s="7">
        <f t="shared" si="13"/>
        <v>0</v>
      </c>
      <c r="AI847" s="18"/>
      <c r="AJ847" s="18"/>
    </row>
    <row r="848" spans="1:38" ht="26.65" customHeight="1" x14ac:dyDescent="0.25">
      <c r="A848" s="10" t="s">
        <v>9182</v>
      </c>
      <c r="B848" s="9" t="s">
        <v>3030</v>
      </c>
      <c r="C848" s="9" t="s">
        <v>34</v>
      </c>
      <c r="D848" s="9" t="s">
        <v>3306</v>
      </c>
      <c r="E848" s="9" t="s">
        <v>35</v>
      </c>
      <c r="F848" s="9" t="s">
        <v>36</v>
      </c>
      <c r="G848" s="9">
        <v>1</v>
      </c>
      <c r="H848" s="9">
        <v>84219999</v>
      </c>
      <c r="I848" s="11" t="s">
        <v>37</v>
      </c>
      <c r="J848" s="12">
        <v>1.6500000000000001E-2</v>
      </c>
      <c r="K848" s="12">
        <v>7.5999999999999998E-2</v>
      </c>
      <c r="L848" s="12">
        <v>5.1999999999999998E-2</v>
      </c>
      <c r="M848" s="13">
        <v>8003453108745</v>
      </c>
      <c r="N848" s="14">
        <v>2.7</v>
      </c>
      <c r="O848" s="14">
        <v>3</v>
      </c>
      <c r="P848" s="15">
        <v>45383</v>
      </c>
      <c r="Q848" s="16" t="s">
        <v>9183</v>
      </c>
      <c r="R848" s="17" t="s">
        <v>35</v>
      </c>
      <c r="S848" s="17" t="s">
        <v>35</v>
      </c>
      <c r="T848" s="17" t="s">
        <v>35</v>
      </c>
      <c r="U848" s="17" t="s">
        <v>35</v>
      </c>
      <c r="V848" s="17" t="s">
        <v>35</v>
      </c>
      <c r="W848" s="17" t="s">
        <v>35</v>
      </c>
      <c r="X848" s="17" t="s">
        <v>35</v>
      </c>
      <c r="Y848" s="17" t="s">
        <v>35</v>
      </c>
      <c r="Z848" s="17" t="s">
        <v>9184</v>
      </c>
      <c r="AA848" s="17" t="s">
        <v>35</v>
      </c>
      <c r="AB848" s="17" t="s">
        <v>9185</v>
      </c>
      <c r="AC848" s="17" t="s">
        <v>9539</v>
      </c>
      <c r="AD848" s="42">
        <v>167.42</v>
      </c>
      <c r="AE848" s="42">
        <v>176.13</v>
      </c>
      <c r="AF848" s="48"/>
      <c r="AG848" s="44"/>
      <c r="AH848" s="7">
        <f t="shared" si="13"/>
        <v>0</v>
      </c>
      <c r="AI848" s="18"/>
      <c r="AJ848" s="18"/>
    </row>
    <row r="849" spans="1:38" ht="26.65" customHeight="1" x14ac:dyDescent="0.25">
      <c r="A849" s="10" t="s">
        <v>5191</v>
      </c>
      <c r="B849" s="9" t="s">
        <v>3086</v>
      </c>
      <c r="C849" s="9" t="s">
        <v>34</v>
      </c>
      <c r="D849" s="9" t="s">
        <v>3064</v>
      </c>
      <c r="E849" s="9" t="s">
        <v>35</v>
      </c>
      <c r="F849" s="9" t="s">
        <v>36</v>
      </c>
      <c r="G849" s="9">
        <v>1</v>
      </c>
      <c r="H849" s="9">
        <v>84219999</v>
      </c>
      <c r="I849" s="11" t="s">
        <v>37</v>
      </c>
      <c r="J849" s="12">
        <v>1.6500000000000001E-2</v>
      </c>
      <c r="K849" s="12">
        <v>7.5999999999999998E-2</v>
      </c>
      <c r="L849" s="12">
        <v>5.1999999999999998E-2</v>
      </c>
      <c r="M849" s="13">
        <v>8003453108790</v>
      </c>
      <c r="N849" s="14">
        <v>0.08</v>
      </c>
      <c r="O849" s="14">
        <v>0.12</v>
      </c>
      <c r="P849" s="15">
        <v>45139</v>
      </c>
      <c r="Q849" s="16" t="s">
        <v>5192</v>
      </c>
      <c r="R849" s="17" t="s">
        <v>5193</v>
      </c>
      <c r="S849" s="17" t="s">
        <v>5194</v>
      </c>
      <c r="T849" s="17" t="s">
        <v>5195</v>
      </c>
      <c r="U849" s="17" t="s">
        <v>35</v>
      </c>
      <c r="V849" s="17" t="s">
        <v>35</v>
      </c>
      <c r="W849" s="17" t="s">
        <v>35</v>
      </c>
      <c r="X849" s="17" t="s">
        <v>35</v>
      </c>
      <c r="Y849" s="17" t="s">
        <v>35</v>
      </c>
      <c r="Z849" s="17" t="s">
        <v>35</v>
      </c>
      <c r="AA849" s="17" t="s">
        <v>35</v>
      </c>
      <c r="AB849" s="17" t="s">
        <v>35</v>
      </c>
      <c r="AC849" s="17" t="s">
        <v>9539</v>
      </c>
      <c r="AD849" s="41">
        <v>26.77</v>
      </c>
      <c r="AE849" s="41">
        <v>28.16</v>
      </c>
      <c r="AF849" s="48"/>
      <c r="AG849" s="44"/>
      <c r="AH849" s="7">
        <f t="shared" si="13"/>
        <v>0</v>
      </c>
      <c r="AI849" s="18"/>
      <c r="AJ849" s="18"/>
      <c r="AL849" s="18"/>
    </row>
    <row r="850" spans="1:38" ht="26.65" customHeight="1" x14ac:dyDescent="0.25">
      <c r="A850" s="10" t="s">
        <v>9186</v>
      </c>
      <c r="B850" s="9" t="s">
        <v>3030</v>
      </c>
      <c r="C850" s="9" t="s">
        <v>34</v>
      </c>
      <c r="D850" s="9" t="s">
        <v>3306</v>
      </c>
      <c r="E850" s="9" t="s">
        <v>35</v>
      </c>
      <c r="F850" s="9" t="s">
        <v>36</v>
      </c>
      <c r="G850" s="9">
        <v>1</v>
      </c>
      <c r="H850" s="9">
        <v>84219999</v>
      </c>
      <c r="I850" s="11" t="s">
        <v>37</v>
      </c>
      <c r="J850" s="12">
        <v>1.6500000000000001E-2</v>
      </c>
      <c r="K850" s="12">
        <v>7.5999999999999998E-2</v>
      </c>
      <c r="L850" s="12">
        <v>5.1999999999999998E-2</v>
      </c>
      <c r="M850" s="13">
        <v>8003453108820</v>
      </c>
      <c r="N850" s="14">
        <v>0.55000000000000004</v>
      </c>
      <c r="O850" s="14">
        <v>0.67700000000000005</v>
      </c>
      <c r="P850" s="15">
        <v>45383</v>
      </c>
      <c r="Q850" s="16" t="s">
        <v>9187</v>
      </c>
      <c r="R850" s="17" t="s">
        <v>35</v>
      </c>
      <c r="S850" s="17" t="s">
        <v>35</v>
      </c>
      <c r="T850" s="17" t="s">
        <v>35</v>
      </c>
      <c r="U850" s="17" t="s">
        <v>35</v>
      </c>
      <c r="V850" s="17" t="s">
        <v>35</v>
      </c>
      <c r="W850" s="17" t="s">
        <v>35</v>
      </c>
      <c r="X850" s="17" t="s">
        <v>35</v>
      </c>
      <c r="Y850" s="17" t="s">
        <v>35</v>
      </c>
      <c r="Z850" s="17" t="s">
        <v>9188</v>
      </c>
      <c r="AA850" s="17" t="s">
        <v>35</v>
      </c>
      <c r="AB850" s="17" t="s">
        <v>9189</v>
      </c>
      <c r="AC850" s="17" t="s">
        <v>9539</v>
      </c>
      <c r="AD850" s="42">
        <v>101.01</v>
      </c>
      <c r="AE850" s="42">
        <v>106.26</v>
      </c>
      <c r="AF850" s="48"/>
      <c r="AG850" s="44"/>
      <c r="AH850" s="7">
        <f t="shared" si="13"/>
        <v>0</v>
      </c>
      <c r="AI850" s="18"/>
      <c r="AJ850" s="18"/>
    </row>
    <row r="851" spans="1:38" ht="26.65" customHeight="1" x14ac:dyDescent="0.25">
      <c r="A851" s="10" t="s">
        <v>9190</v>
      </c>
      <c r="B851" s="9" t="s">
        <v>3030</v>
      </c>
      <c r="C851" s="9" t="s">
        <v>34</v>
      </c>
      <c r="D851" s="9" t="s">
        <v>3306</v>
      </c>
      <c r="E851" s="9" t="s">
        <v>35</v>
      </c>
      <c r="F851" s="9" t="s">
        <v>36</v>
      </c>
      <c r="G851" s="9">
        <v>1</v>
      </c>
      <c r="H851" s="9">
        <v>84219999</v>
      </c>
      <c r="I851" s="11" t="s">
        <v>37</v>
      </c>
      <c r="J851" s="12">
        <v>1.6500000000000001E-2</v>
      </c>
      <c r="K851" s="12">
        <v>7.5999999999999998E-2</v>
      </c>
      <c r="L851" s="12">
        <v>5.1999999999999998E-2</v>
      </c>
      <c r="M851" s="13">
        <v>8003453108837</v>
      </c>
      <c r="N851" s="14">
        <v>0.2</v>
      </c>
      <c r="O851" s="14">
        <v>0.29099999999999998</v>
      </c>
      <c r="P851" s="15">
        <v>45383</v>
      </c>
      <c r="Q851" s="16" t="s">
        <v>9187</v>
      </c>
      <c r="R851" s="17" t="s">
        <v>35</v>
      </c>
      <c r="S851" s="17" t="s">
        <v>35</v>
      </c>
      <c r="T851" s="17" t="s">
        <v>35</v>
      </c>
      <c r="U851" s="17" t="s">
        <v>35</v>
      </c>
      <c r="V851" s="17" t="s">
        <v>35</v>
      </c>
      <c r="W851" s="17" t="s">
        <v>35</v>
      </c>
      <c r="X851" s="17" t="s">
        <v>35</v>
      </c>
      <c r="Y851" s="17" t="s">
        <v>35</v>
      </c>
      <c r="Z851" s="17" t="s">
        <v>9191</v>
      </c>
      <c r="AA851" s="17" t="s">
        <v>35</v>
      </c>
      <c r="AB851" s="17" t="s">
        <v>9192</v>
      </c>
      <c r="AC851" s="17" t="s">
        <v>9539</v>
      </c>
      <c r="AD851" s="42">
        <v>97.69</v>
      </c>
      <c r="AE851" s="42">
        <v>102.77</v>
      </c>
      <c r="AF851" s="48"/>
      <c r="AG851" s="44"/>
      <c r="AH851" s="7">
        <f t="shared" si="13"/>
        <v>0</v>
      </c>
      <c r="AI851" s="18"/>
      <c r="AJ851" s="18"/>
    </row>
    <row r="852" spans="1:38" ht="26.65" customHeight="1" x14ac:dyDescent="0.25">
      <c r="A852" s="10" t="s">
        <v>5196</v>
      </c>
      <c r="B852" s="9" t="s">
        <v>5197</v>
      </c>
      <c r="C852" s="9" t="s">
        <v>34</v>
      </c>
      <c r="D852" s="9" t="s">
        <v>3031</v>
      </c>
      <c r="E852" s="9" t="s">
        <v>35</v>
      </c>
      <c r="F852" s="9" t="s">
        <v>36</v>
      </c>
      <c r="G852" s="9">
        <v>1</v>
      </c>
      <c r="H852" s="9">
        <v>84219999</v>
      </c>
      <c r="I852" s="11" t="s">
        <v>37</v>
      </c>
      <c r="J852" s="12">
        <v>1.6500000000000001E-2</v>
      </c>
      <c r="K852" s="12">
        <v>7.5999999999999998E-2</v>
      </c>
      <c r="L852" s="12">
        <v>5.1999999999999998E-2</v>
      </c>
      <c r="M852" s="13">
        <v>8003453108844</v>
      </c>
      <c r="N852" s="14">
        <v>1.65</v>
      </c>
      <c r="O852" s="14">
        <v>2.0099999999999998</v>
      </c>
      <c r="P852" s="15">
        <v>45078</v>
      </c>
      <c r="Q852" s="16" t="s">
        <v>5198</v>
      </c>
      <c r="R852" s="17" t="s">
        <v>5199</v>
      </c>
      <c r="S852" s="17" t="s">
        <v>5200</v>
      </c>
      <c r="T852" s="17" t="s">
        <v>5201</v>
      </c>
      <c r="U852" s="17" t="s">
        <v>5202</v>
      </c>
      <c r="V852" s="17" t="s">
        <v>35</v>
      </c>
      <c r="W852" s="17" t="s">
        <v>35</v>
      </c>
      <c r="X852" s="17" t="s">
        <v>35</v>
      </c>
      <c r="Y852" s="17" t="s">
        <v>35</v>
      </c>
      <c r="Z852" s="17" t="s">
        <v>5203</v>
      </c>
      <c r="AA852" s="17" t="s">
        <v>35</v>
      </c>
      <c r="AB852" s="17" t="s">
        <v>35</v>
      </c>
      <c r="AC852" s="17" t="s">
        <v>9539</v>
      </c>
      <c r="AD852" s="42">
        <v>112.84</v>
      </c>
      <c r="AE852" s="42">
        <v>118.71</v>
      </c>
      <c r="AF852" s="48"/>
      <c r="AG852" s="44"/>
      <c r="AH852" s="7">
        <f t="shared" si="13"/>
        <v>0</v>
      </c>
      <c r="AI852" s="18"/>
      <c r="AJ852" s="18"/>
    </row>
    <row r="853" spans="1:38" ht="26.65" customHeight="1" x14ac:dyDescent="0.25">
      <c r="A853" s="10" t="s">
        <v>8685</v>
      </c>
      <c r="B853" s="9" t="s">
        <v>3030</v>
      </c>
      <c r="C853" s="9" t="s">
        <v>34</v>
      </c>
      <c r="D853" s="9" t="s">
        <v>3306</v>
      </c>
      <c r="E853" s="9" t="s">
        <v>35</v>
      </c>
      <c r="F853" s="9" t="s">
        <v>36</v>
      </c>
      <c r="G853" s="9">
        <v>1</v>
      </c>
      <c r="H853" s="9">
        <v>84219999</v>
      </c>
      <c r="I853" s="11" t="s">
        <v>37</v>
      </c>
      <c r="J853" s="12">
        <v>1.6500000000000001E-2</v>
      </c>
      <c r="K853" s="12">
        <v>7.5999999999999998E-2</v>
      </c>
      <c r="L853" s="12">
        <v>5.1999999999999998E-2</v>
      </c>
      <c r="M853" s="13">
        <v>8003453109001</v>
      </c>
      <c r="N853" s="14" t="s">
        <v>35</v>
      </c>
      <c r="O853" s="14" t="s">
        <v>35</v>
      </c>
      <c r="P853" s="15">
        <v>45292</v>
      </c>
      <c r="Q853" s="16" t="s">
        <v>8686</v>
      </c>
      <c r="R853" s="17" t="s">
        <v>35</v>
      </c>
      <c r="S853" s="17" t="s">
        <v>35</v>
      </c>
      <c r="T853" s="17" t="s">
        <v>8687</v>
      </c>
      <c r="U853" s="17" t="s">
        <v>35</v>
      </c>
      <c r="V853" s="17" t="s">
        <v>35</v>
      </c>
      <c r="W853" s="17" t="s">
        <v>35</v>
      </c>
      <c r="X853" s="17" t="s">
        <v>35</v>
      </c>
      <c r="Y853" s="17" t="s">
        <v>35</v>
      </c>
      <c r="Z853" s="17" t="s">
        <v>8688</v>
      </c>
      <c r="AA853" s="17" t="s">
        <v>35</v>
      </c>
      <c r="AB853" s="17" t="s">
        <v>8689</v>
      </c>
      <c r="AC853" s="17" t="s">
        <v>9539</v>
      </c>
      <c r="AD853" s="42">
        <v>146.97</v>
      </c>
      <c r="AE853" s="42">
        <v>154.61000000000001</v>
      </c>
      <c r="AF853" s="48"/>
      <c r="AG853" s="44"/>
      <c r="AH853" s="7">
        <f t="shared" si="13"/>
        <v>0</v>
      </c>
      <c r="AI853" s="18"/>
      <c r="AJ853" s="18"/>
    </row>
    <row r="854" spans="1:38" ht="26.65" customHeight="1" x14ac:dyDescent="0.25">
      <c r="A854" s="10" t="s">
        <v>8690</v>
      </c>
      <c r="B854" s="9" t="s">
        <v>3030</v>
      </c>
      <c r="C854" s="9" t="s">
        <v>34</v>
      </c>
      <c r="D854" s="9" t="s">
        <v>3306</v>
      </c>
      <c r="E854" s="9" t="s">
        <v>35</v>
      </c>
      <c r="F854" s="9" t="s">
        <v>36</v>
      </c>
      <c r="G854" s="9">
        <v>1</v>
      </c>
      <c r="H854" s="9">
        <v>84219999</v>
      </c>
      <c r="I854" s="11" t="s">
        <v>37</v>
      </c>
      <c r="J854" s="12">
        <v>1.6500000000000001E-2</v>
      </c>
      <c r="K854" s="12">
        <v>7.5999999999999998E-2</v>
      </c>
      <c r="L854" s="12">
        <v>5.1999999999999998E-2</v>
      </c>
      <c r="M854" s="13">
        <v>8003453109018</v>
      </c>
      <c r="N854" s="14" t="s">
        <v>35</v>
      </c>
      <c r="O854" s="14" t="s">
        <v>35</v>
      </c>
      <c r="P854" s="15">
        <v>45292</v>
      </c>
      <c r="Q854" s="16" t="s">
        <v>8691</v>
      </c>
      <c r="R854" s="17" t="s">
        <v>35</v>
      </c>
      <c r="S854" s="17" t="s">
        <v>8692</v>
      </c>
      <c r="T854" s="17" t="s">
        <v>35</v>
      </c>
      <c r="U854" s="17" t="s">
        <v>35</v>
      </c>
      <c r="V854" s="17" t="s">
        <v>35</v>
      </c>
      <c r="W854" s="17" t="s">
        <v>35</v>
      </c>
      <c r="X854" s="17" t="s">
        <v>35</v>
      </c>
      <c r="Y854" s="17" t="s">
        <v>8693</v>
      </c>
      <c r="Z854" s="17" t="s">
        <v>8694</v>
      </c>
      <c r="AA854" s="17" t="s">
        <v>35</v>
      </c>
      <c r="AB854" s="17" t="s">
        <v>8695</v>
      </c>
      <c r="AC854" s="17" t="s">
        <v>9539</v>
      </c>
      <c r="AD854" s="42">
        <v>219.57</v>
      </c>
      <c r="AE854" s="42">
        <v>230.99</v>
      </c>
      <c r="AF854" s="48"/>
      <c r="AG854" s="44"/>
      <c r="AH854" s="7">
        <f t="shared" si="13"/>
        <v>0</v>
      </c>
      <c r="AI854" s="18"/>
      <c r="AJ854" s="18"/>
    </row>
    <row r="855" spans="1:38" ht="26.65" customHeight="1" x14ac:dyDescent="0.25">
      <c r="A855" s="10" t="s">
        <v>9337</v>
      </c>
      <c r="B855" s="9" t="s">
        <v>3030</v>
      </c>
      <c r="C855" s="9" t="s">
        <v>34</v>
      </c>
      <c r="D855" s="9" t="s">
        <v>3031</v>
      </c>
      <c r="E855" s="9" t="s">
        <v>35</v>
      </c>
      <c r="F855" s="9" t="s">
        <v>36</v>
      </c>
      <c r="G855" s="9">
        <v>1</v>
      </c>
      <c r="H855" s="9">
        <v>84219999</v>
      </c>
      <c r="I855" s="11" t="s">
        <v>37</v>
      </c>
      <c r="J855" s="12">
        <v>1.6500000000000001E-2</v>
      </c>
      <c r="K855" s="12">
        <v>7.5999999999999998E-2</v>
      </c>
      <c r="L855" s="12">
        <v>5.1999999999999998E-2</v>
      </c>
      <c r="M855" s="13" t="s">
        <v>35</v>
      </c>
      <c r="N855" s="14">
        <v>0</v>
      </c>
      <c r="O855" s="14">
        <v>0</v>
      </c>
      <c r="P855" s="15">
        <v>45444</v>
      </c>
      <c r="Q855" s="16" t="s">
        <v>9338</v>
      </c>
      <c r="R855" s="17" t="s">
        <v>35</v>
      </c>
      <c r="S855" s="17" t="s">
        <v>35</v>
      </c>
      <c r="T855" s="17" t="s">
        <v>35</v>
      </c>
      <c r="U855" s="17" t="s">
        <v>35</v>
      </c>
      <c r="V855" s="17" t="s">
        <v>9339</v>
      </c>
      <c r="W855" s="17" t="s">
        <v>35</v>
      </c>
      <c r="X855" s="17" t="s">
        <v>35</v>
      </c>
      <c r="Y855" s="17" t="s">
        <v>35</v>
      </c>
      <c r="Z855" s="17" t="s">
        <v>35</v>
      </c>
      <c r="AA855" s="17" t="s">
        <v>35</v>
      </c>
      <c r="AB855" s="17" t="s">
        <v>9340</v>
      </c>
      <c r="AC855" s="17" t="s">
        <v>9539</v>
      </c>
      <c r="AD855" s="42">
        <v>173.67</v>
      </c>
      <c r="AE855" s="42">
        <v>182.7</v>
      </c>
      <c r="AF855" s="48"/>
      <c r="AG855" s="44"/>
      <c r="AH855" s="7">
        <f t="shared" si="13"/>
        <v>0</v>
      </c>
      <c r="AI855" s="18"/>
      <c r="AJ855" s="18"/>
    </row>
    <row r="856" spans="1:38" ht="26.65" customHeight="1" x14ac:dyDescent="0.25">
      <c r="A856" s="10" t="s">
        <v>8945</v>
      </c>
      <c r="B856" s="9" t="s">
        <v>3030</v>
      </c>
      <c r="C856" s="9" t="s">
        <v>34</v>
      </c>
      <c r="D856" s="9" t="s">
        <v>3306</v>
      </c>
      <c r="E856" s="9" t="s">
        <v>35</v>
      </c>
      <c r="F856" s="9" t="s">
        <v>36</v>
      </c>
      <c r="G856" s="9">
        <v>1</v>
      </c>
      <c r="H856" s="9">
        <v>84219999</v>
      </c>
      <c r="I856" s="11" t="s">
        <v>37</v>
      </c>
      <c r="J856" s="12">
        <v>1.6500000000000001E-2</v>
      </c>
      <c r="K856" s="12">
        <v>7.5999999999999998E-2</v>
      </c>
      <c r="L856" s="12">
        <v>5.1999999999999998E-2</v>
      </c>
      <c r="M856" s="13">
        <v>8003453109049</v>
      </c>
      <c r="N856" s="14">
        <v>0</v>
      </c>
      <c r="O856" s="14">
        <v>0</v>
      </c>
      <c r="P856" s="15">
        <v>45323</v>
      </c>
      <c r="Q856" s="16" t="s">
        <v>8946</v>
      </c>
      <c r="R856" s="17" t="s">
        <v>35</v>
      </c>
      <c r="S856" s="17" t="s">
        <v>8947</v>
      </c>
      <c r="T856" s="17" t="s">
        <v>35</v>
      </c>
      <c r="U856" s="17" t="s">
        <v>35</v>
      </c>
      <c r="V856" s="17" t="s">
        <v>35</v>
      </c>
      <c r="W856" s="17" t="s">
        <v>35</v>
      </c>
      <c r="X856" s="17" t="s">
        <v>35</v>
      </c>
      <c r="Y856" s="17" t="s">
        <v>35</v>
      </c>
      <c r="Z856" s="17" t="s">
        <v>8948</v>
      </c>
      <c r="AA856" s="17" t="s">
        <v>35</v>
      </c>
      <c r="AB856" s="17" t="s">
        <v>8949</v>
      </c>
      <c r="AC856" s="17" t="s">
        <v>9539</v>
      </c>
      <c r="AD856" s="42">
        <v>178.74</v>
      </c>
      <c r="AE856" s="42">
        <v>188.03</v>
      </c>
      <c r="AF856" s="48"/>
      <c r="AG856" s="44"/>
      <c r="AH856" s="7">
        <f t="shared" si="13"/>
        <v>0</v>
      </c>
      <c r="AI856" s="18"/>
      <c r="AJ856" s="18"/>
    </row>
    <row r="857" spans="1:38" ht="26.65" customHeight="1" x14ac:dyDescent="0.25">
      <c r="A857" s="10" t="s">
        <v>9248</v>
      </c>
      <c r="B857" s="9" t="s">
        <v>3030</v>
      </c>
      <c r="C857" s="9" t="s">
        <v>34</v>
      </c>
      <c r="D857" s="9" t="s">
        <v>3031</v>
      </c>
      <c r="E857" s="9" t="s">
        <v>35</v>
      </c>
      <c r="F857" s="9" t="s">
        <v>36</v>
      </c>
      <c r="G857" s="9">
        <v>1</v>
      </c>
      <c r="H857" s="9">
        <v>84219999</v>
      </c>
      <c r="I857" s="11" t="s">
        <v>37</v>
      </c>
      <c r="J857" s="12">
        <v>1.6500000000000001E-2</v>
      </c>
      <c r="K857" s="12">
        <v>7.5999999999999998E-2</v>
      </c>
      <c r="L857" s="12">
        <v>5.1999999999999998E-2</v>
      </c>
      <c r="M857" s="13">
        <v>8003453109087</v>
      </c>
      <c r="N857" s="14">
        <v>0</v>
      </c>
      <c r="O857" s="14">
        <v>0</v>
      </c>
      <c r="P857" s="15">
        <v>45413</v>
      </c>
      <c r="Q857" s="16" t="s">
        <v>9249</v>
      </c>
      <c r="R857" s="17" t="s">
        <v>35</v>
      </c>
      <c r="S857" s="17" t="s">
        <v>35</v>
      </c>
      <c r="T857" s="17" t="s">
        <v>35</v>
      </c>
      <c r="U857" s="17" t="s">
        <v>35</v>
      </c>
      <c r="V857" s="17" t="s">
        <v>35</v>
      </c>
      <c r="W857" s="17" t="s">
        <v>35</v>
      </c>
      <c r="X857" s="17" t="s">
        <v>35</v>
      </c>
      <c r="Y857" s="17" t="s">
        <v>35</v>
      </c>
      <c r="Z857" s="17" t="s">
        <v>9250</v>
      </c>
      <c r="AA857" s="17" t="s">
        <v>35</v>
      </c>
      <c r="AB857" s="17" t="s">
        <v>9251</v>
      </c>
      <c r="AC857" s="17" t="s">
        <v>9539</v>
      </c>
      <c r="AD857" s="42">
        <v>306.5</v>
      </c>
      <c r="AE857" s="42">
        <v>322.44</v>
      </c>
      <c r="AF857" s="48"/>
      <c r="AG857" s="44"/>
      <c r="AH857" s="7">
        <f t="shared" si="13"/>
        <v>0</v>
      </c>
      <c r="AI857" s="18"/>
      <c r="AJ857" s="18"/>
    </row>
    <row r="858" spans="1:38" ht="26.65" customHeight="1" x14ac:dyDescent="0.25">
      <c r="A858" s="10" t="s">
        <v>5204</v>
      </c>
      <c r="B858" s="9" t="s">
        <v>3056</v>
      </c>
      <c r="C858" s="9" t="s">
        <v>34</v>
      </c>
      <c r="D858" s="9" t="s">
        <v>3306</v>
      </c>
      <c r="E858" s="9" t="s">
        <v>35</v>
      </c>
      <c r="F858" s="9" t="s">
        <v>2072</v>
      </c>
      <c r="G858" s="9">
        <v>1</v>
      </c>
      <c r="H858" s="9">
        <v>84219999</v>
      </c>
      <c r="I858" s="11" t="s">
        <v>2073</v>
      </c>
      <c r="J858" s="12">
        <v>1.6500000000000001E-2</v>
      </c>
      <c r="K858" s="12">
        <v>7.5999999999999998E-2</v>
      </c>
      <c r="L858" s="12">
        <v>0</v>
      </c>
      <c r="M858" s="13">
        <v>8003453808959</v>
      </c>
      <c r="N858" s="14">
        <v>4.3</v>
      </c>
      <c r="O858" s="14">
        <v>4.9000000000000004</v>
      </c>
      <c r="P858" s="15">
        <v>45231</v>
      </c>
      <c r="Q858" s="16" t="s">
        <v>5205</v>
      </c>
      <c r="R858" s="17" t="s">
        <v>5206</v>
      </c>
      <c r="S858" s="17" t="s">
        <v>5207</v>
      </c>
      <c r="T858" s="17" t="s">
        <v>35</v>
      </c>
      <c r="U858" s="17" t="s">
        <v>5208</v>
      </c>
      <c r="V858" s="17" t="s">
        <v>5209</v>
      </c>
      <c r="W858" s="17" t="s">
        <v>5210</v>
      </c>
      <c r="X858" s="17" t="s">
        <v>35</v>
      </c>
      <c r="Y858" s="17" t="s">
        <v>35</v>
      </c>
      <c r="Z858" s="17" t="s">
        <v>5211</v>
      </c>
      <c r="AA858" s="17" t="s">
        <v>35</v>
      </c>
      <c r="AB858" s="17" t="s">
        <v>5212</v>
      </c>
      <c r="AC858" s="17" t="s">
        <v>9539</v>
      </c>
      <c r="AD858" s="41">
        <v>205.23</v>
      </c>
      <c r="AE858" s="41">
        <v>205.23</v>
      </c>
      <c r="AF858" s="48"/>
      <c r="AG858" s="44"/>
      <c r="AH858" s="7">
        <f t="shared" si="13"/>
        <v>0</v>
      </c>
      <c r="AI858" s="18"/>
      <c r="AJ858" s="18"/>
    </row>
    <row r="859" spans="1:38" ht="26.65" customHeight="1" x14ac:dyDescent="0.25">
      <c r="A859" s="10" t="s">
        <v>5213</v>
      </c>
      <c r="B859" s="9" t="s">
        <v>3056</v>
      </c>
      <c r="C859" s="9" t="s">
        <v>34</v>
      </c>
      <c r="D859" s="9" t="s">
        <v>3064</v>
      </c>
      <c r="E859" s="9" t="s">
        <v>35</v>
      </c>
      <c r="F859" s="9" t="s">
        <v>2072</v>
      </c>
      <c r="G859" s="9">
        <v>1</v>
      </c>
      <c r="H859" s="9">
        <v>84219999</v>
      </c>
      <c r="I859" s="11" t="s">
        <v>2073</v>
      </c>
      <c r="J859" s="12">
        <v>1.6500000000000001E-2</v>
      </c>
      <c r="K859" s="12">
        <v>7.5999999999999998E-2</v>
      </c>
      <c r="L859" s="12">
        <v>0</v>
      </c>
      <c r="M859" s="13">
        <v>8003453808966</v>
      </c>
      <c r="N859" s="14">
        <v>0</v>
      </c>
      <c r="O859" s="14">
        <v>0</v>
      </c>
      <c r="P859" s="15">
        <v>45231</v>
      </c>
      <c r="Q859" s="16" t="s">
        <v>5205</v>
      </c>
      <c r="R859" s="17" t="s">
        <v>5214</v>
      </c>
      <c r="S859" s="17" t="s">
        <v>5215</v>
      </c>
      <c r="T859" s="17" t="s">
        <v>5216</v>
      </c>
      <c r="U859" s="17" t="s">
        <v>5215</v>
      </c>
      <c r="V859" s="17" t="s">
        <v>35</v>
      </c>
      <c r="W859" s="17" t="s">
        <v>35</v>
      </c>
      <c r="X859" s="17" t="s">
        <v>35</v>
      </c>
      <c r="Y859" s="17" t="s">
        <v>35</v>
      </c>
      <c r="Z859" s="17" t="s">
        <v>5217</v>
      </c>
      <c r="AA859" s="17" t="s">
        <v>35</v>
      </c>
      <c r="AB859" s="17" t="s">
        <v>5218</v>
      </c>
      <c r="AC859" s="17" t="s">
        <v>9539</v>
      </c>
      <c r="AD859" s="41">
        <v>75.77</v>
      </c>
      <c r="AE859" s="41">
        <v>75.77</v>
      </c>
      <c r="AF859" s="48"/>
      <c r="AG859" s="44"/>
      <c r="AH859" s="7">
        <f t="shared" si="13"/>
        <v>0</v>
      </c>
      <c r="AI859" s="18"/>
      <c r="AJ859" s="18"/>
    </row>
    <row r="860" spans="1:38" ht="26.65" customHeight="1" x14ac:dyDescent="0.25">
      <c r="A860" s="10" t="s">
        <v>9709</v>
      </c>
      <c r="B860" s="9" t="s">
        <v>3030</v>
      </c>
      <c r="C860" s="9" t="s">
        <v>34</v>
      </c>
      <c r="D860" s="9" t="s">
        <v>3031</v>
      </c>
      <c r="E860" s="9" t="s">
        <v>35</v>
      </c>
      <c r="F860" s="9" t="s">
        <v>36</v>
      </c>
      <c r="G860" s="9">
        <v>1</v>
      </c>
      <c r="H860" s="9">
        <v>84219999</v>
      </c>
      <c r="I860" s="11" t="s">
        <v>37</v>
      </c>
      <c r="J860" s="12">
        <v>1.6500000000000001E-2</v>
      </c>
      <c r="K860" s="12">
        <v>7.5999999999999998E-2</v>
      </c>
      <c r="L860" s="12">
        <v>5.1999999999999998E-2</v>
      </c>
      <c r="M860" s="13" t="s">
        <v>35</v>
      </c>
      <c r="N860" s="14" t="s">
        <v>35</v>
      </c>
      <c r="O860" s="14" t="s">
        <v>35</v>
      </c>
      <c r="P860" s="15">
        <v>45474</v>
      </c>
      <c r="Q860" s="16" t="s">
        <v>9710</v>
      </c>
      <c r="R860" s="17" t="s">
        <v>35</v>
      </c>
      <c r="S860" s="17" t="s">
        <v>9711</v>
      </c>
      <c r="T860" s="17" t="s">
        <v>35</v>
      </c>
      <c r="U860" s="17" t="s">
        <v>35</v>
      </c>
      <c r="V860" s="17" t="s">
        <v>35</v>
      </c>
      <c r="W860" s="17" t="s">
        <v>35</v>
      </c>
      <c r="X860" s="17" t="s">
        <v>35</v>
      </c>
      <c r="Y860" s="17" t="s">
        <v>35</v>
      </c>
      <c r="Z860" s="17" t="s">
        <v>9712</v>
      </c>
      <c r="AA860" s="17" t="s">
        <v>35</v>
      </c>
      <c r="AB860" s="17" t="s">
        <v>9713</v>
      </c>
      <c r="AC860" s="17" t="s">
        <v>9539</v>
      </c>
      <c r="AD860" s="42">
        <v>15.12</v>
      </c>
      <c r="AE860" s="42">
        <v>15.91</v>
      </c>
      <c r="AF860" s="48"/>
      <c r="AG860" s="44"/>
      <c r="AH860" s="7">
        <f t="shared" si="13"/>
        <v>0</v>
      </c>
      <c r="AI860" s="18"/>
      <c r="AJ860" s="18"/>
    </row>
    <row r="861" spans="1:38" ht="26.65" customHeight="1" x14ac:dyDescent="0.25">
      <c r="A861" s="10" t="s">
        <v>10606</v>
      </c>
      <c r="B861" s="9" t="s">
        <v>3030</v>
      </c>
      <c r="C861" s="9" t="s">
        <v>34</v>
      </c>
      <c r="D861" s="9" t="s">
        <v>3031</v>
      </c>
      <c r="E861" s="9" t="s">
        <v>35</v>
      </c>
      <c r="F861" s="9" t="s">
        <v>36</v>
      </c>
      <c r="G861" s="9">
        <v>1</v>
      </c>
      <c r="H861" s="9">
        <v>84219999</v>
      </c>
      <c r="I861" s="11" t="s">
        <v>37</v>
      </c>
      <c r="J861" s="12">
        <v>1.6500000000000001E-2</v>
      </c>
      <c r="K861" s="12">
        <v>7.5999999999999998E-2</v>
      </c>
      <c r="L861" s="12">
        <v>5.1999999999999998E-2</v>
      </c>
      <c r="M861" s="13" t="s">
        <v>35</v>
      </c>
      <c r="N861" s="14" t="s">
        <v>35</v>
      </c>
      <c r="O861" s="14" t="s">
        <v>35</v>
      </c>
      <c r="P861" s="15">
        <v>45597</v>
      </c>
      <c r="Q861" s="16" t="s">
        <v>10607</v>
      </c>
      <c r="R861" s="17" t="s">
        <v>10608</v>
      </c>
      <c r="S861" s="17" t="s">
        <v>10609</v>
      </c>
      <c r="T861" s="17" t="s">
        <v>35</v>
      </c>
      <c r="U861" s="17" t="s">
        <v>35</v>
      </c>
      <c r="V861" s="17" t="s">
        <v>35</v>
      </c>
      <c r="W861" s="17" t="s">
        <v>35</v>
      </c>
      <c r="X861" s="17" t="s">
        <v>35</v>
      </c>
      <c r="Y861" s="17" t="s">
        <v>10610</v>
      </c>
      <c r="Z861" s="17" t="s">
        <v>35</v>
      </c>
      <c r="AA861" s="17" t="s">
        <v>35</v>
      </c>
      <c r="AB861" s="17" t="s">
        <v>35</v>
      </c>
      <c r="AC861" s="17" t="s">
        <v>9539</v>
      </c>
      <c r="AD861" s="41">
        <v>51.49</v>
      </c>
      <c r="AE861" s="41">
        <v>54.17</v>
      </c>
      <c r="AF861" s="48"/>
      <c r="AG861" s="44"/>
      <c r="AH861" s="7">
        <f t="shared" si="13"/>
        <v>0</v>
      </c>
      <c r="AI861" s="18"/>
      <c r="AJ861" s="18"/>
    </row>
    <row r="862" spans="1:38" ht="26.65" customHeight="1" x14ac:dyDescent="0.25">
      <c r="A862" s="10" t="s">
        <v>10611</v>
      </c>
      <c r="B862" s="9" t="s">
        <v>3030</v>
      </c>
      <c r="C862" s="9" t="s">
        <v>34</v>
      </c>
      <c r="D862" s="9" t="s">
        <v>3031</v>
      </c>
      <c r="E862" s="9" t="s">
        <v>35</v>
      </c>
      <c r="F862" s="9" t="s">
        <v>2072</v>
      </c>
      <c r="G862" s="9">
        <v>1</v>
      </c>
      <c r="H862" s="9">
        <v>84219999</v>
      </c>
      <c r="I862" s="11" t="s">
        <v>2073</v>
      </c>
      <c r="J862" s="12">
        <v>1.6500000000000001E-2</v>
      </c>
      <c r="K862" s="12">
        <v>7.5999999999999998E-2</v>
      </c>
      <c r="L862" s="12">
        <v>5.1999999999999998E-2</v>
      </c>
      <c r="M862" s="13" t="s">
        <v>35</v>
      </c>
      <c r="N862" s="14" t="s">
        <v>35</v>
      </c>
      <c r="O862" s="14" t="s">
        <v>35</v>
      </c>
      <c r="P862" s="15">
        <v>45597</v>
      </c>
      <c r="Q862" s="16" t="s">
        <v>10612</v>
      </c>
      <c r="R862" s="17" t="s">
        <v>10613</v>
      </c>
      <c r="S862" s="17" t="s">
        <v>10614</v>
      </c>
      <c r="T862" s="17" t="s">
        <v>35</v>
      </c>
      <c r="U862" s="17" t="s">
        <v>35</v>
      </c>
      <c r="V862" s="17" t="s">
        <v>10615</v>
      </c>
      <c r="W862" s="17" t="s">
        <v>35</v>
      </c>
      <c r="X862" s="17" t="s">
        <v>35</v>
      </c>
      <c r="Y862" s="17" t="s">
        <v>35</v>
      </c>
      <c r="Z862" s="17" t="s">
        <v>10616</v>
      </c>
      <c r="AA862" s="17" t="s">
        <v>35</v>
      </c>
      <c r="AB862" s="17" t="s">
        <v>10617</v>
      </c>
      <c r="AC862" s="17" t="s">
        <v>9539</v>
      </c>
      <c r="AD862" s="41">
        <v>42.2</v>
      </c>
      <c r="AE862" s="41">
        <v>44.39</v>
      </c>
      <c r="AF862" s="48"/>
      <c r="AG862" s="44"/>
      <c r="AH862" s="7">
        <f t="shared" si="13"/>
        <v>0</v>
      </c>
      <c r="AI862" s="18"/>
      <c r="AJ862" s="18"/>
    </row>
    <row r="863" spans="1:38" ht="26.65" customHeight="1" x14ac:dyDescent="0.25">
      <c r="A863" s="10" t="s">
        <v>5219</v>
      </c>
      <c r="B863" s="9" t="s">
        <v>5220</v>
      </c>
      <c r="C863" s="9" t="s">
        <v>34</v>
      </c>
      <c r="D863" s="9" t="s">
        <v>5221</v>
      </c>
      <c r="E863" s="9" t="s">
        <v>35</v>
      </c>
      <c r="F863" s="9" t="s">
        <v>36</v>
      </c>
      <c r="G863" s="9">
        <v>6</v>
      </c>
      <c r="H863" s="9">
        <v>84212100</v>
      </c>
      <c r="I863" s="11" t="s">
        <v>37</v>
      </c>
      <c r="J863" s="12">
        <v>1.6500000000000001E-2</v>
      </c>
      <c r="K863" s="12">
        <v>7.5999999999999998E-2</v>
      </c>
      <c r="L863" s="12">
        <v>0</v>
      </c>
      <c r="M863" s="13">
        <v>8003453130029</v>
      </c>
      <c r="N863" s="14">
        <v>0.65</v>
      </c>
      <c r="O863" s="14">
        <v>0.68100000000000005</v>
      </c>
      <c r="P863" s="15">
        <v>45231</v>
      </c>
      <c r="Q863" s="16" t="s">
        <v>5222</v>
      </c>
      <c r="R863" s="17" t="s">
        <v>5223</v>
      </c>
      <c r="S863" s="17" t="s">
        <v>35</v>
      </c>
      <c r="T863" s="17" t="s">
        <v>5224</v>
      </c>
      <c r="U863" s="17" t="s">
        <v>35</v>
      </c>
      <c r="V863" s="17" t="s">
        <v>35</v>
      </c>
      <c r="W863" s="17" t="s">
        <v>35</v>
      </c>
      <c r="X863" s="17" t="s">
        <v>5225</v>
      </c>
      <c r="Y863" s="17" t="s">
        <v>35</v>
      </c>
      <c r="Z863" s="17" t="s">
        <v>5226</v>
      </c>
      <c r="AA863" s="17" t="s">
        <v>35</v>
      </c>
      <c r="AB863" s="17" t="s">
        <v>5227</v>
      </c>
      <c r="AC863" s="17" t="s">
        <v>9539</v>
      </c>
      <c r="AD863" s="42">
        <v>34.64</v>
      </c>
      <c r="AE863" s="42">
        <v>34.64</v>
      </c>
      <c r="AF863" s="48"/>
      <c r="AG863" s="44"/>
      <c r="AH863" s="7">
        <f t="shared" si="13"/>
        <v>0</v>
      </c>
      <c r="AI863" s="18"/>
      <c r="AJ863" s="18"/>
    </row>
    <row r="864" spans="1:38" ht="26.65" customHeight="1" x14ac:dyDescent="0.25">
      <c r="A864" s="10" t="s">
        <v>10382</v>
      </c>
      <c r="B864" s="9" t="s">
        <v>5220</v>
      </c>
      <c r="C864" s="9" t="s">
        <v>58</v>
      </c>
      <c r="D864" s="9" t="s">
        <v>5221</v>
      </c>
      <c r="E864" s="9" t="s">
        <v>35</v>
      </c>
      <c r="F864" s="9" t="s">
        <v>36</v>
      </c>
      <c r="G864" s="9">
        <v>6</v>
      </c>
      <c r="H864" s="9">
        <v>84212100</v>
      </c>
      <c r="I864" s="11" t="s">
        <v>37</v>
      </c>
      <c r="J864" s="12">
        <v>1.6500000000000001E-2</v>
      </c>
      <c r="K864" s="12">
        <v>7.5999999999999998E-2</v>
      </c>
      <c r="L864" s="12">
        <v>0</v>
      </c>
      <c r="M864" s="13">
        <v>8003453801349</v>
      </c>
      <c r="N864" s="14">
        <v>0</v>
      </c>
      <c r="O864" s="14">
        <v>0</v>
      </c>
      <c r="P864" s="15">
        <v>45566</v>
      </c>
      <c r="Q864" s="16" t="s">
        <v>10383</v>
      </c>
      <c r="R864" s="17">
        <v>1699830</v>
      </c>
      <c r="S864" s="17" t="s">
        <v>10384</v>
      </c>
      <c r="T864" s="17" t="s">
        <v>10385</v>
      </c>
      <c r="U864" s="17" t="s">
        <v>10386</v>
      </c>
      <c r="V864" s="17" t="s">
        <v>35</v>
      </c>
      <c r="W864" s="17" t="s">
        <v>35</v>
      </c>
      <c r="X864" s="17" t="s">
        <v>10387</v>
      </c>
      <c r="Y864" s="17" t="s">
        <v>35</v>
      </c>
      <c r="Z864" s="17" t="s">
        <v>10388</v>
      </c>
      <c r="AA864" s="17" t="s">
        <v>35</v>
      </c>
      <c r="AB864" s="17" t="s">
        <v>10389</v>
      </c>
      <c r="AC864" s="17" t="s">
        <v>9539</v>
      </c>
      <c r="AD864" s="41">
        <v>57.51</v>
      </c>
      <c r="AE864" s="41">
        <v>57.51</v>
      </c>
      <c r="AF864" s="48"/>
      <c r="AG864" s="44"/>
      <c r="AH864" s="7">
        <f t="shared" si="13"/>
        <v>0</v>
      </c>
      <c r="AI864" s="18"/>
      <c r="AJ864" s="18"/>
    </row>
    <row r="865" spans="1:38" ht="26.65" customHeight="1" x14ac:dyDescent="0.25">
      <c r="A865" s="10" t="s">
        <v>5228</v>
      </c>
      <c r="B865" s="9" t="s">
        <v>5220</v>
      </c>
      <c r="C865" s="9" t="s">
        <v>34</v>
      </c>
      <c r="D865" s="9" t="s">
        <v>5221</v>
      </c>
      <c r="E865" s="9" t="s">
        <v>35</v>
      </c>
      <c r="F865" s="9" t="s">
        <v>36</v>
      </c>
      <c r="G865" s="9">
        <v>6</v>
      </c>
      <c r="H865" s="9">
        <v>84212100</v>
      </c>
      <c r="I865" s="11" t="s">
        <v>37</v>
      </c>
      <c r="J865" s="12">
        <v>1.6500000000000001E-2</v>
      </c>
      <c r="K865" s="12">
        <v>7.5999999999999998E-2</v>
      </c>
      <c r="L865" s="12">
        <v>0</v>
      </c>
      <c r="M865" s="13">
        <v>8003453130081</v>
      </c>
      <c r="N865" s="14">
        <v>0.73</v>
      </c>
      <c r="O865" s="14">
        <v>0.76800000000000002</v>
      </c>
      <c r="P865" s="15">
        <v>45231</v>
      </c>
      <c r="Q865" s="16" t="s">
        <v>5222</v>
      </c>
      <c r="R865" s="17" t="s">
        <v>5229</v>
      </c>
      <c r="S865" s="17" t="s">
        <v>5230</v>
      </c>
      <c r="T865" s="17" t="s">
        <v>35</v>
      </c>
      <c r="U865" s="17" t="s">
        <v>35</v>
      </c>
      <c r="V865" s="17" t="s">
        <v>35</v>
      </c>
      <c r="W865" s="17" t="s">
        <v>35</v>
      </c>
      <c r="X865" s="17" t="s">
        <v>35</v>
      </c>
      <c r="Y865" s="17" t="s">
        <v>35</v>
      </c>
      <c r="Z865" s="17" t="s">
        <v>5231</v>
      </c>
      <c r="AA865" s="17" t="s">
        <v>35</v>
      </c>
      <c r="AB865" s="17" t="s">
        <v>5232</v>
      </c>
      <c r="AC865" s="17" t="s">
        <v>9539</v>
      </c>
      <c r="AD865" s="42">
        <v>60.81</v>
      </c>
      <c r="AE865" s="42">
        <v>60.81</v>
      </c>
      <c r="AF865" s="48"/>
      <c r="AG865" s="44"/>
      <c r="AH865" s="7">
        <f t="shared" si="13"/>
        <v>0</v>
      </c>
      <c r="AI865" s="18"/>
      <c r="AJ865" s="18"/>
    </row>
    <row r="866" spans="1:38" ht="26.65" customHeight="1" x14ac:dyDescent="0.25">
      <c r="A866" s="10" t="s">
        <v>5233</v>
      </c>
      <c r="B866" s="9" t="s">
        <v>5234</v>
      </c>
      <c r="C866" s="9" t="s">
        <v>58</v>
      </c>
      <c r="D866" s="9" t="s">
        <v>5235</v>
      </c>
      <c r="E866" s="9" t="s">
        <v>35</v>
      </c>
      <c r="F866" s="9" t="s">
        <v>36</v>
      </c>
      <c r="G866" s="9">
        <v>6</v>
      </c>
      <c r="H866" s="9">
        <v>84212100</v>
      </c>
      <c r="I866" s="11" t="s">
        <v>37</v>
      </c>
      <c r="J866" s="12">
        <v>1.6500000000000001E-2</v>
      </c>
      <c r="K866" s="12">
        <v>7.5999999999999998E-2</v>
      </c>
      <c r="L866" s="12">
        <v>0</v>
      </c>
      <c r="M866" s="13">
        <v>8003453130104</v>
      </c>
      <c r="N866" s="14">
        <v>0.89</v>
      </c>
      <c r="O866" s="14">
        <v>0.93300000000000005</v>
      </c>
      <c r="P866" s="15">
        <v>45139</v>
      </c>
      <c r="Q866" s="16" t="s">
        <v>5236</v>
      </c>
      <c r="R866" s="17" t="s">
        <v>5237</v>
      </c>
      <c r="S866" s="17" t="s">
        <v>5238</v>
      </c>
      <c r="T866" s="17" t="s">
        <v>5239</v>
      </c>
      <c r="U866" s="17" t="s">
        <v>5240</v>
      </c>
      <c r="V866" s="17" t="s">
        <v>5241</v>
      </c>
      <c r="W866" s="17" t="s">
        <v>35</v>
      </c>
      <c r="X866" s="17" t="s">
        <v>35</v>
      </c>
      <c r="Y866" s="17" t="s">
        <v>35</v>
      </c>
      <c r="Z866" s="17" t="s">
        <v>5242</v>
      </c>
      <c r="AA866" s="17" t="s">
        <v>35</v>
      </c>
      <c r="AB866" s="17" t="s">
        <v>5243</v>
      </c>
      <c r="AC866" s="17" t="s">
        <v>9539</v>
      </c>
      <c r="AD866" s="42">
        <v>66.569999999999993</v>
      </c>
      <c r="AE866" s="42">
        <v>66.569999999999993</v>
      </c>
      <c r="AF866" s="48"/>
      <c r="AG866" s="44"/>
      <c r="AH866" s="7">
        <f t="shared" si="13"/>
        <v>0</v>
      </c>
      <c r="AI866" s="18"/>
      <c r="AJ866" s="18"/>
    </row>
    <row r="867" spans="1:38" ht="26.65" customHeight="1" x14ac:dyDescent="0.25">
      <c r="A867" s="10" t="s">
        <v>9252</v>
      </c>
      <c r="B867" s="9" t="s">
        <v>5220</v>
      </c>
      <c r="C867" s="9" t="s">
        <v>34</v>
      </c>
      <c r="D867" s="9" t="s">
        <v>5221</v>
      </c>
      <c r="E867" s="9" t="s">
        <v>35</v>
      </c>
      <c r="F867" s="9" t="s">
        <v>36</v>
      </c>
      <c r="G867" s="9">
        <v>6</v>
      </c>
      <c r="H867" s="9">
        <v>84212100</v>
      </c>
      <c r="I867" s="11" t="s">
        <v>37</v>
      </c>
      <c r="J867" s="12">
        <v>1.6500000000000001E-2</v>
      </c>
      <c r="K867" s="12">
        <v>7.5999999999999998E-2</v>
      </c>
      <c r="L867" s="12">
        <v>0</v>
      </c>
      <c r="M867" s="13">
        <v>8003453130128</v>
      </c>
      <c r="N867" s="14">
        <v>0</v>
      </c>
      <c r="O867" s="14">
        <v>0</v>
      </c>
      <c r="P867" s="15">
        <v>45413</v>
      </c>
      <c r="Q867" s="16" t="s">
        <v>9253</v>
      </c>
      <c r="R867" s="17" t="s">
        <v>35</v>
      </c>
      <c r="S867" s="17" t="s">
        <v>35</v>
      </c>
      <c r="T867" s="17" t="s">
        <v>35</v>
      </c>
      <c r="U867" s="17" t="s">
        <v>35</v>
      </c>
      <c r="V867" s="17" t="s">
        <v>35</v>
      </c>
      <c r="W867" s="17" t="s">
        <v>35</v>
      </c>
      <c r="X867" s="17" t="s">
        <v>35</v>
      </c>
      <c r="Y867" s="17" t="s">
        <v>35</v>
      </c>
      <c r="Z867" s="17" t="s">
        <v>9254</v>
      </c>
      <c r="AA867" s="17" t="s">
        <v>35</v>
      </c>
      <c r="AB867" s="17" t="s">
        <v>9255</v>
      </c>
      <c r="AC867" s="17" t="s">
        <v>9539</v>
      </c>
      <c r="AD867" s="42">
        <v>86.6</v>
      </c>
      <c r="AE867" s="42">
        <v>86.6</v>
      </c>
      <c r="AF867" s="48"/>
      <c r="AG867" s="44"/>
      <c r="AH867" s="7">
        <f t="shared" si="13"/>
        <v>0</v>
      </c>
      <c r="AI867" s="18"/>
      <c r="AJ867" s="18"/>
    </row>
    <row r="868" spans="1:38" ht="26.65" customHeight="1" x14ac:dyDescent="0.25">
      <c r="A868" s="10" t="s">
        <v>5244</v>
      </c>
      <c r="B868" s="9" t="s">
        <v>3030</v>
      </c>
      <c r="C868" s="9" t="s">
        <v>43</v>
      </c>
      <c r="D868" s="9" t="s">
        <v>3031</v>
      </c>
      <c r="E868" s="9" t="s">
        <v>35</v>
      </c>
      <c r="F868" s="9" t="s">
        <v>36</v>
      </c>
      <c r="G868" s="9">
        <v>5</v>
      </c>
      <c r="H868" s="9">
        <v>84219999</v>
      </c>
      <c r="I868" s="11" t="s">
        <v>37</v>
      </c>
      <c r="J868" s="12">
        <v>1.6500000000000001E-2</v>
      </c>
      <c r="K868" s="12">
        <v>7.5999999999999998E-2</v>
      </c>
      <c r="L868" s="12">
        <v>5.1999999999999998E-2</v>
      </c>
      <c r="M868" s="13">
        <v>8003453134447</v>
      </c>
      <c r="N868" s="14">
        <v>0.19600000000000001</v>
      </c>
      <c r="O868" s="14">
        <v>0.248</v>
      </c>
      <c r="P868" s="15" t="s">
        <v>35</v>
      </c>
      <c r="Q868" s="16" t="s">
        <v>5245</v>
      </c>
      <c r="R868" s="17" t="s">
        <v>35</v>
      </c>
      <c r="S868" s="17" t="s">
        <v>5246</v>
      </c>
      <c r="T868" s="17" t="s">
        <v>5247</v>
      </c>
      <c r="U868" s="17" t="s">
        <v>5248</v>
      </c>
      <c r="V868" s="17" t="s">
        <v>5249</v>
      </c>
      <c r="W868" s="17" t="s">
        <v>5250</v>
      </c>
      <c r="X868" s="17" t="s">
        <v>5251</v>
      </c>
      <c r="Y868" s="17" t="s">
        <v>5252</v>
      </c>
      <c r="Z868" s="17" t="s">
        <v>35</v>
      </c>
      <c r="AA868" s="17" t="s">
        <v>35</v>
      </c>
      <c r="AB868" s="17" t="s">
        <v>35</v>
      </c>
      <c r="AC868" s="17" t="s">
        <v>9539</v>
      </c>
      <c r="AD868" s="42">
        <v>23.17</v>
      </c>
      <c r="AE868" s="42">
        <v>24.37</v>
      </c>
      <c r="AF868" s="48"/>
      <c r="AG868" s="44"/>
      <c r="AH868" s="7">
        <f t="shared" si="13"/>
        <v>0</v>
      </c>
      <c r="AI868" s="18"/>
      <c r="AJ868" s="18"/>
    </row>
    <row r="869" spans="1:38" ht="26.65" customHeight="1" x14ac:dyDescent="0.25">
      <c r="A869" s="10" t="s">
        <v>5253</v>
      </c>
      <c r="B869" s="9" t="s">
        <v>3030</v>
      </c>
      <c r="C869" s="9" t="s">
        <v>43</v>
      </c>
      <c r="D869" s="9" t="s">
        <v>3031</v>
      </c>
      <c r="E869" s="9" t="s">
        <v>35</v>
      </c>
      <c r="F869" s="9" t="s">
        <v>36</v>
      </c>
      <c r="G869" s="9">
        <v>5</v>
      </c>
      <c r="H869" s="9">
        <v>84219999</v>
      </c>
      <c r="I869" s="11" t="s">
        <v>37</v>
      </c>
      <c r="J869" s="12">
        <v>1.6500000000000001E-2</v>
      </c>
      <c r="K869" s="12">
        <v>7.5999999999999998E-2</v>
      </c>
      <c r="L869" s="12">
        <v>5.1999999999999998E-2</v>
      </c>
      <c r="M869" s="13">
        <v>8003453134508</v>
      </c>
      <c r="N869" s="14">
        <v>0.246</v>
      </c>
      <c r="O869" s="14">
        <v>0.34699999999999998</v>
      </c>
      <c r="P869" s="15" t="s">
        <v>35</v>
      </c>
      <c r="Q869" s="16" t="s">
        <v>5254</v>
      </c>
      <c r="R869" s="17" t="s">
        <v>35</v>
      </c>
      <c r="S869" s="17" t="s">
        <v>5255</v>
      </c>
      <c r="T869" s="17" t="s">
        <v>5256</v>
      </c>
      <c r="U869" s="17" t="s">
        <v>5257</v>
      </c>
      <c r="V869" s="17" t="s">
        <v>35</v>
      </c>
      <c r="W869" s="17" t="s">
        <v>35</v>
      </c>
      <c r="X869" s="17" t="s">
        <v>5258</v>
      </c>
      <c r="Y869" s="17" t="s">
        <v>5259</v>
      </c>
      <c r="Z869" s="17" t="s">
        <v>35</v>
      </c>
      <c r="AA869" s="17" t="s">
        <v>35</v>
      </c>
      <c r="AB869" s="17" t="s">
        <v>35</v>
      </c>
      <c r="AC869" s="17" t="s">
        <v>9539</v>
      </c>
      <c r="AD869" s="41">
        <v>23.03</v>
      </c>
      <c r="AE869" s="41">
        <v>24.23</v>
      </c>
      <c r="AF869" s="48"/>
      <c r="AG869" s="44"/>
      <c r="AH869" s="7">
        <f t="shared" si="13"/>
        <v>0</v>
      </c>
      <c r="AI869" s="18"/>
      <c r="AJ869" s="18"/>
      <c r="AL869" s="18"/>
    </row>
    <row r="870" spans="1:38" ht="26.65" customHeight="1" x14ac:dyDescent="0.25">
      <c r="A870" s="10" t="s">
        <v>5260</v>
      </c>
      <c r="B870" s="9" t="s">
        <v>3030</v>
      </c>
      <c r="C870" s="9" t="s">
        <v>43</v>
      </c>
      <c r="D870" s="9" t="s">
        <v>3031</v>
      </c>
      <c r="E870" s="9" t="s">
        <v>35</v>
      </c>
      <c r="F870" s="9" t="s">
        <v>36</v>
      </c>
      <c r="G870" s="9">
        <v>5</v>
      </c>
      <c r="H870" s="9">
        <v>84219999</v>
      </c>
      <c r="I870" s="11" t="s">
        <v>37</v>
      </c>
      <c r="J870" s="12">
        <v>1.6500000000000001E-2</v>
      </c>
      <c r="K870" s="12">
        <v>7.5999999999999998E-2</v>
      </c>
      <c r="L870" s="12">
        <v>5.1999999999999998E-2</v>
      </c>
      <c r="M870" s="13">
        <v>8003453134607</v>
      </c>
      <c r="N870" s="14">
        <v>0.19</v>
      </c>
      <c r="O870" s="14">
        <v>0.28199999999999997</v>
      </c>
      <c r="P870" s="15">
        <v>45139</v>
      </c>
      <c r="Q870" s="16" t="s">
        <v>5261</v>
      </c>
      <c r="R870" s="17" t="s">
        <v>5262</v>
      </c>
      <c r="S870" s="17" t="s">
        <v>5263</v>
      </c>
      <c r="T870" s="17" t="s">
        <v>5264</v>
      </c>
      <c r="U870" s="17" t="s">
        <v>5265</v>
      </c>
      <c r="V870" s="17" t="s">
        <v>35</v>
      </c>
      <c r="W870" s="17" t="s">
        <v>35</v>
      </c>
      <c r="X870" s="17" t="s">
        <v>5266</v>
      </c>
      <c r="Y870" s="17" t="s">
        <v>5267</v>
      </c>
      <c r="Z870" s="17" t="s">
        <v>35</v>
      </c>
      <c r="AA870" s="17" t="s">
        <v>35</v>
      </c>
      <c r="AB870" s="17" t="s">
        <v>35</v>
      </c>
      <c r="AC870" s="17" t="s">
        <v>9539</v>
      </c>
      <c r="AD870" s="42">
        <v>15.97</v>
      </c>
      <c r="AE870" s="42">
        <v>16.8</v>
      </c>
      <c r="AF870" s="48"/>
      <c r="AG870" s="44"/>
      <c r="AH870" s="7">
        <f t="shared" si="13"/>
        <v>0</v>
      </c>
      <c r="AI870" s="18"/>
      <c r="AJ870" s="18"/>
    </row>
    <row r="871" spans="1:38" ht="26.65" customHeight="1" x14ac:dyDescent="0.25">
      <c r="A871" s="10" t="s">
        <v>5268</v>
      </c>
      <c r="B871" s="9" t="s">
        <v>3030</v>
      </c>
      <c r="C871" s="9" t="s">
        <v>43</v>
      </c>
      <c r="D871" s="9" t="s">
        <v>3031</v>
      </c>
      <c r="E871" s="9" t="s">
        <v>122</v>
      </c>
      <c r="F871" s="9" t="s">
        <v>36</v>
      </c>
      <c r="G871" s="9">
        <v>5</v>
      </c>
      <c r="H871" s="9">
        <v>84219999</v>
      </c>
      <c r="I871" s="11" t="s">
        <v>37</v>
      </c>
      <c r="J871" s="12">
        <v>1.6500000000000001E-2</v>
      </c>
      <c r="K871" s="12">
        <v>7.5999999999999998E-2</v>
      </c>
      <c r="L871" s="12">
        <v>5.1999999999999998E-2</v>
      </c>
      <c r="M871" s="13">
        <v>8003453134669</v>
      </c>
      <c r="N871" s="14">
        <v>0.36299999999999999</v>
      </c>
      <c r="O871" s="14">
        <v>0.44700000000000001</v>
      </c>
      <c r="P871" s="15" t="s">
        <v>35</v>
      </c>
      <c r="Q871" s="16" t="s">
        <v>5269</v>
      </c>
      <c r="R871" s="17">
        <v>151562</v>
      </c>
      <c r="S871" s="17" t="s">
        <v>35</v>
      </c>
      <c r="T871" s="17" t="s">
        <v>35</v>
      </c>
      <c r="U871" s="17" t="s">
        <v>35</v>
      </c>
      <c r="V871" s="17" t="s">
        <v>35</v>
      </c>
      <c r="W871" s="17" t="s">
        <v>35</v>
      </c>
      <c r="X871" s="17" t="s">
        <v>35</v>
      </c>
      <c r="Y871" s="17" t="s">
        <v>35</v>
      </c>
      <c r="Z871" s="17" t="s">
        <v>35</v>
      </c>
      <c r="AA871" s="17" t="s">
        <v>35</v>
      </c>
      <c r="AB871" s="17" t="s">
        <v>35</v>
      </c>
      <c r="AC871" s="17" t="s">
        <v>9539</v>
      </c>
      <c r="AD871" s="42">
        <v>55.04</v>
      </c>
      <c r="AE871" s="42">
        <v>57.9</v>
      </c>
      <c r="AF871" s="48"/>
      <c r="AG871" s="44"/>
      <c r="AH871" s="7">
        <f t="shared" si="13"/>
        <v>0</v>
      </c>
      <c r="AI871" s="18"/>
      <c r="AJ871" s="18"/>
    </row>
    <row r="872" spans="1:38" ht="26.65" customHeight="1" x14ac:dyDescent="0.25">
      <c r="A872" s="10" t="s">
        <v>5270</v>
      </c>
      <c r="B872" s="9" t="s">
        <v>3030</v>
      </c>
      <c r="C872" s="9" t="s">
        <v>43</v>
      </c>
      <c r="D872" s="9" t="s">
        <v>3031</v>
      </c>
      <c r="E872" s="9" t="s">
        <v>35</v>
      </c>
      <c r="F872" s="9" t="s">
        <v>36</v>
      </c>
      <c r="G872" s="9">
        <v>5</v>
      </c>
      <c r="H872" s="9">
        <v>84219999</v>
      </c>
      <c r="I872" s="11" t="s">
        <v>37</v>
      </c>
      <c r="J872" s="12">
        <v>1.6500000000000001E-2</v>
      </c>
      <c r="K872" s="12">
        <v>7.5999999999999998E-2</v>
      </c>
      <c r="L872" s="12">
        <v>5.1999999999999998E-2</v>
      </c>
      <c r="M872" s="13">
        <v>8003453134683</v>
      </c>
      <c r="N872" s="14">
        <v>0.23300000000000001</v>
      </c>
      <c r="O872" s="14">
        <v>0.32500000000000001</v>
      </c>
      <c r="P872" s="15" t="s">
        <v>35</v>
      </c>
      <c r="Q872" s="16" t="s">
        <v>5271</v>
      </c>
      <c r="R872" s="17" t="s">
        <v>35</v>
      </c>
      <c r="S872" s="17" t="s">
        <v>5272</v>
      </c>
      <c r="T872" s="17" t="s">
        <v>5273</v>
      </c>
      <c r="U872" s="17" t="s">
        <v>5274</v>
      </c>
      <c r="V872" s="17" t="s">
        <v>5275</v>
      </c>
      <c r="W872" s="17" t="s">
        <v>5276</v>
      </c>
      <c r="X872" s="17" t="s">
        <v>5277</v>
      </c>
      <c r="Y872" s="17" t="s">
        <v>5278</v>
      </c>
      <c r="Z872" s="17" t="s">
        <v>35</v>
      </c>
      <c r="AA872" s="17" t="s">
        <v>35</v>
      </c>
      <c r="AB872" s="17" t="s">
        <v>35</v>
      </c>
      <c r="AC872" s="17" t="s">
        <v>9539</v>
      </c>
      <c r="AD872" s="41">
        <v>20.05</v>
      </c>
      <c r="AE872" s="41">
        <v>21.09</v>
      </c>
      <c r="AF872" s="48"/>
      <c r="AG872" s="44"/>
      <c r="AH872" s="7">
        <f t="shared" si="13"/>
        <v>0</v>
      </c>
      <c r="AI872" s="18"/>
      <c r="AJ872" s="18"/>
      <c r="AL872" s="18"/>
    </row>
    <row r="873" spans="1:38" ht="26.65" customHeight="1" x14ac:dyDescent="0.25">
      <c r="A873" s="10" t="s">
        <v>5279</v>
      </c>
      <c r="B873" s="9" t="s">
        <v>3030</v>
      </c>
      <c r="C873" s="9" t="s">
        <v>43</v>
      </c>
      <c r="D873" s="9" t="s">
        <v>3031</v>
      </c>
      <c r="E873" s="9" t="s">
        <v>35</v>
      </c>
      <c r="F873" s="9" t="s">
        <v>36</v>
      </c>
      <c r="G873" s="9">
        <v>5</v>
      </c>
      <c r="H873" s="9">
        <v>84219999</v>
      </c>
      <c r="I873" s="11" t="s">
        <v>37</v>
      </c>
      <c r="J873" s="12">
        <v>1.6500000000000001E-2</v>
      </c>
      <c r="K873" s="12">
        <v>7.5999999999999998E-2</v>
      </c>
      <c r="L873" s="12">
        <v>5.1999999999999998E-2</v>
      </c>
      <c r="M873" s="13">
        <v>8003453134713</v>
      </c>
      <c r="N873" s="14">
        <v>0.13500000000000001</v>
      </c>
      <c r="O873" s="14">
        <v>0.19500000000000001</v>
      </c>
      <c r="P873" s="15">
        <v>44805</v>
      </c>
      <c r="Q873" s="16" t="s">
        <v>5280</v>
      </c>
      <c r="R873" s="17" t="s">
        <v>5281</v>
      </c>
      <c r="S873" s="17" t="s">
        <v>5282</v>
      </c>
      <c r="T873" s="17" t="s">
        <v>5283</v>
      </c>
      <c r="U873" s="17" t="s">
        <v>5284</v>
      </c>
      <c r="V873" s="17" t="s">
        <v>5285</v>
      </c>
      <c r="W873" s="17" t="s">
        <v>5286</v>
      </c>
      <c r="X873" s="17" t="s">
        <v>5287</v>
      </c>
      <c r="Y873" s="17" t="s">
        <v>5288</v>
      </c>
      <c r="Z873" s="17" t="s">
        <v>35</v>
      </c>
      <c r="AA873" s="17" t="s">
        <v>35</v>
      </c>
      <c r="AB873" s="17" t="s">
        <v>35</v>
      </c>
      <c r="AC873" s="17" t="s">
        <v>9539</v>
      </c>
      <c r="AD873" s="41">
        <v>9.92</v>
      </c>
      <c r="AE873" s="41">
        <v>10.44</v>
      </c>
      <c r="AF873" s="48"/>
      <c r="AG873" s="44"/>
      <c r="AH873" s="7">
        <f t="shared" si="13"/>
        <v>0</v>
      </c>
      <c r="AI873" s="18"/>
      <c r="AJ873" s="18"/>
      <c r="AL873" s="18"/>
    </row>
    <row r="874" spans="1:38" ht="26.65" customHeight="1" x14ac:dyDescent="0.25">
      <c r="A874" s="10" t="s">
        <v>5289</v>
      </c>
      <c r="B874" s="9" t="s">
        <v>3030</v>
      </c>
      <c r="C874" s="9" t="s">
        <v>58</v>
      </c>
      <c r="D874" s="9" t="s">
        <v>3031</v>
      </c>
      <c r="E874" s="9" t="s">
        <v>35</v>
      </c>
      <c r="F874" s="9" t="s">
        <v>36</v>
      </c>
      <c r="G874" s="9">
        <v>5</v>
      </c>
      <c r="H874" s="9">
        <v>84219999</v>
      </c>
      <c r="I874" s="11" t="s">
        <v>37</v>
      </c>
      <c r="J874" s="12">
        <v>1.6500000000000001E-2</v>
      </c>
      <c r="K874" s="12">
        <v>7.5999999999999998E-2</v>
      </c>
      <c r="L874" s="12">
        <v>5.1999999999999998E-2</v>
      </c>
      <c r="M874" s="13">
        <v>8003453134959</v>
      </c>
      <c r="N874" s="14">
        <v>0.19500000000000001</v>
      </c>
      <c r="O874" s="14">
        <v>0.27</v>
      </c>
      <c r="P874" s="15" t="s">
        <v>35</v>
      </c>
      <c r="Q874" s="16" t="s">
        <v>5290</v>
      </c>
      <c r="R874" s="17" t="s">
        <v>35</v>
      </c>
      <c r="S874" s="17" t="s">
        <v>5291</v>
      </c>
      <c r="T874" s="17" t="s">
        <v>5292</v>
      </c>
      <c r="U874" s="17" t="s">
        <v>5293</v>
      </c>
      <c r="V874" s="17" t="s">
        <v>35</v>
      </c>
      <c r="W874" s="17" t="s">
        <v>35</v>
      </c>
      <c r="X874" s="17" t="s">
        <v>35</v>
      </c>
      <c r="Y874" s="17" t="s">
        <v>35</v>
      </c>
      <c r="Z874" s="17" t="s">
        <v>5294</v>
      </c>
      <c r="AA874" s="17" t="s">
        <v>35</v>
      </c>
      <c r="AB874" s="17" t="s">
        <v>5295</v>
      </c>
      <c r="AC874" s="17" t="s">
        <v>9539</v>
      </c>
      <c r="AD874" s="42">
        <v>34.42</v>
      </c>
      <c r="AE874" s="42">
        <v>36.21</v>
      </c>
      <c r="AF874" s="48"/>
      <c r="AG874" s="44"/>
      <c r="AH874" s="7">
        <f t="shared" si="13"/>
        <v>0</v>
      </c>
      <c r="AI874" s="18"/>
      <c r="AJ874" s="18"/>
    </row>
    <row r="875" spans="1:38" ht="26.65" customHeight="1" x14ac:dyDescent="0.25">
      <c r="A875" s="10" t="s">
        <v>5296</v>
      </c>
      <c r="B875" s="9" t="s">
        <v>3030</v>
      </c>
      <c r="C875" s="9" t="s">
        <v>43</v>
      </c>
      <c r="D875" s="9" t="s">
        <v>3031</v>
      </c>
      <c r="E875" s="9" t="s">
        <v>35</v>
      </c>
      <c r="F875" s="9" t="s">
        <v>36</v>
      </c>
      <c r="G875" s="9">
        <v>5</v>
      </c>
      <c r="H875" s="9">
        <v>84219999</v>
      </c>
      <c r="I875" s="11" t="s">
        <v>37</v>
      </c>
      <c r="J875" s="12">
        <v>1.6500000000000001E-2</v>
      </c>
      <c r="K875" s="12">
        <v>7.5999999999999998E-2</v>
      </c>
      <c r="L875" s="12">
        <v>5.1999999999999998E-2</v>
      </c>
      <c r="M875" s="13">
        <v>8003453135079</v>
      </c>
      <c r="N875" s="14">
        <v>0.161</v>
      </c>
      <c r="O875" s="14">
        <v>0.23899999999999999</v>
      </c>
      <c r="P875" s="15" t="s">
        <v>35</v>
      </c>
      <c r="Q875" s="16" t="s">
        <v>5297</v>
      </c>
      <c r="R875" s="17" t="s">
        <v>35</v>
      </c>
      <c r="S875" s="17" t="s">
        <v>5298</v>
      </c>
      <c r="T875" s="17" t="s">
        <v>5299</v>
      </c>
      <c r="U875" s="17" t="s">
        <v>5300</v>
      </c>
      <c r="V875" s="17" t="s">
        <v>35</v>
      </c>
      <c r="W875" s="17" t="s">
        <v>35</v>
      </c>
      <c r="X875" s="17" t="s">
        <v>5301</v>
      </c>
      <c r="Y875" s="17" t="s">
        <v>5302</v>
      </c>
      <c r="Z875" s="17" t="s">
        <v>35</v>
      </c>
      <c r="AA875" s="17" t="s">
        <v>35</v>
      </c>
      <c r="AB875" s="17" t="s">
        <v>35</v>
      </c>
      <c r="AC875" s="17" t="s">
        <v>9539</v>
      </c>
      <c r="AD875" s="42">
        <v>31.96</v>
      </c>
      <c r="AE875" s="42">
        <v>33.619999999999997</v>
      </c>
      <c r="AF875" s="48"/>
      <c r="AG875" s="44"/>
      <c r="AH875" s="7">
        <f t="shared" si="13"/>
        <v>0</v>
      </c>
      <c r="AI875" s="18"/>
      <c r="AJ875" s="18"/>
    </row>
    <row r="876" spans="1:38" ht="26.65" customHeight="1" x14ac:dyDescent="0.25">
      <c r="A876" s="10" t="s">
        <v>5303</v>
      </c>
      <c r="B876" s="9" t="s">
        <v>3030</v>
      </c>
      <c r="C876" s="9" t="s">
        <v>58</v>
      </c>
      <c r="D876" s="9" t="s">
        <v>3031</v>
      </c>
      <c r="E876" s="9" t="s">
        <v>35</v>
      </c>
      <c r="F876" s="9" t="s">
        <v>36</v>
      </c>
      <c r="G876" s="9">
        <v>5</v>
      </c>
      <c r="H876" s="9">
        <v>84219999</v>
      </c>
      <c r="I876" s="11" t="s">
        <v>37</v>
      </c>
      <c r="J876" s="12">
        <v>1.6500000000000001E-2</v>
      </c>
      <c r="K876" s="12">
        <v>7.5999999999999998E-2</v>
      </c>
      <c r="L876" s="12">
        <v>5.1999999999999998E-2</v>
      </c>
      <c r="M876" s="13">
        <v>8003453135093</v>
      </c>
      <c r="N876" s="14">
        <v>0.71399999999999997</v>
      </c>
      <c r="O876" s="14">
        <v>0.91600000000000004</v>
      </c>
      <c r="P876" s="15">
        <v>44774</v>
      </c>
      <c r="Q876" s="16" t="s">
        <v>5304</v>
      </c>
      <c r="R876" s="17" t="s">
        <v>5305</v>
      </c>
      <c r="S876" s="17" t="s">
        <v>5306</v>
      </c>
      <c r="T876" s="17" t="s">
        <v>5307</v>
      </c>
      <c r="U876" s="17" t="s">
        <v>35</v>
      </c>
      <c r="V876" s="17" t="s">
        <v>5308</v>
      </c>
      <c r="W876" s="17" t="s">
        <v>35</v>
      </c>
      <c r="X876" s="17" t="s">
        <v>5309</v>
      </c>
      <c r="Y876" s="17" t="s">
        <v>5310</v>
      </c>
      <c r="Z876" s="17" t="s">
        <v>5311</v>
      </c>
      <c r="AA876" s="17" t="s">
        <v>35</v>
      </c>
      <c r="AB876" s="17" t="s">
        <v>5312</v>
      </c>
      <c r="AC876" s="17" t="s">
        <v>9539</v>
      </c>
      <c r="AD876" s="41">
        <v>65</v>
      </c>
      <c r="AE876" s="41">
        <v>68.38</v>
      </c>
      <c r="AF876" s="48"/>
      <c r="AG876" s="44"/>
      <c r="AH876" s="7">
        <f t="shared" si="13"/>
        <v>0</v>
      </c>
      <c r="AI876" s="18"/>
      <c r="AJ876" s="18"/>
      <c r="AL876" s="18"/>
    </row>
    <row r="877" spans="1:38" ht="26.65" customHeight="1" x14ac:dyDescent="0.25">
      <c r="A877" s="10" t="s">
        <v>5313</v>
      </c>
      <c r="B877" s="9" t="s">
        <v>3030</v>
      </c>
      <c r="C877" s="9" t="s">
        <v>43</v>
      </c>
      <c r="D877" s="9" t="s">
        <v>3306</v>
      </c>
      <c r="E877" s="9" t="s">
        <v>35</v>
      </c>
      <c r="F877" s="9" t="s">
        <v>36</v>
      </c>
      <c r="G877" s="9">
        <v>5</v>
      </c>
      <c r="H877" s="9">
        <v>84219999</v>
      </c>
      <c r="I877" s="11" t="s">
        <v>37</v>
      </c>
      <c r="J877" s="12">
        <v>1.6500000000000001E-2</v>
      </c>
      <c r="K877" s="12">
        <v>7.5999999999999998E-2</v>
      </c>
      <c r="L877" s="12">
        <v>5.1999999999999998E-2</v>
      </c>
      <c r="M877" s="13">
        <v>8003453135246</v>
      </c>
      <c r="N877" s="14">
        <v>0.39</v>
      </c>
      <c r="O877" s="14">
        <v>0.45</v>
      </c>
      <c r="P877" s="15" t="s">
        <v>35</v>
      </c>
      <c r="Q877" s="16" t="s">
        <v>5314</v>
      </c>
      <c r="R877" s="17" t="s">
        <v>35</v>
      </c>
      <c r="S877" s="17" t="s">
        <v>5315</v>
      </c>
      <c r="T877" s="17" t="s">
        <v>5316</v>
      </c>
      <c r="U877" s="17" t="s">
        <v>5317</v>
      </c>
      <c r="V877" s="17" t="s">
        <v>35</v>
      </c>
      <c r="W877" s="17" t="s">
        <v>35</v>
      </c>
      <c r="X877" s="17" t="s">
        <v>5318</v>
      </c>
      <c r="Y877" s="17" t="s">
        <v>5319</v>
      </c>
      <c r="Z877" s="17" t="s">
        <v>35</v>
      </c>
      <c r="AA877" s="17" t="s">
        <v>35</v>
      </c>
      <c r="AB877" s="17" t="s">
        <v>35</v>
      </c>
      <c r="AC877" s="17" t="s">
        <v>9539</v>
      </c>
      <c r="AD877" s="41">
        <v>31.77</v>
      </c>
      <c r="AE877" s="41">
        <v>33.42</v>
      </c>
      <c r="AF877" s="48"/>
      <c r="AG877" s="44"/>
      <c r="AH877" s="7">
        <f t="shared" si="13"/>
        <v>0</v>
      </c>
      <c r="AI877" s="18"/>
      <c r="AJ877" s="18"/>
    </row>
    <row r="878" spans="1:38" ht="26.65" customHeight="1" x14ac:dyDescent="0.25">
      <c r="A878" s="10" t="s">
        <v>5320</v>
      </c>
      <c r="B878" s="9" t="s">
        <v>3030</v>
      </c>
      <c r="C878" s="9" t="s">
        <v>43</v>
      </c>
      <c r="D878" s="9" t="s">
        <v>3031</v>
      </c>
      <c r="E878" s="9" t="s">
        <v>35</v>
      </c>
      <c r="F878" s="9" t="s">
        <v>36</v>
      </c>
      <c r="G878" s="9">
        <v>5</v>
      </c>
      <c r="H878" s="9">
        <v>84219999</v>
      </c>
      <c r="I878" s="11" t="s">
        <v>37</v>
      </c>
      <c r="J878" s="12">
        <v>1.6500000000000001E-2</v>
      </c>
      <c r="K878" s="12">
        <v>7.5999999999999998E-2</v>
      </c>
      <c r="L878" s="12">
        <v>5.1999999999999998E-2</v>
      </c>
      <c r="M878" s="13">
        <v>8003453135192</v>
      </c>
      <c r="N878" s="14">
        <v>0.47499999999999998</v>
      </c>
      <c r="O878" s="14">
        <v>0.63</v>
      </c>
      <c r="P878" s="15">
        <v>44868</v>
      </c>
      <c r="Q878" s="16" t="s">
        <v>5321</v>
      </c>
      <c r="R878" s="17" t="s">
        <v>5322</v>
      </c>
      <c r="S878" s="17" t="s">
        <v>5323</v>
      </c>
      <c r="T878" s="17" t="s">
        <v>5324</v>
      </c>
      <c r="U878" s="17" t="s">
        <v>5325</v>
      </c>
      <c r="V878" s="17" t="s">
        <v>5326</v>
      </c>
      <c r="W878" s="17" t="s">
        <v>5327</v>
      </c>
      <c r="X878" s="17" t="s">
        <v>5328</v>
      </c>
      <c r="Y878" s="17" t="s">
        <v>5329</v>
      </c>
      <c r="Z878" s="17" t="s">
        <v>5330</v>
      </c>
      <c r="AA878" s="17" t="s">
        <v>35</v>
      </c>
      <c r="AB878" s="17" t="s">
        <v>5331</v>
      </c>
      <c r="AC878" s="17" t="s">
        <v>9539</v>
      </c>
      <c r="AD878" s="42">
        <v>48.51</v>
      </c>
      <c r="AE878" s="42">
        <v>51.03</v>
      </c>
      <c r="AF878" s="48"/>
      <c r="AG878" s="44"/>
      <c r="AH878" s="7">
        <f t="shared" si="13"/>
        <v>0</v>
      </c>
      <c r="AI878" s="18"/>
      <c r="AJ878" s="18"/>
    </row>
    <row r="879" spans="1:38" ht="26.65" customHeight="1" x14ac:dyDescent="0.25">
      <c r="A879" s="10" t="s">
        <v>5332</v>
      </c>
      <c r="B879" s="9" t="s">
        <v>3030</v>
      </c>
      <c r="C879" s="9" t="s">
        <v>43</v>
      </c>
      <c r="D879" s="9" t="s">
        <v>3031</v>
      </c>
      <c r="E879" s="9" t="s">
        <v>35</v>
      </c>
      <c r="F879" s="9" t="s">
        <v>36</v>
      </c>
      <c r="G879" s="9">
        <v>5</v>
      </c>
      <c r="H879" s="9">
        <v>84219999</v>
      </c>
      <c r="I879" s="11" t="s">
        <v>37</v>
      </c>
      <c r="J879" s="12">
        <v>1.6500000000000001E-2</v>
      </c>
      <c r="K879" s="12">
        <v>7.5999999999999998E-2</v>
      </c>
      <c r="L879" s="12">
        <v>5.1999999999999998E-2</v>
      </c>
      <c r="M879" s="13">
        <v>8003453135536</v>
      </c>
      <c r="N879" s="14">
        <v>0.42099999999999999</v>
      </c>
      <c r="O879" s="14">
        <v>0.52100000000000002</v>
      </c>
      <c r="P879" s="15" t="s">
        <v>35</v>
      </c>
      <c r="Q879" s="16" t="s">
        <v>5333</v>
      </c>
      <c r="R879" s="17" t="s">
        <v>35</v>
      </c>
      <c r="S879" s="17" t="s">
        <v>5334</v>
      </c>
      <c r="T879" s="17" t="s">
        <v>5335</v>
      </c>
      <c r="U879" s="17" t="s">
        <v>5336</v>
      </c>
      <c r="V879" s="17" t="s">
        <v>5337</v>
      </c>
      <c r="W879" s="17" t="s">
        <v>5338</v>
      </c>
      <c r="X879" s="17" t="s">
        <v>5339</v>
      </c>
      <c r="Y879" s="17" t="s">
        <v>5340</v>
      </c>
      <c r="Z879" s="17" t="s">
        <v>5341</v>
      </c>
      <c r="AA879" s="17" t="s">
        <v>35</v>
      </c>
      <c r="AB879" s="17" t="s">
        <v>35</v>
      </c>
      <c r="AC879" s="17" t="s">
        <v>9539</v>
      </c>
      <c r="AD879" s="42">
        <v>32.14</v>
      </c>
      <c r="AE879" s="42">
        <v>33.81</v>
      </c>
      <c r="AF879" s="48"/>
      <c r="AG879" s="44"/>
      <c r="AH879" s="7">
        <f t="shared" si="13"/>
        <v>0</v>
      </c>
      <c r="AI879" s="18"/>
      <c r="AJ879" s="18"/>
    </row>
    <row r="880" spans="1:38" ht="26.65" customHeight="1" x14ac:dyDescent="0.25">
      <c r="A880" s="10" t="s">
        <v>5342</v>
      </c>
      <c r="B880" s="9" t="s">
        <v>3030</v>
      </c>
      <c r="C880" s="9" t="s">
        <v>43</v>
      </c>
      <c r="D880" s="9" t="s">
        <v>3031</v>
      </c>
      <c r="E880" s="9" t="s">
        <v>35</v>
      </c>
      <c r="F880" s="9" t="s">
        <v>36</v>
      </c>
      <c r="G880" s="9">
        <v>5</v>
      </c>
      <c r="H880" s="9">
        <v>84219999</v>
      </c>
      <c r="I880" s="11" t="s">
        <v>37</v>
      </c>
      <c r="J880" s="12">
        <v>1.6500000000000001E-2</v>
      </c>
      <c r="K880" s="12">
        <v>7.5999999999999998E-2</v>
      </c>
      <c r="L880" s="12">
        <v>5.1999999999999998E-2</v>
      </c>
      <c r="M880" s="13">
        <v>8003453135406</v>
      </c>
      <c r="N880" s="14">
        <v>0.16</v>
      </c>
      <c r="O880" s="14">
        <v>0.23499999999999999</v>
      </c>
      <c r="P880" s="15" t="s">
        <v>35</v>
      </c>
      <c r="Q880" s="16" t="s">
        <v>5343</v>
      </c>
      <c r="R880" s="17" t="s">
        <v>35</v>
      </c>
      <c r="S880" s="17" t="s">
        <v>5344</v>
      </c>
      <c r="T880" s="17" t="s">
        <v>5345</v>
      </c>
      <c r="U880" s="17" t="s">
        <v>5346</v>
      </c>
      <c r="V880" s="17" t="s">
        <v>5347</v>
      </c>
      <c r="W880" s="17" t="s">
        <v>5348</v>
      </c>
      <c r="X880" s="17" t="s">
        <v>5349</v>
      </c>
      <c r="Y880" s="17" t="s">
        <v>5350</v>
      </c>
      <c r="Z880" s="17" t="s">
        <v>35</v>
      </c>
      <c r="AA880" s="17" t="s">
        <v>35</v>
      </c>
      <c r="AB880" s="17" t="s">
        <v>35</v>
      </c>
      <c r="AC880" s="17" t="s">
        <v>9539</v>
      </c>
      <c r="AD880" s="42">
        <v>17.559999999999999</v>
      </c>
      <c r="AE880" s="42">
        <v>18.47</v>
      </c>
      <c r="AF880" s="48"/>
      <c r="AG880" s="44"/>
      <c r="AH880" s="7">
        <f t="shared" si="13"/>
        <v>0</v>
      </c>
      <c r="AI880" s="18"/>
      <c r="AJ880" s="18"/>
    </row>
    <row r="881" spans="1:38" ht="26.65" customHeight="1" x14ac:dyDescent="0.25">
      <c r="A881" s="10" t="s">
        <v>5351</v>
      </c>
      <c r="B881" s="9" t="s">
        <v>3030</v>
      </c>
      <c r="C881" s="9" t="s">
        <v>43</v>
      </c>
      <c r="D881" s="9" t="s">
        <v>3031</v>
      </c>
      <c r="E881" s="9" t="s">
        <v>35</v>
      </c>
      <c r="F881" s="9" t="s">
        <v>36</v>
      </c>
      <c r="G881" s="9">
        <v>5</v>
      </c>
      <c r="H881" s="9">
        <v>84219999</v>
      </c>
      <c r="I881" s="11" t="s">
        <v>37</v>
      </c>
      <c r="J881" s="12">
        <v>1.6500000000000001E-2</v>
      </c>
      <c r="K881" s="12">
        <v>7.5999999999999998E-2</v>
      </c>
      <c r="L881" s="12">
        <v>5.1999999999999998E-2</v>
      </c>
      <c r="M881" s="13">
        <v>8003453135505</v>
      </c>
      <c r="N881" s="14">
        <v>0.19</v>
      </c>
      <c r="O881" s="14">
        <v>0.254</v>
      </c>
      <c r="P881" s="15" t="s">
        <v>35</v>
      </c>
      <c r="Q881" s="16" t="s">
        <v>5352</v>
      </c>
      <c r="R881" s="17" t="s">
        <v>35</v>
      </c>
      <c r="S881" s="17" t="s">
        <v>5353</v>
      </c>
      <c r="T881" s="17" t="s">
        <v>5354</v>
      </c>
      <c r="U881" s="17" t="s">
        <v>5355</v>
      </c>
      <c r="V881" s="17" t="s">
        <v>5356</v>
      </c>
      <c r="W881" s="17" t="s">
        <v>5357</v>
      </c>
      <c r="X881" s="17" t="s">
        <v>5358</v>
      </c>
      <c r="Y881" s="17" t="s">
        <v>5359</v>
      </c>
      <c r="Z881" s="17" t="s">
        <v>35</v>
      </c>
      <c r="AA881" s="17" t="s">
        <v>35</v>
      </c>
      <c r="AB881" s="17" t="s">
        <v>35</v>
      </c>
      <c r="AC881" s="17" t="s">
        <v>9539</v>
      </c>
      <c r="AD881" s="42">
        <v>18.29</v>
      </c>
      <c r="AE881" s="42">
        <v>19.239999999999998</v>
      </c>
      <c r="AF881" s="48"/>
      <c r="AG881" s="44"/>
      <c r="AH881" s="7">
        <f t="shared" si="13"/>
        <v>0</v>
      </c>
      <c r="AI881" s="18"/>
      <c r="AJ881" s="18"/>
    </row>
    <row r="882" spans="1:38" ht="26.65" customHeight="1" x14ac:dyDescent="0.25">
      <c r="A882" s="10" t="s">
        <v>5360</v>
      </c>
      <c r="B882" s="9" t="s">
        <v>3030</v>
      </c>
      <c r="C882" s="9" t="s">
        <v>43</v>
      </c>
      <c r="D882" s="9" t="s">
        <v>3031</v>
      </c>
      <c r="E882" s="9" t="s">
        <v>35</v>
      </c>
      <c r="F882" s="9" t="s">
        <v>36</v>
      </c>
      <c r="G882" s="9">
        <v>5</v>
      </c>
      <c r="H882" s="9">
        <v>84219999</v>
      </c>
      <c r="I882" s="11" t="s">
        <v>37</v>
      </c>
      <c r="J882" s="12">
        <v>1.6500000000000001E-2</v>
      </c>
      <c r="K882" s="12">
        <v>7.5999999999999998E-2</v>
      </c>
      <c r="L882" s="12">
        <v>5.1999999999999998E-2</v>
      </c>
      <c r="M882" s="13">
        <v>8003453135673</v>
      </c>
      <c r="N882" s="14">
        <v>0.33</v>
      </c>
      <c r="O882" s="14">
        <v>0.45</v>
      </c>
      <c r="P882" s="15">
        <v>44501</v>
      </c>
      <c r="Q882" s="16" t="s">
        <v>5361</v>
      </c>
      <c r="R882" s="17" t="s">
        <v>5362</v>
      </c>
      <c r="S882" s="17" t="s">
        <v>5363</v>
      </c>
      <c r="T882" s="17" t="s">
        <v>5364</v>
      </c>
      <c r="U882" s="17" t="s">
        <v>5365</v>
      </c>
      <c r="V882" s="17" t="s">
        <v>5366</v>
      </c>
      <c r="W882" s="17" t="s">
        <v>35</v>
      </c>
      <c r="X882" s="17" t="s">
        <v>5367</v>
      </c>
      <c r="Y882" s="17" t="s">
        <v>5368</v>
      </c>
      <c r="Z882" s="17" t="s">
        <v>35</v>
      </c>
      <c r="AA882" s="17" t="s">
        <v>35</v>
      </c>
      <c r="AB882" s="17" t="s">
        <v>35</v>
      </c>
      <c r="AC882" s="17" t="s">
        <v>9539</v>
      </c>
      <c r="AD882" s="42">
        <v>30.77</v>
      </c>
      <c r="AE882" s="42">
        <v>32.369999999999997</v>
      </c>
      <c r="AF882" s="48"/>
      <c r="AG882" s="44"/>
      <c r="AH882" s="7">
        <f t="shared" si="13"/>
        <v>0</v>
      </c>
      <c r="AI882" s="18"/>
      <c r="AJ882" s="18"/>
    </row>
    <row r="883" spans="1:38" ht="26.65" customHeight="1" x14ac:dyDescent="0.25">
      <c r="A883" s="10" t="s">
        <v>5369</v>
      </c>
      <c r="B883" s="9" t="s">
        <v>3030</v>
      </c>
      <c r="C883" s="9" t="s">
        <v>43</v>
      </c>
      <c r="D883" s="9" t="s">
        <v>3031</v>
      </c>
      <c r="E883" s="9" t="s">
        <v>35</v>
      </c>
      <c r="F883" s="9" t="s">
        <v>36</v>
      </c>
      <c r="G883" s="9">
        <v>5</v>
      </c>
      <c r="H883" s="9">
        <v>84219999</v>
      </c>
      <c r="I883" s="11" t="s">
        <v>37</v>
      </c>
      <c r="J883" s="12">
        <v>1.6500000000000001E-2</v>
      </c>
      <c r="K883" s="12">
        <v>7.5999999999999998E-2</v>
      </c>
      <c r="L883" s="12">
        <v>5.1999999999999998E-2</v>
      </c>
      <c r="M883" s="13">
        <v>8003453135802</v>
      </c>
      <c r="N883" s="14">
        <v>0.22</v>
      </c>
      <c r="O883" s="14">
        <v>0.30399999999999999</v>
      </c>
      <c r="P883" s="15" t="s">
        <v>35</v>
      </c>
      <c r="Q883" s="16" t="s">
        <v>5370</v>
      </c>
      <c r="R883" s="17" t="s">
        <v>35</v>
      </c>
      <c r="S883" s="17" t="s">
        <v>5371</v>
      </c>
      <c r="T883" s="17" t="s">
        <v>5372</v>
      </c>
      <c r="U883" s="17" t="s">
        <v>5373</v>
      </c>
      <c r="V883" s="17" t="s">
        <v>5374</v>
      </c>
      <c r="W883" s="17" t="s">
        <v>5375</v>
      </c>
      <c r="X883" s="17" t="s">
        <v>5376</v>
      </c>
      <c r="Y883" s="17" t="s">
        <v>5377</v>
      </c>
      <c r="Z883" s="17" t="s">
        <v>35</v>
      </c>
      <c r="AA883" s="17" t="s">
        <v>35</v>
      </c>
      <c r="AB883" s="17" t="s">
        <v>35</v>
      </c>
      <c r="AC883" s="17" t="s">
        <v>9539</v>
      </c>
      <c r="AD883" s="42">
        <v>23.09</v>
      </c>
      <c r="AE883" s="42">
        <v>24.29</v>
      </c>
      <c r="AF883" s="48"/>
      <c r="AG883" s="44"/>
      <c r="AH883" s="7">
        <f t="shared" si="13"/>
        <v>0</v>
      </c>
      <c r="AI883" s="18"/>
      <c r="AJ883" s="18"/>
    </row>
    <row r="884" spans="1:38" ht="26.65" customHeight="1" x14ac:dyDescent="0.25">
      <c r="A884" s="10" t="s">
        <v>5378</v>
      </c>
      <c r="B884" s="9" t="s">
        <v>3030</v>
      </c>
      <c r="C884" s="9" t="s">
        <v>43</v>
      </c>
      <c r="D884" s="9" t="s">
        <v>3031</v>
      </c>
      <c r="E884" s="9" t="s">
        <v>35</v>
      </c>
      <c r="F884" s="9" t="s">
        <v>36</v>
      </c>
      <c r="G884" s="9">
        <v>5</v>
      </c>
      <c r="H884" s="9">
        <v>84219999</v>
      </c>
      <c r="I884" s="11" t="s">
        <v>37</v>
      </c>
      <c r="J884" s="12">
        <v>1.6500000000000001E-2</v>
      </c>
      <c r="K884" s="12">
        <v>7.5999999999999998E-2</v>
      </c>
      <c r="L884" s="12">
        <v>5.1999999999999998E-2</v>
      </c>
      <c r="M884" s="13">
        <v>8003453135840</v>
      </c>
      <c r="N884" s="14">
        <v>0.224</v>
      </c>
      <c r="O884" s="14">
        <v>0.30299999999999999</v>
      </c>
      <c r="P884" s="15" t="s">
        <v>35</v>
      </c>
      <c r="Q884" s="16" t="s">
        <v>5379</v>
      </c>
      <c r="R884" s="17" t="s">
        <v>35</v>
      </c>
      <c r="S884" s="17" t="s">
        <v>5380</v>
      </c>
      <c r="T884" s="17" t="s">
        <v>5381</v>
      </c>
      <c r="U884" s="17" t="s">
        <v>5382</v>
      </c>
      <c r="V884" s="17" t="s">
        <v>35</v>
      </c>
      <c r="W884" s="17" t="s">
        <v>35</v>
      </c>
      <c r="X884" s="17" t="s">
        <v>5383</v>
      </c>
      <c r="Y884" s="17" t="s">
        <v>5384</v>
      </c>
      <c r="Z884" s="17" t="s">
        <v>35</v>
      </c>
      <c r="AA884" s="17" t="s">
        <v>35</v>
      </c>
      <c r="AB884" s="17" t="s">
        <v>35</v>
      </c>
      <c r="AC884" s="17" t="s">
        <v>9539</v>
      </c>
      <c r="AD884" s="41">
        <v>15.74</v>
      </c>
      <c r="AE884" s="41">
        <v>16.559999999999999</v>
      </c>
      <c r="AF884" s="48"/>
      <c r="AG884" s="44"/>
      <c r="AH884" s="7">
        <f t="shared" si="13"/>
        <v>0</v>
      </c>
      <c r="AI884" s="18"/>
      <c r="AJ884" s="18"/>
    </row>
    <row r="885" spans="1:38" ht="26.65" customHeight="1" x14ac:dyDescent="0.25">
      <c r="A885" s="10" t="s">
        <v>5385</v>
      </c>
      <c r="B885" s="9" t="s">
        <v>3030</v>
      </c>
      <c r="C885" s="9" t="s">
        <v>43</v>
      </c>
      <c r="D885" s="9" t="s">
        <v>3031</v>
      </c>
      <c r="E885" s="9" t="s">
        <v>35</v>
      </c>
      <c r="F885" s="9" t="s">
        <v>36</v>
      </c>
      <c r="G885" s="9">
        <v>5</v>
      </c>
      <c r="H885" s="9">
        <v>84219999</v>
      </c>
      <c r="I885" s="11" t="s">
        <v>37</v>
      </c>
      <c r="J885" s="12">
        <v>1.6500000000000001E-2</v>
      </c>
      <c r="K885" s="12">
        <v>7.5999999999999998E-2</v>
      </c>
      <c r="L885" s="12">
        <v>5.1999999999999998E-2</v>
      </c>
      <c r="M885" s="13">
        <v>8003453135857</v>
      </c>
      <c r="N885" s="14">
        <v>0.25</v>
      </c>
      <c r="O885" s="14">
        <v>0.28999999999999998</v>
      </c>
      <c r="P885" s="15" t="s">
        <v>35</v>
      </c>
      <c r="Q885" s="16" t="s">
        <v>5386</v>
      </c>
      <c r="R885" s="17" t="s">
        <v>35</v>
      </c>
      <c r="S885" s="17" t="s">
        <v>5387</v>
      </c>
      <c r="T885" s="17" t="s">
        <v>5388</v>
      </c>
      <c r="U885" s="17" t="s">
        <v>5389</v>
      </c>
      <c r="V885" s="17" t="s">
        <v>5390</v>
      </c>
      <c r="W885" s="17" t="s">
        <v>5391</v>
      </c>
      <c r="X885" s="17" t="s">
        <v>5392</v>
      </c>
      <c r="Y885" s="17" t="s">
        <v>5393</v>
      </c>
      <c r="Z885" s="17" t="s">
        <v>35</v>
      </c>
      <c r="AA885" s="17" t="s">
        <v>35</v>
      </c>
      <c r="AB885" s="17" t="s">
        <v>35</v>
      </c>
      <c r="AC885" s="17" t="s">
        <v>9539</v>
      </c>
      <c r="AD885" s="42">
        <v>25.29</v>
      </c>
      <c r="AE885" s="42">
        <v>26.61</v>
      </c>
      <c r="AF885" s="48"/>
      <c r="AG885" s="44"/>
      <c r="AH885" s="7">
        <f t="shared" si="13"/>
        <v>0</v>
      </c>
      <c r="AI885" s="18"/>
      <c r="AJ885" s="18"/>
    </row>
    <row r="886" spans="1:38" ht="26.65" customHeight="1" x14ac:dyDescent="0.25">
      <c r="A886" s="10" t="s">
        <v>5394</v>
      </c>
      <c r="B886" s="9" t="s">
        <v>3030</v>
      </c>
      <c r="C886" s="9" t="s">
        <v>43</v>
      </c>
      <c r="D886" s="9" t="s">
        <v>3031</v>
      </c>
      <c r="E886" s="9" t="s">
        <v>35</v>
      </c>
      <c r="F886" s="9" t="s">
        <v>36</v>
      </c>
      <c r="G886" s="9">
        <v>5</v>
      </c>
      <c r="H886" s="9">
        <v>84219999</v>
      </c>
      <c r="I886" s="11" t="s">
        <v>37</v>
      </c>
      <c r="J886" s="12">
        <v>1.6500000000000001E-2</v>
      </c>
      <c r="K886" s="12">
        <v>7.5999999999999998E-2</v>
      </c>
      <c r="L886" s="12">
        <v>5.1999999999999998E-2</v>
      </c>
      <c r="M886" s="13">
        <v>8003453135888</v>
      </c>
      <c r="N886" s="14">
        <v>0.24299999999999999</v>
      </c>
      <c r="O886" s="14">
        <v>0.30399999999999999</v>
      </c>
      <c r="P886" s="15" t="s">
        <v>35</v>
      </c>
      <c r="Q886" s="16" t="s">
        <v>5395</v>
      </c>
      <c r="R886" s="17" t="s">
        <v>5396</v>
      </c>
      <c r="S886" s="17" t="s">
        <v>5397</v>
      </c>
      <c r="T886" s="17" t="s">
        <v>5398</v>
      </c>
      <c r="U886" s="17" t="s">
        <v>5399</v>
      </c>
      <c r="V886" s="17" t="s">
        <v>5400</v>
      </c>
      <c r="W886" s="17" t="s">
        <v>5401</v>
      </c>
      <c r="X886" s="17" t="s">
        <v>5402</v>
      </c>
      <c r="Y886" s="17" t="s">
        <v>5403</v>
      </c>
      <c r="Z886" s="17" t="s">
        <v>35</v>
      </c>
      <c r="AA886" s="17" t="s">
        <v>35</v>
      </c>
      <c r="AB886" s="17" t="s">
        <v>35</v>
      </c>
      <c r="AC886" s="17" t="s">
        <v>9539</v>
      </c>
      <c r="AD886" s="42">
        <v>36.520000000000003</v>
      </c>
      <c r="AE886" s="42">
        <v>38.42</v>
      </c>
      <c r="AF886" s="48"/>
      <c r="AG886" s="44"/>
      <c r="AH886" s="7">
        <f t="shared" si="13"/>
        <v>0</v>
      </c>
      <c r="AI886" s="18"/>
      <c r="AJ886" s="18"/>
    </row>
    <row r="887" spans="1:38" ht="26.65" customHeight="1" x14ac:dyDescent="0.25">
      <c r="A887" s="10" t="s">
        <v>5404</v>
      </c>
      <c r="B887" s="9" t="s">
        <v>3030</v>
      </c>
      <c r="C887" s="9" t="s">
        <v>43</v>
      </c>
      <c r="D887" s="9" t="s">
        <v>3031</v>
      </c>
      <c r="E887" s="9" t="s">
        <v>35</v>
      </c>
      <c r="F887" s="9" t="s">
        <v>36</v>
      </c>
      <c r="G887" s="9">
        <v>5</v>
      </c>
      <c r="H887" s="9">
        <v>84219999</v>
      </c>
      <c r="I887" s="11" t="s">
        <v>37</v>
      </c>
      <c r="J887" s="12">
        <v>1.6500000000000001E-2</v>
      </c>
      <c r="K887" s="12">
        <v>7.5999999999999998E-2</v>
      </c>
      <c r="L887" s="12">
        <v>5.1999999999999998E-2</v>
      </c>
      <c r="M887" s="13">
        <v>8003453135932</v>
      </c>
      <c r="N887" s="14">
        <v>0.16</v>
      </c>
      <c r="O887" s="14">
        <v>0.23599999999999999</v>
      </c>
      <c r="P887" s="15" t="s">
        <v>35</v>
      </c>
      <c r="Q887" s="16" t="s">
        <v>5405</v>
      </c>
      <c r="R887" s="17" t="s">
        <v>35</v>
      </c>
      <c r="S887" s="17" t="s">
        <v>5406</v>
      </c>
      <c r="T887" s="17" t="s">
        <v>5407</v>
      </c>
      <c r="U887" s="17" t="s">
        <v>5408</v>
      </c>
      <c r="V887" s="17" t="s">
        <v>5409</v>
      </c>
      <c r="W887" s="17" t="s">
        <v>5410</v>
      </c>
      <c r="X887" s="17" t="s">
        <v>5411</v>
      </c>
      <c r="Y887" s="17" t="s">
        <v>5412</v>
      </c>
      <c r="Z887" s="17" t="s">
        <v>35</v>
      </c>
      <c r="AA887" s="17" t="s">
        <v>35</v>
      </c>
      <c r="AB887" s="17" t="s">
        <v>35</v>
      </c>
      <c r="AC887" s="17" t="s">
        <v>9539</v>
      </c>
      <c r="AD887" s="42">
        <v>16.28</v>
      </c>
      <c r="AE887" s="42">
        <v>17.13</v>
      </c>
      <c r="AF887" s="48"/>
      <c r="AG887" s="44"/>
      <c r="AH887" s="7">
        <f t="shared" si="13"/>
        <v>0</v>
      </c>
      <c r="AI887" s="18"/>
      <c r="AJ887" s="18"/>
    </row>
    <row r="888" spans="1:38" ht="26.65" customHeight="1" x14ac:dyDescent="0.25">
      <c r="A888" s="10" t="s">
        <v>5413</v>
      </c>
      <c r="B888" s="9" t="s">
        <v>3030</v>
      </c>
      <c r="C888" s="9" t="s">
        <v>43</v>
      </c>
      <c r="D888" s="9" t="s">
        <v>3031</v>
      </c>
      <c r="E888" s="9" t="s">
        <v>35</v>
      </c>
      <c r="F888" s="9" t="s">
        <v>36</v>
      </c>
      <c r="G888" s="9">
        <v>5</v>
      </c>
      <c r="H888" s="9">
        <v>84219999</v>
      </c>
      <c r="I888" s="11" t="s">
        <v>37</v>
      </c>
      <c r="J888" s="12">
        <v>1.6500000000000001E-2</v>
      </c>
      <c r="K888" s="12">
        <v>7.5999999999999998E-2</v>
      </c>
      <c r="L888" s="12">
        <v>5.1999999999999998E-2</v>
      </c>
      <c r="M888" s="13">
        <v>8003453135956</v>
      </c>
      <c r="N888" s="14">
        <v>0.26</v>
      </c>
      <c r="O888" s="14">
        <v>0.35199999999999998</v>
      </c>
      <c r="P888" s="15" t="s">
        <v>35</v>
      </c>
      <c r="Q888" s="16" t="s">
        <v>5414</v>
      </c>
      <c r="R888" s="17" t="s">
        <v>35</v>
      </c>
      <c r="S888" s="17" t="s">
        <v>5415</v>
      </c>
      <c r="T888" s="17" t="s">
        <v>5416</v>
      </c>
      <c r="U888" s="17" t="s">
        <v>5355</v>
      </c>
      <c r="V888" s="17" t="s">
        <v>5356</v>
      </c>
      <c r="W888" s="17" t="s">
        <v>5357</v>
      </c>
      <c r="X888" s="17" t="s">
        <v>5417</v>
      </c>
      <c r="Y888" s="17" t="s">
        <v>5418</v>
      </c>
      <c r="Z888" s="17" t="s">
        <v>35</v>
      </c>
      <c r="AA888" s="17" t="s">
        <v>35</v>
      </c>
      <c r="AB888" s="17" t="s">
        <v>35</v>
      </c>
      <c r="AC888" s="17" t="s">
        <v>9539</v>
      </c>
      <c r="AD888" s="42">
        <v>22.02</v>
      </c>
      <c r="AE888" s="42">
        <v>23.17</v>
      </c>
      <c r="AF888" s="48"/>
      <c r="AG888" s="44"/>
      <c r="AH888" s="7">
        <f t="shared" si="13"/>
        <v>0</v>
      </c>
      <c r="AI888" s="18"/>
      <c r="AJ888" s="18"/>
    </row>
    <row r="889" spans="1:38" ht="26.65" customHeight="1" x14ac:dyDescent="0.25">
      <c r="A889" s="10" t="s">
        <v>5419</v>
      </c>
      <c r="B889" s="9" t="s">
        <v>3030</v>
      </c>
      <c r="C889" s="9" t="s">
        <v>43</v>
      </c>
      <c r="D889" s="9" t="s">
        <v>3031</v>
      </c>
      <c r="E889" s="9" t="s">
        <v>35</v>
      </c>
      <c r="F889" s="9" t="s">
        <v>36</v>
      </c>
      <c r="G889" s="9">
        <v>5</v>
      </c>
      <c r="H889" s="9">
        <v>84219999</v>
      </c>
      <c r="I889" s="11" t="s">
        <v>37</v>
      </c>
      <c r="J889" s="12">
        <v>1.6500000000000001E-2</v>
      </c>
      <c r="K889" s="12">
        <v>7.5999999999999998E-2</v>
      </c>
      <c r="L889" s="12">
        <v>5.1999999999999998E-2</v>
      </c>
      <c r="M889" s="13">
        <v>8003453135994</v>
      </c>
      <c r="N889" s="14">
        <v>0.183</v>
      </c>
      <c r="O889" s="14">
        <v>0.24</v>
      </c>
      <c r="P889" s="15" t="s">
        <v>35</v>
      </c>
      <c r="Q889" s="16" t="s">
        <v>5420</v>
      </c>
      <c r="R889" s="17" t="s">
        <v>35</v>
      </c>
      <c r="S889" s="17" t="s">
        <v>5421</v>
      </c>
      <c r="T889" s="17" t="s">
        <v>35</v>
      </c>
      <c r="U889" s="17" t="s">
        <v>5422</v>
      </c>
      <c r="V889" s="17" t="s">
        <v>35</v>
      </c>
      <c r="W889" s="17" t="s">
        <v>35</v>
      </c>
      <c r="X889" s="17" t="s">
        <v>5423</v>
      </c>
      <c r="Y889" s="17" t="s">
        <v>5424</v>
      </c>
      <c r="Z889" s="17" t="s">
        <v>35</v>
      </c>
      <c r="AA889" s="17" t="s">
        <v>35</v>
      </c>
      <c r="AB889" s="17" t="s">
        <v>35</v>
      </c>
      <c r="AC889" s="17" t="s">
        <v>9539</v>
      </c>
      <c r="AD889" s="41">
        <v>21.05</v>
      </c>
      <c r="AE889" s="41">
        <v>22.14</v>
      </c>
      <c r="AF889" s="48"/>
      <c r="AG889" s="44"/>
      <c r="AH889" s="7">
        <f t="shared" si="13"/>
        <v>0</v>
      </c>
      <c r="AI889" s="18"/>
      <c r="AJ889" s="18"/>
      <c r="AL889" s="18"/>
    </row>
    <row r="890" spans="1:38" ht="26.65" customHeight="1" x14ac:dyDescent="0.25">
      <c r="A890" s="10" t="s">
        <v>5425</v>
      </c>
      <c r="B890" s="9" t="s">
        <v>3030</v>
      </c>
      <c r="C890" s="9" t="s">
        <v>43</v>
      </c>
      <c r="D890" s="9" t="s">
        <v>3031</v>
      </c>
      <c r="E890" s="9" t="s">
        <v>35</v>
      </c>
      <c r="F890" s="9" t="s">
        <v>36</v>
      </c>
      <c r="G890" s="9">
        <v>5</v>
      </c>
      <c r="H890" s="9">
        <v>84219999</v>
      </c>
      <c r="I890" s="11" t="s">
        <v>37</v>
      </c>
      <c r="J890" s="12">
        <v>1.6500000000000001E-2</v>
      </c>
      <c r="K890" s="12">
        <v>7.5999999999999998E-2</v>
      </c>
      <c r="L890" s="12">
        <v>5.1999999999999998E-2</v>
      </c>
      <c r="M890" s="13">
        <v>8003453136021</v>
      </c>
      <c r="N890" s="14">
        <v>0.32</v>
      </c>
      <c r="O890" s="14">
        <v>0.42099999999999999</v>
      </c>
      <c r="P890" s="15" t="s">
        <v>35</v>
      </c>
      <c r="Q890" s="16" t="s">
        <v>5426</v>
      </c>
      <c r="R890" s="17" t="s">
        <v>35</v>
      </c>
      <c r="S890" s="17" t="s">
        <v>5427</v>
      </c>
      <c r="T890" s="17" t="s">
        <v>5428</v>
      </c>
      <c r="U890" s="17" t="s">
        <v>5429</v>
      </c>
      <c r="V890" s="17" t="s">
        <v>5430</v>
      </c>
      <c r="W890" s="17" t="s">
        <v>5431</v>
      </c>
      <c r="X890" s="17" t="s">
        <v>5432</v>
      </c>
      <c r="Y890" s="17" t="s">
        <v>5433</v>
      </c>
      <c r="Z890" s="17" t="s">
        <v>5434</v>
      </c>
      <c r="AA890" s="17" t="s">
        <v>35</v>
      </c>
      <c r="AB890" s="17" t="s">
        <v>35</v>
      </c>
      <c r="AC890" s="17" t="s">
        <v>9539</v>
      </c>
      <c r="AD890" s="42">
        <v>18.38</v>
      </c>
      <c r="AE890" s="42">
        <v>19.34</v>
      </c>
      <c r="AF890" s="48"/>
      <c r="AG890" s="44"/>
      <c r="AH890" s="7">
        <f t="shared" si="13"/>
        <v>0</v>
      </c>
      <c r="AI890" s="18"/>
      <c r="AJ890" s="18"/>
    </row>
    <row r="891" spans="1:38" ht="26.65" customHeight="1" x14ac:dyDescent="0.25">
      <c r="A891" s="10" t="s">
        <v>8696</v>
      </c>
      <c r="B891" s="9" t="s">
        <v>3056</v>
      </c>
      <c r="C891" s="9" t="s">
        <v>43</v>
      </c>
      <c r="D891" s="9" t="s">
        <v>3306</v>
      </c>
      <c r="E891" s="9" t="s">
        <v>122</v>
      </c>
      <c r="F891" s="9" t="s">
        <v>36</v>
      </c>
      <c r="G891" s="9">
        <v>5</v>
      </c>
      <c r="H891" s="9">
        <v>84219999</v>
      </c>
      <c r="I891" s="11" t="s">
        <v>37</v>
      </c>
      <c r="J891" s="12">
        <v>1.6500000000000001E-2</v>
      </c>
      <c r="K891" s="12">
        <v>7.5999999999999998E-2</v>
      </c>
      <c r="L891" s="12">
        <v>5.1999999999999998E-2</v>
      </c>
      <c r="M891" s="13">
        <v>8003453139077</v>
      </c>
      <c r="N891" s="14">
        <v>0.4</v>
      </c>
      <c r="O891" s="14">
        <v>0.46800000000000003</v>
      </c>
      <c r="P891" s="15">
        <v>45292</v>
      </c>
      <c r="Q891" s="16" t="s">
        <v>8697</v>
      </c>
      <c r="R891" s="17" t="s">
        <v>8698</v>
      </c>
      <c r="S891" s="17" t="s">
        <v>35</v>
      </c>
      <c r="T891" s="17" t="s">
        <v>35</v>
      </c>
      <c r="U891" s="17" t="s">
        <v>35</v>
      </c>
      <c r="V891" s="17" t="s">
        <v>35</v>
      </c>
      <c r="W891" s="17" t="s">
        <v>35</v>
      </c>
      <c r="X891" s="17" t="s">
        <v>35</v>
      </c>
      <c r="Y891" s="17" t="s">
        <v>35</v>
      </c>
      <c r="Z891" s="17" t="s">
        <v>35</v>
      </c>
      <c r="AA891" s="17" t="s">
        <v>35</v>
      </c>
      <c r="AB891" s="17" t="s">
        <v>35</v>
      </c>
      <c r="AC891" s="17" t="s">
        <v>9539</v>
      </c>
      <c r="AD891" s="42">
        <v>121.24</v>
      </c>
      <c r="AE891" s="42">
        <v>127.54</v>
      </c>
      <c r="AF891" s="48"/>
      <c r="AG891" s="44"/>
      <c r="AH891" s="7">
        <f t="shared" si="13"/>
        <v>0</v>
      </c>
      <c r="AI891" s="18"/>
      <c r="AJ891" s="18"/>
    </row>
    <row r="892" spans="1:38" ht="26.65" customHeight="1" x14ac:dyDescent="0.25">
      <c r="A892" s="10" t="s">
        <v>5435</v>
      </c>
      <c r="B892" s="9" t="s">
        <v>3030</v>
      </c>
      <c r="C892" s="9" t="s">
        <v>43</v>
      </c>
      <c r="D892" s="9" t="s">
        <v>3031</v>
      </c>
      <c r="E892" s="9" t="s">
        <v>35</v>
      </c>
      <c r="F892" s="9" t="s">
        <v>36</v>
      </c>
      <c r="G892" s="9">
        <v>5</v>
      </c>
      <c r="H892" s="9">
        <v>84219999</v>
      </c>
      <c r="I892" s="11" t="s">
        <v>37</v>
      </c>
      <c r="J892" s="12">
        <v>1.6500000000000001E-2</v>
      </c>
      <c r="K892" s="12">
        <v>7.5999999999999998E-2</v>
      </c>
      <c r="L892" s="12">
        <v>5.1999999999999998E-2</v>
      </c>
      <c r="M892" s="13">
        <v>8003453136083</v>
      </c>
      <c r="N892" s="14">
        <v>0.28499999999999998</v>
      </c>
      <c r="O892" s="14">
        <v>0.51700000000000002</v>
      </c>
      <c r="P892" s="15" t="s">
        <v>35</v>
      </c>
      <c r="Q892" s="16" t="s">
        <v>5436</v>
      </c>
      <c r="R892" s="17" t="s">
        <v>35</v>
      </c>
      <c r="S892" s="17" t="s">
        <v>5437</v>
      </c>
      <c r="T892" s="17" t="s">
        <v>5438</v>
      </c>
      <c r="U892" s="17" t="s">
        <v>5439</v>
      </c>
      <c r="V892" s="17" t="s">
        <v>35</v>
      </c>
      <c r="W892" s="17" t="s">
        <v>35</v>
      </c>
      <c r="X892" s="17" t="s">
        <v>5440</v>
      </c>
      <c r="Y892" s="17" t="s">
        <v>5441</v>
      </c>
      <c r="Z892" s="17" t="s">
        <v>35</v>
      </c>
      <c r="AA892" s="17" t="s">
        <v>35</v>
      </c>
      <c r="AB892" s="17" t="s">
        <v>35</v>
      </c>
      <c r="AC892" s="17" t="s">
        <v>9539</v>
      </c>
      <c r="AD892" s="42">
        <v>34.26</v>
      </c>
      <c r="AE892" s="42">
        <v>36.04</v>
      </c>
      <c r="AF892" s="48"/>
      <c r="AG892" s="44"/>
      <c r="AH892" s="7">
        <f t="shared" si="13"/>
        <v>0</v>
      </c>
      <c r="AI892" s="18"/>
      <c r="AJ892" s="18"/>
    </row>
    <row r="893" spans="1:38" ht="26.65" customHeight="1" x14ac:dyDescent="0.25">
      <c r="A893" s="10" t="s">
        <v>5442</v>
      </c>
      <c r="B893" s="9" t="s">
        <v>3030</v>
      </c>
      <c r="C893" s="9" t="s">
        <v>43</v>
      </c>
      <c r="D893" s="9" t="s">
        <v>3031</v>
      </c>
      <c r="E893" s="9" t="s">
        <v>35</v>
      </c>
      <c r="F893" s="9" t="s">
        <v>36</v>
      </c>
      <c r="G893" s="9">
        <v>5</v>
      </c>
      <c r="H893" s="9">
        <v>84219999</v>
      </c>
      <c r="I893" s="11" t="s">
        <v>37</v>
      </c>
      <c r="J893" s="12">
        <v>1.6500000000000001E-2</v>
      </c>
      <c r="K893" s="12">
        <v>7.5999999999999998E-2</v>
      </c>
      <c r="L893" s="12">
        <v>5.1999999999999998E-2</v>
      </c>
      <c r="M893" s="13">
        <v>8003453136106</v>
      </c>
      <c r="N893" s="14">
        <v>0.41199999999999998</v>
      </c>
      <c r="O893" s="14">
        <v>0.49</v>
      </c>
      <c r="P893" s="15" t="s">
        <v>35</v>
      </c>
      <c r="Q893" s="16" t="s">
        <v>5443</v>
      </c>
      <c r="R893" s="17" t="s">
        <v>35</v>
      </c>
      <c r="S893" s="17" t="s">
        <v>5444</v>
      </c>
      <c r="T893" s="17" t="s">
        <v>5445</v>
      </c>
      <c r="U893" s="17" t="s">
        <v>5446</v>
      </c>
      <c r="V893" s="17" t="s">
        <v>35</v>
      </c>
      <c r="W893" s="17" t="s">
        <v>35</v>
      </c>
      <c r="X893" s="17" t="s">
        <v>5447</v>
      </c>
      <c r="Y893" s="17" t="s">
        <v>5448</v>
      </c>
      <c r="Z893" s="17" t="s">
        <v>35</v>
      </c>
      <c r="AA893" s="17" t="s">
        <v>35</v>
      </c>
      <c r="AB893" s="17" t="s">
        <v>35</v>
      </c>
      <c r="AC893" s="17" t="s">
        <v>9539</v>
      </c>
      <c r="AD893" s="42">
        <v>29.95</v>
      </c>
      <c r="AE893" s="42">
        <v>31.51</v>
      </c>
      <c r="AF893" s="48"/>
      <c r="AG893" s="44"/>
      <c r="AH893" s="7">
        <f t="shared" si="13"/>
        <v>0</v>
      </c>
      <c r="AI893" s="18"/>
      <c r="AJ893" s="18"/>
    </row>
    <row r="894" spans="1:38" ht="26.65" customHeight="1" x14ac:dyDescent="0.25">
      <c r="A894" s="10" t="s">
        <v>5449</v>
      </c>
      <c r="B894" s="9" t="s">
        <v>3030</v>
      </c>
      <c r="C894" s="9" t="s">
        <v>43</v>
      </c>
      <c r="D894" s="9" t="s">
        <v>3031</v>
      </c>
      <c r="E894" s="9" t="s">
        <v>35</v>
      </c>
      <c r="F894" s="9" t="s">
        <v>36</v>
      </c>
      <c r="G894" s="9">
        <v>5</v>
      </c>
      <c r="H894" s="9">
        <v>84219999</v>
      </c>
      <c r="I894" s="11" t="s">
        <v>37</v>
      </c>
      <c r="J894" s="12">
        <v>1.6500000000000001E-2</v>
      </c>
      <c r="K894" s="12">
        <v>7.5999999999999998E-2</v>
      </c>
      <c r="L894" s="12">
        <v>5.1999999999999998E-2</v>
      </c>
      <c r="M894" s="13">
        <v>8003453136144</v>
      </c>
      <c r="N894" s="14">
        <v>0.13700000000000001</v>
      </c>
      <c r="O894" s="14">
        <v>0.16</v>
      </c>
      <c r="P894" s="15" t="s">
        <v>35</v>
      </c>
      <c r="Q894" s="16" t="s">
        <v>5450</v>
      </c>
      <c r="R894" s="17" t="s">
        <v>35</v>
      </c>
      <c r="S894" s="17" t="s">
        <v>5451</v>
      </c>
      <c r="T894" s="17" t="s">
        <v>5452</v>
      </c>
      <c r="U894" s="17" t="s">
        <v>5453</v>
      </c>
      <c r="V894" s="17" t="s">
        <v>35</v>
      </c>
      <c r="W894" s="17" t="s">
        <v>35</v>
      </c>
      <c r="X894" s="17" t="s">
        <v>5454</v>
      </c>
      <c r="Y894" s="17" t="s">
        <v>5455</v>
      </c>
      <c r="Z894" s="17" t="s">
        <v>35</v>
      </c>
      <c r="AA894" s="17" t="s">
        <v>35</v>
      </c>
      <c r="AB894" s="17" t="s">
        <v>35</v>
      </c>
      <c r="AC894" s="17" t="s">
        <v>9539</v>
      </c>
      <c r="AD894" s="41">
        <v>12.56</v>
      </c>
      <c r="AE894" s="41">
        <v>13.21</v>
      </c>
      <c r="AF894" s="48"/>
      <c r="AG894" s="44"/>
      <c r="AH894" s="7">
        <f t="shared" si="13"/>
        <v>0</v>
      </c>
      <c r="AI894" s="18"/>
      <c r="AJ894" s="18"/>
      <c r="AL894" s="18"/>
    </row>
    <row r="895" spans="1:38" ht="26.65" customHeight="1" x14ac:dyDescent="0.25">
      <c r="A895" s="10" t="s">
        <v>5456</v>
      </c>
      <c r="B895" s="9" t="s">
        <v>3030</v>
      </c>
      <c r="C895" s="9" t="s">
        <v>43</v>
      </c>
      <c r="D895" s="9" t="s">
        <v>3031</v>
      </c>
      <c r="E895" s="9" t="s">
        <v>35</v>
      </c>
      <c r="F895" s="9" t="s">
        <v>36</v>
      </c>
      <c r="G895" s="9">
        <v>5</v>
      </c>
      <c r="H895" s="9">
        <v>84219999</v>
      </c>
      <c r="I895" s="11" t="s">
        <v>37</v>
      </c>
      <c r="J895" s="12">
        <v>1.6500000000000001E-2</v>
      </c>
      <c r="K895" s="12">
        <v>7.5999999999999998E-2</v>
      </c>
      <c r="L895" s="12">
        <v>5.1999999999999998E-2</v>
      </c>
      <c r="M895" s="13">
        <v>8003453136250</v>
      </c>
      <c r="N895" s="14">
        <v>0.28000000000000003</v>
      </c>
      <c r="O895" s="14">
        <v>0.36</v>
      </c>
      <c r="P895" s="15" t="s">
        <v>35</v>
      </c>
      <c r="Q895" s="16" t="s">
        <v>5457</v>
      </c>
      <c r="R895" s="17" t="s">
        <v>35</v>
      </c>
      <c r="S895" s="17" t="s">
        <v>5458</v>
      </c>
      <c r="T895" s="17" t="s">
        <v>5459</v>
      </c>
      <c r="U895" s="17" t="s">
        <v>5460</v>
      </c>
      <c r="V895" s="17" t="s">
        <v>5390</v>
      </c>
      <c r="W895" s="17" t="s">
        <v>5391</v>
      </c>
      <c r="X895" s="17" t="s">
        <v>5461</v>
      </c>
      <c r="Y895" s="17" t="s">
        <v>5462</v>
      </c>
      <c r="Z895" s="17" t="s">
        <v>35</v>
      </c>
      <c r="AA895" s="17" t="s">
        <v>35</v>
      </c>
      <c r="AB895" s="17" t="s">
        <v>35</v>
      </c>
      <c r="AC895" s="17" t="s">
        <v>9539</v>
      </c>
      <c r="AD895" s="41">
        <v>30.62</v>
      </c>
      <c r="AE895" s="41">
        <v>32.21</v>
      </c>
      <c r="AF895" s="48"/>
      <c r="AG895" s="44"/>
      <c r="AH895" s="7">
        <f t="shared" si="13"/>
        <v>0</v>
      </c>
      <c r="AI895" s="18"/>
      <c r="AJ895" s="18"/>
      <c r="AL895" s="18"/>
    </row>
    <row r="896" spans="1:38" ht="26.65" customHeight="1" x14ac:dyDescent="0.25">
      <c r="A896" s="10" t="s">
        <v>5463</v>
      </c>
      <c r="B896" s="9" t="s">
        <v>3030</v>
      </c>
      <c r="C896" s="9" t="s">
        <v>43</v>
      </c>
      <c r="D896" s="9" t="s">
        <v>3031</v>
      </c>
      <c r="E896" s="9" t="s">
        <v>35</v>
      </c>
      <c r="F896" s="9" t="s">
        <v>36</v>
      </c>
      <c r="G896" s="9">
        <v>5</v>
      </c>
      <c r="H896" s="9">
        <v>84219999</v>
      </c>
      <c r="I896" s="11" t="s">
        <v>37</v>
      </c>
      <c r="J896" s="12">
        <v>1.6500000000000001E-2</v>
      </c>
      <c r="K896" s="12">
        <v>7.5999999999999998E-2</v>
      </c>
      <c r="L896" s="12">
        <v>5.1999999999999998E-2</v>
      </c>
      <c r="M896" s="13">
        <v>8003453136304</v>
      </c>
      <c r="N896" s="14">
        <v>0.18</v>
      </c>
      <c r="O896" s="14">
        <v>0.254</v>
      </c>
      <c r="P896" s="15">
        <v>44927</v>
      </c>
      <c r="Q896" s="16" t="s">
        <v>5464</v>
      </c>
      <c r="R896" s="17" t="s">
        <v>5465</v>
      </c>
      <c r="S896" s="17" t="s">
        <v>5466</v>
      </c>
      <c r="T896" s="17" t="s">
        <v>5467</v>
      </c>
      <c r="U896" s="17" t="s">
        <v>5468</v>
      </c>
      <c r="V896" s="17" t="s">
        <v>5469</v>
      </c>
      <c r="W896" s="17" t="s">
        <v>5470</v>
      </c>
      <c r="X896" s="17" t="s">
        <v>5471</v>
      </c>
      <c r="Y896" s="17" t="s">
        <v>5472</v>
      </c>
      <c r="Z896" s="17" t="s">
        <v>35</v>
      </c>
      <c r="AA896" s="17" t="s">
        <v>35</v>
      </c>
      <c r="AB896" s="17" t="s">
        <v>35</v>
      </c>
      <c r="AC896" s="17" t="s">
        <v>9539</v>
      </c>
      <c r="AD896" s="42">
        <v>18.48</v>
      </c>
      <c r="AE896" s="42">
        <v>19.440000000000001</v>
      </c>
      <c r="AF896" s="48"/>
      <c r="AG896" s="44"/>
      <c r="AH896" s="7">
        <f t="shared" si="13"/>
        <v>0</v>
      </c>
      <c r="AI896" s="18"/>
      <c r="AJ896" s="18"/>
    </row>
    <row r="897" spans="1:38" ht="26.65" customHeight="1" x14ac:dyDescent="0.25">
      <c r="A897" s="10" t="s">
        <v>5473</v>
      </c>
      <c r="B897" s="9" t="s">
        <v>3030</v>
      </c>
      <c r="C897" s="9" t="s">
        <v>43</v>
      </c>
      <c r="D897" s="9" t="s">
        <v>3031</v>
      </c>
      <c r="E897" s="9" t="s">
        <v>35</v>
      </c>
      <c r="F897" s="9" t="s">
        <v>36</v>
      </c>
      <c r="G897" s="9">
        <v>5</v>
      </c>
      <c r="H897" s="9">
        <v>84219999</v>
      </c>
      <c r="I897" s="11" t="s">
        <v>37</v>
      </c>
      <c r="J897" s="12">
        <v>1.6500000000000001E-2</v>
      </c>
      <c r="K897" s="12">
        <v>7.5999999999999998E-2</v>
      </c>
      <c r="L897" s="12">
        <v>5.1999999999999998E-2</v>
      </c>
      <c r="M897" s="13">
        <v>8003453136311</v>
      </c>
      <c r="N897" s="14">
        <v>4.3999999999999997E-2</v>
      </c>
      <c r="O897" s="14">
        <v>0.124</v>
      </c>
      <c r="P897" s="15" t="s">
        <v>35</v>
      </c>
      <c r="Q897" s="16" t="s">
        <v>5474</v>
      </c>
      <c r="R897" s="17" t="s">
        <v>35</v>
      </c>
      <c r="S897" s="17" t="s">
        <v>5475</v>
      </c>
      <c r="T897" s="17" t="s">
        <v>5476</v>
      </c>
      <c r="U897" s="17" t="s">
        <v>5477</v>
      </c>
      <c r="V897" s="17" t="s">
        <v>5478</v>
      </c>
      <c r="W897" s="17" t="s">
        <v>5479</v>
      </c>
      <c r="X897" s="17" t="s">
        <v>5480</v>
      </c>
      <c r="Y897" s="17" t="s">
        <v>5481</v>
      </c>
      <c r="Z897" s="17" t="s">
        <v>35</v>
      </c>
      <c r="AA897" s="17" t="s">
        <v>35</v>
      </c>
      <c r="AB897" s="17" t="s">
        <v>35</v>
      </c>
      <c r="AC897" s="17" t="s">
        <v>9539</v>
      </c>
      <c r="AD897" s="42">
        <v>17.34</v>
      </c>
      <c r="AE897" s="42">
        <v>18.239999999999998</v>
      </c>
      <c r="AF897" s="48"/>
      <c r="AG897" s="44"/>
      <c r="AH897" s="7">
        <f t="shared" si="13"/>
        <v>0</v>
      </c>
      <c r="AI897" s="18"/>
      <c r="AJ897" s="18"/>
    </row>
    <row r="898" spans="1:38" ht="26.65" customHeight="1" x14ac:dyDescent="0.25">
      <c r="A898" s="10" t="s">
        <v>5482</v>
      </c>
      <c r="B898" s="9" t="s">
        <v>3030</v>
      </c>
      <c r="C898" s="9" t="s">
        <v>43</v>
      </c>
      <c r="D898" s="9" t="s">
        <v>3031</v>
      </c>
      <c r="E898" s="9" t="s">
        <v>35</v>
      </c>
      <c r="F898" s="9" t="s">
        <v>36</v>
      </c>
      <c r="G898" s="9">
        <v>5</v>
      </c>
      <c r="H898" s="9">
        <v>84219999</v>
      </c>
      <c r="I898" s="11" t="s">
        <v>37</v>
      </c>
      <c r="J898" s="12">
        <v>1.6500000000000001E-2</v>
      </c>
      <c r="K898" s="12">
        <v>7.5999999999999998E-2</v>
      </c>
      <c r="L898" s="12">
        <v>5.1999999999999998E-2</v>
      </c>
      <c r="M898" s="13">
        <v>8003453136328</v>
      </c>
      <c r="N898" s="14">
        <v>0.23</v>
      </c>
      <c r="O898" s="14">
        <v>0.34100000000000003</v>
      </c>
      <c r="P898" s="15" t="s">
        <v>35</v>
      </c>
      <c r="Q898" s="16" t="s">
        <v>708</v>
      </c>
      <c r="R898" s="17" t="s">
        <v>5483</v>
      </c>
      <c r="S898" s="17" t="s">
        <v>5484</v>
      </c>
      <c r="T898" s="17" t="s">
        <v>5485</v>
      </c>
      <c r="U898" s="17" t="s">
        <v>5486</v>
      </c>
      <c r="V898" s="17" t="s">
        <v>5487</v>
      </c>
      <c r="W898" s="17" t="s">
        <v>5488</v>
      </c>
      <c r="X898" s="17" t="s">
        <v>5489</v>
      </c>
      <c r="Y898" s="17" t="s">
        <v>5490</v>
      </c>
      <c r="Z898" s="17" t="s">
        <v>35</v>
      </c>
      <c r="AA898" s="17" t="s">
        <v>35</v>
      </c>
      <c r="AB898" s="17" t="s">
        <v>35</v>
      </c>
      <c r="AC898" s="17" t="s">
        <v>9539</v>
      </c>
      <c r="AD898" s="41">
        <v>26.48</v>
      </c>
      <c r="AE898" s="41">
        <v>27.86</v>
      </c>
      <c r="AF898" s="48"/>
      <c r="AG898" s="44"/>
      <c r="AH898" s="7">
        <f t="shared" si="13"/>
        <v>0</v>
      </c>
      <c r="AI898" s="18"/>
      <c r="AJ898" s="18"/>
      <c r="AL898" s="18"/>
    </row>
    <row r="899" spans="1:38" ht="26.65" customHeight="1" x14ac:dyDescent="0.25">
      <c r="A899" s="10" t="s">
        <v>5491</v>
      </c>
      <c r="B899" s="9" t="s">
        <v>3030</v>
      </c>
      <c r="C899" s="9" t="s">
        <v>43</v>
      </c>
      <c r="D899" s="9" t="s">
        <v>3031</v>
      </c>
      <c r="E899" s="9" t="s">
        <v>35</v>
      </c>
      <c r="F899" s="9" t="s">
        <v>36</v>
      </c>
      <c r="G899" s="9">
        <v>5</v>
      </c>
      <c r="H899" s="9">
        <v>84219999</v>
      </c>
      <c r="I899" s="11" t="s">
        <v>37</v>
      </c>
      <c r="J899" s="12">
        <v>1.6500000000000001E-2</v>
      </c>
      <c r="K899" s="12">
        <v>7.5999999999999998E-2</v>
      </c>
      <c r="L899" s="12">
        <v>5.1999999999999998E-2</v>
      </c>
      <c r="M899" s="13">
        <v>8003453136601</v>
      </c>
      <c r="N899" s="14">
        <v>0.23</v>
      </c>
      <c r="O899" s="14">
        <v>0.36899999999999999</v>
      </c>
      <c r="P899" s="15" t="s">
        <v>35</v>
      </c>
      <c r="Q899" s="16" t="s">
        <v>5492</v>
      </c>
      <c r="R899" s="17" t="s">
        <v>35</v>
      </c>
      <c r="S899" s="17" t="s">
        <v>5493</v>
      </c>
      <c r="T899" s="17" t="s">
        <v>5494</v>
      </c>
      <c r="U899" s="17" t="s">
        <v>5495</v>
      </c>
      <c r="V899" s="17" t="s">
        <v>5496</v>
      </c>
      <c r="W899" s="17" t="s">
        <v>5497</v>
      </c>
      <c r="X899" s="17" t="s">
        <v>5498</v>
      </c>
      <c r="Y899" s="17" t="s">
        <v>5499</v>
      </c>
      <c r="Z899" s="17" t="s">
        <v>35</v>
      </c>
      <c r="AA899" s="17" t="s">
        <v>35</v>
      </c>
      <c r="AB899" s="17" t="s">
        <v>35</v>
      </c>
      <c r="AC899" s="17" t="s">
        <v>9539</v>
      </c>
      <c r="AD899" s="42">
        <v>23.37</v>
      </c>
      <c r="AE899" s="42">
        <v>24.59</v>
      </c>
      <c r="AF899" s="48"/>
      <c r="AG899" s="44"/>
      <c r="AH899" s="7">
        <f t="shared" si="13"/>
        <v>0</v>
      </c>
      <c r="AI899" s="18"/>
      <c r="AJ899" s="18"/>
    </row>
    <row r="900" spans="1:38" ht="26.65" customHeight="1" x14ac:dyDescent="0.25">
      <c r="A900" s="10" t="s">
        <v>5500</v>
      </c>
      <c r="B900" s="9" t="s">
        <v>3030</v>
      </c>
      <c r="C900" s="9" t="s">
        <v>43</v>
      </c>
      <c r="D900" s="9" t="s">
        <v>3031</v>
      </c>
      <c r="E900" s="9" t="s">
        <v>35</v>
      </c>
      <c r="F900" s="9" t="s">
        <v>36</v>
      </c>
      <c r="G900" s="9">
        <v>5</v>
      </c>
      <c r="H900" s="9">
        <v>84219999</v>
      </c>
      <c r="I900" s="11" t="s">
        <v>37</v>
      </c>
      <c r="J900" s="12">
        <v>1.6500000000000001E-2</v>
      </c>
      <c r="K900" s="12">
        <v>7.5999999999999998E-2</v>
      </c>
      <c r="L900" s="12">
        <v>5.1999999999999998E-2</v>
      </c>
      <c r="M900" s="13">
        <v>8003453136632</v>
      </c>
      <c r="N900" s="14">
        <v>0.24</v>
      </c>
      <c r="O900" s="14">
        <v>0.3</v>
      </c>
      <c r="P900" s="15" t="s">
        <v>35</v>
      </c>
      <c r="Q900" s="16" t="s">
        <v>5501</v>
      </c>
      <c r="R900" s="17" t="s">
        <v>5502</v>
      </c>
      <c r="S900" s="17" t="s">
        <v>5503</v>
      </c>
      <c r="T900" s="17" t="s">
        <v>5504</v>
      </c>
      <c r="U900" s="17" t="s">
        <v>5505</v>
      </c>
      <c r="V900" s="17" t="s">
        <v>5506</v>
      </c>
      <c r="W900" s="17" t="s">
        <v>5507</v>
      </c>
      <c r="X900" s="17" t="s">
        <v>5508</v>
      </c>
      <c r="Y900" s="17" t="s">
        <v>5509</v>
      </c>
      <c r="Z900" s="17" t="s">
        <v>35</v>
      </c>
      <c r="AA900" s="17" t="s">
        <v>35</v>
      </c>
      <c r="AB900" s="17" t="s">
        <v>5510</v>
      </c>
      <c r="AC900" s="17" t="s">
        <v>9539</v>
      </c>
      <c r="AD900" s="42">
        <v>41.86</v>
      </c>
      <c r="AE900" s="42">
        <v>44.04</v>
      </c>
      <c r="AF900" s="48"/>
      <c r="AG900" s="44"/>
      <c r="AH900" s="7">
        <f t="shared" ref="AH900:AH963" si="14">AG900*AE900</f>
        <v>0</v>
      </c>
      <c r="AI900" s="18"/>
      <c r="AJ900" s="18"/>
    </row>
    <row r="901" spans="1:38" ht="26.65" customHeight="1" x14ac:dyDescent="0.25">
      <c r="A901" s="10" t="s">
        <v>5511</v>
      </c>
      <c r="B901" s="9" t="s">
        <v>3030</v>
      </c>
      <c r="C901" s="9" t="s">
        <v>43</v>
      </c>
      <c r="D901" s="9" t="s">
        <v>3031</v>
      </c>
      <c r="E901" s="9" t="s">
        <v>35</v>
      </c>
      <c r="F901" s="9" t="s">
        <v>36</v>
      </c>
      <c r="G901" s="9">
        <v>5</v>
      </c>
      <c r="H901" s="9">
        <v>84219999</v>
      </c>
      <c r="I901" s="11" t="s">
        <v>37</v>
      </c>
      <c r="J901" s="12">
        <v>1.6500000000000001E-2</v>
      </c>
      <c r="K901" s="12">
        <v>7.5999999999999998E-2</v>
      </c>
      <c r="L901" s="12">
        <v>5.1999999999999998E-2</v>
      </c>
      <c r="M901" s="13">
        <v>8003453136731</v>
      </c>
      <c r="N901" s="14">
        <v>0.24</v>
      </c>
      <c r="O901" s="14">
        <v>0.3</v>
      </c>
      <c r="P901" s="15" t="s">
        <v>35</v>
      </c>
      <c r="Q901" s="16" t="s">
        <v>5512</v>
      </c>
      <c r="R901" s="17" t="s">
        <v>35</v>
      </c>
      <c r="S901" s="17" t="s">
        <v>5513</v>
      </c>
      <c r="T901" s="17" t="s">
        <v>5514</v>
      </c>
      <c r="U901" s="17" t="s">
        <v>5515</v>
      </c>
      <c r="V901" s="17" t="s">
        <v>35</v>
      </c>
      <c r="W901" s="17" t="s">
        <v>35</v>
      </c>
      <c r="X901" s="17" t="s">
        <v>5516</v>
      </c>
      <c r="Y901" s="17" t="s">
        <v>5517</v>
      </c>
      <c r="Z901" s="17" t="s">
        <v>35</v>
      </c>
      <c r="AA901" s="17" t="s">
        <v>35</v>
      </c>
      <c r="AB901" s="17" t="s">
        <v>35</v>
      </c>
      <c r="AC901" s="17" t="s">
        <v>9539</v>
      </c>
      <c r="AD901" s="41">
        <v>21.6</v>
      </c>
      <c r="AE901" s="41">
        <v>22.72</v>
      </c>
      <c r="AF901" s="48"/>
      <c r="AG901" s="44"/>
      <c r="AH901" s="7">
        <f t="shared" si="14"/>
        <v>0</v>
      </c>
      <c r="AI901" s="18"/>
      <c r="AJ901" s="18"/>
      <c r="AL901" s="18"/>
    </row>
    <row r="902" spans="1:38" ht="26.65" customHeight="1" x14ac:dyDescent="0.25">
      <c r="A902" s="10" t="s">
        <v>5518</v>
      </c>
      <c r="B902" s="9" t="s">
        <v>3030</v>
      </c>
      <c r="C902" s="9" t="s">
        <v>43</v>
      </c>
      <c r="D902" s="9" t="s">
        <v>3031</v>
      </c>
      <c r="E902" s="9" t="s">
        <v>35</v>
      </c>
      <c r="F902" s="9" t="s">
        <v>36</v>
      </c>
      <c r="G902" s="9">
        <v>5</v>
      </c>
      <c r="H902" s="9">
        <v>84219999</v>
      </c>
      <c r="I902" s="11" t="s">
        <v>37</v>
      </c>
      <c r="J902" s="12">
        <v>1.6500000000000001E-2</v>
      </c>
      <c r="K902" s="12">
        <v>7.5999999999999998E-2</v>
      </c>
      <c r="L902" s="12">
        <v>5.1999999999999998E-2</v>
      </c>
      <c r="M902" s="13">
        <v>8003453136755</v>
      </c>
      <c r="N902" s="14">
        <v>0.24</v>
      </c>
      <c r="O902" s="14">
        <v>0.3</v>
      </c>
      <c r="P902" s="15" t="s">
        <v>35</v>
      </c>
      <c r="Q902" s="16" t="s">
        <v>5519</v>
      </c>
      <c r="R902" s="17" t="s">
        <v>5520</v>
      </c>
      <c r="S902" s="17" t="s">
        <v>5521</v>
      </c>
      <c r="T902" s="17" t="s">
        <v>5522</v>
      </c>
      <c r="U902" s="17" t="s">
        <v>5523</v>
      </c>
      <c r="V902" s="17" t="s">
        <v>5524</v>
      </c>
      <c r="W902" s="17" t="s">
        <v>5525</v>
      </c>
      <c r="X902" s="17" t="s">
        <v>5526</v>
      </c>
      <c r="Y902" s="17" t="s">
        <v>5527</v>
      </c>
      <c r="Z902" s="17" t="s">
        <v>35</v>
      </c>
      <c r="AA902" s="17" t="s">
        <v>35</v>
      </c>
      <c r="AB902" s="17" t="s">
        <v>35</v>
      </c>
      <c r="AC902" s="17" t="s">
        <v>9539</v>
      </c>
      <c r="AD902" s="42">
        <v>36.67</v>
      </c>
      <c r="AE902" s="42">
        <v>38.58</v>
      </c>
      <c r="AF902" s="48"/>
      <c r="AG902" s="44"/>
      <c r="AH902" s="7">
        <f t="shared" si="14"/>
        <v>0</v>
      </c>
      <c r="AI902" s="18"/>
      <c r="AJ902" s="18"/>
    </row>
    <row r="903" spans="1:38" ht="26.65" customHeight="1" x14ac:dyDescent="0.25">
      <c r="A903" s="10" t="s">
        <v>5528</v>
      </c>
      <c r="B903" s="9" t="s">
        <v>3030</v>
      </c>
      <c r="C903" s="9" t="s">
        <v>43</v>
      </c>
      <c r="D903" s="9" t="s">
        <v>3031</v>
      </c>
      <c r="E903" s="9" t="s">
        <v>35</v>
      </c>
      <c r="F903" s="9" t="s">
        <v>36</v>
      </c>
      <c r="G903" s="9">
        <v>5</v>
      </c>
      <c r="H903" s="9">
        <v>84219999</v>
      </c>
      <c r="I903" s="11" t="s">
        <v>37</v>
      </c>
      <c r="J903" s="12">
        <v>1.6500000000000001E-2</v>
      </c>
      <c r="K903" s="12">
        <v>7.5999999999999998E-2</v>
      </c>
      <c r="L903" s="12">
        <v>5.1999999999999998E-2</v>
      </c>
      <c r="M903" s="13">
        <v>8003453136786</v>
      </c>
      <c r="N903" s="14">
        <v>0.24</v>
      </c>
      <c r="O903" s="14">
        <v>0.3</v>
      </c>
      <c r="P903" s="15" t="s">
        <v>35</v>
      </c>
      <c r="Q903" s="16" t="s">
        <v>5529</v>
      </c>
      <c r="R903" s="17" t="s">
        <v>35</v>
      </c>
      <c r="S903" s="17" t="s">
        <v>5530</v>
      </c>
      <c r="T903" s="17" t="s">
        <v>5531</v>
      </c>
      <c r="U903" s="17" t="s">
        <v>5532</v>
      </c>
      <c r="V903" s="17" t="s">
        <v>35</v>
      </c>
      <c r="W903" s="17" t="s">
        <v>35</v>
      </c>
      <c r="X903" s="17" t="s">
        <v>5533</v>
      </c>
      <c r="Y903" s="17" t="s">
        <v>5534</v>
      </c>
      <c r="Z903" s="17" t="s">
        <v>35</v>
      </c>
      <c r="AA903" s="17" t="s">
        <v>35</v>
      </c>
      <c r="AB903" s="17" t="s">
        <v>35</v>
      </c>
      <c r="AC903" s="17" t="s">
        <v>9539</v>
      </c>
      <c r="AD903" s="42">
        <v>21.28</v>
      </c>
      <c r="AE903" s="42">
        <v>22.39</v>
      </c>
      <c r="AF903" s="48"/>
      <c r="AG903" s="44"/>
      <c r="AH903" s="7">
        <f t="shared" si="14"/>
        <v>0</v>
      </c>
      <c r="AI903" s="18"/>
      <c r="AJ903" s="18"/>
    </row>
    <row r="904" spans="1:38" ht="26.65" customHeight="1" x14ac:dyDescent="0.25">
      <c r="A904" s="10" t="s">
        <v>5535</v>
      </c>
      <c r="B904" s="9" t="s">
        <v>3030</v>
      </c>
      <c r="C904" s="9" t="s">
        <v>43</v>
      </c>
      <c r="D904" s="9" t="s">
        <v>3031</v>
      </c>
      <c r="E904" s="9" t="s">
        <v>35</v>
      </c>
      <c r="F904" s="9" t="s">
        <v>36</v>
      </c>
      <c r="G904" s="9">
        <v>5</v>
      </c>
      <c r="H904" s="9">
        <v>84219999</v>
      </c>
      <c r="I904" s="11" t="s">
        <v>37</v>
      </c>
      <c r="J904" s="12">
        <v>1.6500000000000001E-2</v>
      </c>
      <c r="K904" s="12">
        <v>7.5999999999999998E-2</v>
      </c>
      <c r="L904" s="12">
        <v>5.1999999999999998E-2</v>
      </c>
      <c r="M904" s="13">
        <v>8003453136793</v>
      </c>
      <c r="N904" s="14">
        <v>0.31</v>
      </c>
      <c r="O904" s="14">
        <v>0.37</v>
      </c>
      <c r="P904" s="15" t="s">
        <v>35</v>
      </c>
      <c r="Q904" s="16" t="s">
        <v>5536</v>
      </c>
      <c r="R904" s="17" t="s">
        <v>35</v>
      </c>
      <c r="S904" s="17" t="s">
        <v>5537</v>
      </c>
      <c r="T904" s="17" t="s">
        <v>35</v>
      </c>
      <c r="U904" s="17" t="s">
        <v>5538</v>
      </c>
      <c r="V904" s="17" t="s">
        <v>35</v>
      </c>
      <c r="W904" s="17" t="s">
        <v>35</v>
      </c>
      <c r="X904" s="17" t="s">
        <v>5539</v>
      </c>
      <c r="Y904" s="17" t="s">
        <v>5540</v>
      </c>
      <c r="Z904" s="17" t="s">
        <v>35</v>
      </c>
      <c r="AA904" s="17" t="s">
        <v>35</v>
      </c>
      <c r="AB904" s="17" t="s">
        <v>35</v>
      </c>
      <c r="AC904" s="17" t="s">
        <v>9539</v>
      </c>
      <c r="AD904" s="41">
        <v>28.8</v>
      </c>
      <c r="AE904" s="41">
        <v>30.3</v>
      </c>
      <c r="AF904" s="48"/>
      <c r="AG904" s="44"/>
      <c r="AH904" s="7">
        <f t="shared" si="14"/>
        <v>0</v>
      </c>
      <c r="AI904" s="18"/>
      <c r="AJ904" s="18"/>
    </row>
    <row r="905" spans="1:38" ht="26.65" customHeight="1" x14ac:dyDescent="0.25">
      <c r="A905" s="10" t="s">
        <v>5541</v>
      </c>
      <c r="B905" s="9" t="s">
        <v>3030</v>
      </c>
      <c r="C905" s="9" t="s">
        <v>43</v>
      </c>
      <c r="D905" s="9" t="s">
        <v>3031</v>
      </c>
      <c r="E905" s="9" t="s">
        <v>35</v>
      </c>
      <c r="F905" s="9" t="s">
        <v>36</v>
      </c>
      <c r="G905" s="9">
        <v>5</v>
      </c>
      <c r="H905" s="9">
        <v>84219999</v>
      </c>
      <c r="I905" s="11" t="s">
        <v>37</v>
      </c>
      <c r="J905" s="12">
        <v>1.6500000000000001E-2</v>
      </c>
      <c r="K905" s="12">
        <v>7.5999999999999998E-2</v>
      </c>
      <c r="L905" s="12">
        <v>5.1999999999999998E-2</v>
      </c>
      <c r="M905" s="13">
        <v>8003453136816</v>
      </c>
      <c r="N905" s="14">
        <v>0.191</v>
      </c>
      <c r="O905" s="14">
        <v>0.24</v>
      </c>
      <c r="P905" s="15" t="s">
        <v>35</v>
      </c>
      <c r="Q905" s="16" t="s">
        <v>5542</v>
      </c>
      <c r="R905" s="17" t="s">
        <v>35</v>
      </c>
      <c r="S905" s="17" t="s">
        <v>5543</v>
      </c>
      <c r="T905" s="17" t="s">
        <v>5544</v>
      </c>
      <c r="U905" s="17" t="s">
        <v>5545</v>
      </c>
      <c r="V905" s="17" t="s">
        <v>35</v>
      </c>
      <c r="W905" s="17" t="s">
        <v>35</v>
      </c>
      <c r="X905" s="17" t="s">
        <v>5546</v>
      </c>
      <c r="Y905" s="17" t="s">
        <v>5547</v>
      </c>
      <c r="Z905" s="17" t="s">
        <v>35</v>
      </c>
      <c r="AA905" s="17" t="s">
        <v>35</v>
      </c>
      <c r="AB905" s="17" t="s">
        <v>35</v>
      </c>
      <c r="AC905" s="17" t="s">
        <v>9539</v>
      </c>
      <c r="AD905" s="42">
        <v>21.33</v>
      </c>
      <c r="AE905" s="42">
        <v>22.44</v>
      </c>
      <c r="AF905" s="48"/>
      <c r="AG905" s="44"/>
      <c r="AH905" s="7">
        <f t="shared" si="14"/>
        <v>0</v>
      </c>
      <c r="AI905" s="18"/>
      <c r="AJ905" s="18"/>
    </row>
    <row r="906" spans="1:38" ht="26.65" customHeight="1" x14ac:dyDescent="0.25">
      <c r="A906" s="10" t="s">
        <v>5548</v>
      </c>
      <c r="B906" s="9" t="s">
        <v>3030</v>
      </c>
      <c r="C906" s="9" t="s">
        <v>43</v>
      </c>
      <c r="D906" s="9" t="s">
        <v>3031</v>
      </c>
      <c r="E906" s="9" t="s">
        <v>35</v>
      </c>
      <c r="F906" s="9" t="s">
        <v>36</v>
      </c>
      <c r="G906" s="9">
        <v>5</v>
      </c>
      <c r="H906" s="9">
        <v>84219999</v>
      </c>
      <c r="I906" s="11" t="s">
        <v>37</v>
      </c>
      <c r="J906" s="12">
        <v>1.6500000000000001E-2</v>
      </c>
      <c r="K906" s="12">
        <v>7.5999999999999998E-2</v>
      </c>
      <c r="L906" s="12">
        <v>5.1999999999999998E-2</v>
      </c>
      <c r="M906" s="13">
        <v>8003453136885</v>
      </c>
      <c r="N906" s="14">
        <v>0.26500000000000001</v>
      </c>
      <c r="O906" s="14">
        <v>0.34699999999999998</v>
      </c>
      <c r="P906" s="15" t="s">
        <v>35</v>
      </c>
      <c r="Q906" s="16" t="s">
        <v>5549</v>
      </c>
      <c r="R906" s="17" t="s">
        <v>35</v>
      </c>
      <c r="S906" s="17" t="s">
        <v>5550</v>
      </c>
      <c r="T906" s="17" t="s">
        <v>5551</v>
      </c>
      <c r="U906" s="17" t="s">
        <v>5552</v>
      </c>
      <c r="V906" s="17" t="s">
        <v>35</v>
      </c>
      <c r="W906" s="17" t="s">
        <v>35</v>
      </c>
      <c r="X906" s="17" t="s">
        <v>5553</v>
      </c>
      <c r="Y906" s="17" t="s">
        <v>5554</v>
      </c>
      <c r="Z906" s="17" t="s">
        <v>35</v>
      </c>
      <c r="AA906" s="17" t="s">
        <v>35</v>
      </c>
      <c r="AB906" s="17" t="s">
        <v>35</v>
      </c>
      <c r="AC906" s="17" t="s">
        <v>9539</v>
      </c>
      <c r="AD906" s="41">
        <v>19.39</v>
      </c>
      <c r="AE906" s="41">
        <v>20.399999999999999</v>
      </c>
      <c r="AF906" s="48"/>
      <c r="AG906" s="44"/>
      <c r="AH906" s="7">
        <f t="shared" si="14"/>
        <v>0</v>
      </c>
      <c r="AI906" s="18"/>
      <c r="AJ906" s="18"/>
      <c r="AL906" s="18"/>
    </row>
    <row r="907" spans="1:38" ht="26.65" customHeight="1" x14ac:dyDescent="0.25">
      <c r="A907" s="10" t="s">
        <v>5555</v>
      </c>
      <c r="B907" s="9" t="s">
        <v>3030</v>
      </c>
      <c r="C907" s="9" t="s">
        <v>43</v>
      </c>
      <c r="D907" s="9" t="s">
        <v>3031</v>
      </c>
      <c r="E907" s="9" t="s">
        <v>35</v>
      </c>
      <c r="F907" s="9" t="s">
        <v>36</v>
      </c>
      <c r="G907" s="9">
        <v>5</v>
      </c>
      <c r="H907" s="9">
        <v>84219999</v>
      </c>
      <c r="I907" s="11" t="s">
        <v>37</v>
      </c>
      <c r="J907" s="12">
        <v>1.6500000000000001E-2</v>
      </c>
      <c r="K907" s="12">
        <v>7.5999999999999998E-2</v>
      </c>
      <c r="L907" s="12">
        <v>5.1999999999999998E-2</v>
      </c>
      <c r="M907" s="13">
        <v>8003453136946</v>
      </c>
      <c r="N907" s="14">
        <v>0.28999999999999998</v>
      </c>
      <c r="O907" s="14">
        <v>0.37</v>
      </c>
      <c r="P907" s="15" t="s">
        <v>35</v>
      </c>
      <c r="Q907" s="16" t="s">
        <v>5556</v>
      </c>
      <c r="R907" s="17" t="s">
        <v>5557</v>
      </c>
      <c r="S907" s="17" t="s">
        <v>5558</v>
      </c>
      <c r="T907" s="17" t="s">
        <v>5559</v>
      </c>
      <c r="U907" s="17" t="s">
        <v>5560</v>
      </c>
      <c r="V907" s="17" t="s">
        <v>35</v>
      </c>
      <c r="W907" s="17" t="s">
        <v>35</v>
      </c>
      <c r="X907" s="17" t="s">
        <v>5561</v>
      </c>
      <c r="Y907" s="17" t="s">
        <v>5562</v>
      </c>
      <c r="Z907" s="17" t="s">
        <v>35</v>
      </c>
      <c r="AA907" s="17" t="s">
        <v>35</v>
      </c>
      <c r="AB907" s="17" t="s">
        <v>35</v>
      </c>
      <c r="AC907" s="17" t="s">
        <v>9539</v>
      </c>
      <c r="AD907" s="42">
        <v>35.03</v>
      </c>
      <c r="AE907" s="42">
        <v>36.85</v>
      </c>
      <c r="AF907" s="48"/>
      <c r="AG907" s="44"/>
      <c r="AH907" s="7">
        <f t="shared" si="14"/>
        <v>0</v>
      </c>
      <c r="AI907" s="18"/>
      <c r="AJ907" s="18"/>
    </row>
    <row r="908" spans="1:38" ht="26.65" customHeight="1" x14ac:dyDescent="0.25">
      <c r="A908" s="10" t="s">
        <v>5563</v>
      </c>
      <c r="B908" s="9" t="s">
        <v>3030</v>
      </c>
      <c r="C908" s="9" t="s">
        <v>43</v>
      </c>
      <c r="D908" s="9" t="s">
        <v>3031</v>
      </c>
      <c r="E908" s="9" t="s">
        <v>35</v>
      </c>
      <c r="F908" s="9" t="s">
        <v>36</v>
      </c>
      <c r="G908" s="9">
        <v>5</v>
      </c>
      <c r="H908" s="9">
        <v>84219999</v>
      </c>
      <c r="I908" s="11" t="s">
        <v>37</v>
      </c>
      <c r="J908" s="12">
        <v>1.6500000000000001E-2</v>
      </c>
      <c r="K908" s="12">
        <v>7.5999999999999998E-2</v>
      </c>
      <c r="L908" s="12">
        <v>5.1999999999999998E-2</v>
      </c>
      <c r="M908" s="13">
        <v>8003453136977</v>
      </c>
      <c r="N908" s="14">
        <v>0.32</v>
      </c>
      <c r="O908" s="14">
        <v>0.39</v>
      </c>
      <c r="P908" s="15" t="s">
        <v>35</v>
      </c>
      <c r="Q908" s="16" t="s">
        <v>5564</v>
      </c>
      <c r="R908" s="17" t="s">
        <v>35</v>
      </c>
      <c r="S908" s="17" t="s">
        <v>5565</v>
      </c>
      <c r="T908" s="17" t="s">
        <v>5566</v>
      </c>
      <c r="U908" s="17" t="s">
        <v>5567</v>
      </c>
      <c r="V908" s="17" t="s">
        <v>5568</v>
      </c>
      <c r="W908" s="17" t="s">
        <v>5569</v>
      </c>
      <c r="X908" s="17" t="s">
        <v>5570</v>
      </c>
      <c r="Y908" s="17" t="s">
        <v>5571</v>
      </c>
      <c r="Z908" s="17" t="s">
        <v>35</v>
      </c>
      <c r="AA908" s="17" t="s">
        <v>35</v>
      </c>
      <c r="AB908" s="17" t="s">
        <v>35</v>
      </c>
      <c r="AC908" s="17" t="s">
        <v>9539</v>
      </c>
      <c r="AD908" s="41">
        <v>24.22</v>
      </c>
      <c r="AE908" s="41">
        <v>25.48</v>
      </c>
      <c r="AF908" s="48"/>
      <c r="AG908" s="44"/>
      <c r="AH908" s="7">
        <f t="shared" si="14"/>
        <v>0</v>
      </c>
      <c r="AI908" s="18"/>
      <c r="AJ908" s="18"/>
      <c r="AL908" s="18"/>
    </row>
    <row r="909" spans="1:38" ht="26.65" customHeight="1" x14ac:dyDescent="0.25">
      <c r="A909" s="10" t="s">
        <v>5572</v>
      </c>
      <c r="B909" s="9" t="s">
        <v>3030</v>
      </c>
      <c r="C909" s="9" t="s">
        <v>43</v>
      </c>
      <c r="D909" s="9" t="s">
        <v>3031</v>
      </c>
      <c r="E909" s="9" t="s">
        <v>35</v>
      </c>
      <c r="F909" s="9" t="s">
        <v>36</v>
      </c>
      <c r="G909" s="9">
        <v>5</v>
      </c>
      <c r="H909" s="9">
        <v>84219999</v>
      </c>
      <c r="I909" s="11" t="s">
        <v>37</v>
      </c>
      <c r="J909" s="12">
        <v>1.6500000000000001E-2</v>
      </c>
      <c r="K909" s="12">
        <v>7.5999999999999998E-2</v>
      </c>
      <c r="L909" s="12">
        <v>5.1999999999999998E-2</v>
      </c>
      <c r="M909" s="13">
        <v>8003453137004</v>
      </c>
      <c r="N909" s="14">
        <v>0.18</v>
      </c>
      <c r="O909" s="14">
        <v>0.25900000000000001</v>
      </c>
      <c r="P909" s="15" t="s">
        <v>35</v>
      </c>
      <c r="Q909" s="16" t="s">
        <v>5573</v>
      </c>
      <c r="R909" s="17" t="s">
        <v>35</v>
      </c>
      <c r="S909" s="17" t="s">
        <v>5574</v>
      </c>
      <c r="T909" s="17" t="s">
        <v>5575</v>
      </c>
      <c r="U909" s="17" t="s">
        <v>5576</v>
      </c>
      <c r="V909" s="17" t="s">
        <v>5577</v>
      </c>
      <c r="W909" s="17" t="s">
        <v>5578</v>
      </c>
      <c r="X909" s="17" t="s">
        <v>5579</v>
      </c>
      <c r="Y909" s="17" t="s">
        <v>5580</v>
      </c>
      <c r="Z909" s="17" t="s">
        <v>35</v>
      </c>
      <c r="AA909" s="17" t="s">
        <v>35</v>
      </c>
      <c r="AB909" s="17" t="s">
        <v>35</v>
      </c>
      <c r="AC909" s="17" t="s">
        <v>9539</v>
      </c>
      <c r="AD909" s="42">
        <v>23.69</v>
      </c>
      <c r="AE909" s="42">
        <v>24.92</v>
      </c>
      <c r="AF909" s="48"/>
      <c r="AG909" s="44"/>
      <c r="AH909" s="7">
        <f t="shared" si="14"/>
        <v>0</v>
      </c>
      <c r="AI909" s="18"/>
      <c r="AJ909" s="18"/>
    </row>
    <row r="910" spans="1:38" ht="26.65" customHeight="1" x14ac:dyDescent="0.25">
      <c r="A910" s="10" t="s">
        <v>5581</v>
      </c>
      <c r="B910" s="9" t="s">
        <v>3030</v>
      </c>
      <c r="C910" s="9" t="s">
        <v>43</v>
      </c>
      <c r="D910" s="9" t="s">
        <v>3031</v>
      </c>
      <c r="E910" s="9" t="s">
        <v>35</v>
      </c>
      <c r="F910" s="9" t="s">
        <v>36</v>
      </c>
      <c r="G910" s="9">
        <v>5</v>
      </c>
      <c r="H910" s="9">
        <v>84219999</v>
      </c>
      <c r="I910" s="11" t="s">
        <v>37</v>
      </c>
      <c r="J910" s="12">
        <v>1.6500000000000001E-2</v>
      </c>
      <c r="K910" s="12">
        <v>7.5999999999999998E-2</v>
      </c>
      <c r="L910" s="12">
        <v>5.1999999999999998E-2</v>
      </c>
      <c r="M910" s="13">
        <v>8003453137097</v>
      </c>
      <c r="N910" s="14">
        <v>0.13900000000000001</v>
      </c>
      <c r="O910" s="14">
        <v>0.20899999999999999</v>
      </c>
      <c r="P910" s="15" t="s">
        <v>35</v>
      </c>
      <c r="Q910" s="16" t="s">
        <v>5582</v>
      </c>
      <c r="R910" s="17" t="s">
        <v>35</v>
      </c>
      <c r="S910" s="17" t="s">
        <v>5583</v>
      </c>
      <c r="T910" s="17" t="s">
        <v>5584</v>
      </c>
      <c r="U910" s="17" t="s">
        <v>5585</v>
      </c>
      <c r="V910" s="17" t="s">
        <v>35</v>
      </c>
      <c r="W910" s="17" t="s">
        <v>35</v>
      </c>
      <c r="X910" s="17" t="s">
        <v>5586</v>
      </c>
      <c r="Y910" s="17" t="s">
        <v>5587</v>
      </c>
      <c r="Z910" s="17" t="s">
        <v>35</v>
      </c>
      <c r="AA910" s="17" t="s">
        <v>35</v>
      </c>
      <c r="AB910" s="17" t="s">
        <v>35</v>
      </c>
      <c r="AC910" s="17" t="s">
        <v>9539</v>
      </c>
      <c r="AD910" s="41">
        <v>23.53</v>
      </c>
      <c r="AE910" s="41">
        <v>24.75</v>
      </c>
      <c r="AF910" s="48"/>
      <c r="AG910" s="44"/>
      <c r="AH910" s="7">
        <f t="shared" si="14"/>
        <v>0</v>
      </c>
      <c r="AI910" s="18"/>
      <c r="AJ910" s="18"/>
    </row>
    <row r="911" spans="1:38" ht="26.65" customHeight="1" x14ac:dyDescent="0.25">
      <c r="A911" s="10" t="s">
        <v>5588</v>
      </c>
      <c r="B911" s="9" t="s">
        <v>3030</v>
      </c>
      <c r="C911" s="9" t="s">
        <v>43</v>
      </c>
      <c r="D911" s="9" t="s">
        <v>3031</v>
      </c>
      <c r="E911" s="9" t="s">
        <v>35</v>
      </c>
      <c r="F911" s="9" t="s">
        <v>36</v>
      </c>
      <c r="G911" s="9">
        <v>5</v>
      </c>
      <c r="H911" s="9">
        <v>84219999</v>
      </c>
      <c r="I911" s="11" t="s">
        <v>37</v>
      </c>
      <c r="J911" s="12">
        <v>1.6500000000000001E-2</v>
      </c>
      <c r="K911" s="12">
        <v>7.5999999999999998E-2</v>
      </c>
      <c r="L911" s="12">
        <v>5.1999999999999998E-2</v>
      </c>
      <c r="M911" s="13">
        <v>8003453137110</v>
      </c>
      <c r="N911" s="14">
        <v>0.35599999999999998</v>
      </c>
      <c r="O911" s="14">
        <v>0.45200000000000001</v>
      </c>
      <c r="P911" s="15" t="s">
        <v>35</v>
      </c>
      <c r="Q911" s="16" t="s">
        <v>5589</v>
      </c>
      <c r="R911" s="17" t="s">
        <v>35</v>
      </c>
      <c r="S911" s="17" t="s">
        <v>5590</v>
      </c>
      <c r="T911" s="17" t="s">
        <v>5591</v>
      </c>
      <c r="U911" s="17" t="s">
        <v>5592</v>
      </c>
      <c r="V911" s="17" t="s">
        <v>35</v>
      </c>
      <c r="W911" s="17" t="s">
        <v>35</v>
      </c>
      <c r="X911" s="17" t="s">
        <v>5593</v>
      </c>
      <c r="Y911" s="17" t="s">
        <v>5594</v>
      </c>
      <c r="Z911" s="17" t="s">
        <v>35</v>
      </c>
      <c r="AA911" s="17" t="s">
        <v>35</v>
      </c>
      <c r="AB911" s="17" t="s">
        <v>35</v>
      </c>
      <c r="AC911" s="17" t="s">
        <v>9539</v>
      </c>
      <c r="AD911" s="41">
        <v>36.47</v>
      </c>
      <c r="AE911" s="41">
        <v>38.369999999999997</v>
      </c>
      <c r="AF911" s="48"/>
      <c r="AG911" s="44"/>
      <c r="AH911" s="7">
        <f t="shared" si="14"/>
        <v>0</v>
      </c>
      <c r="AI911" s="18"/>
      <c r="AJ911" s="18"/>
      <c r="AL911" s="18"/>
    </row>
    <row r="912" spans="1:38" ht="26.65" customHeight="1" x14ac:dyDescent="0.25">
      <c r="A912" s="10" t="s">
        <v>5595</v>
      </c>
      <c r="B912" s="9" t="s">
        <v>3030</v>
      </c>
      <c r="C912" s="9" t="s">
        <v>43</v>
      </c>
      <c r="D912" s="9" t="s">
        <v>3031</v>
      </c>
      <c r="E912" s="9" t="s">
        <v>35</v>
      </c>
      <c r="F912" s="9" t="s">
        <v>36</v>
      </c>
      <c r="G912" s="9">
        <v>5</v>
      </c>
      <c r="H912" s="9">
        <v>84219999</v>
      </c>
      <c r="I912" s="11" t="s">
        <v>37</v>
      </c>
      <c r="J912" s="12">
        <v>1.6500000000000001E-2</v>
      </c>
      <c r="K912" s="12">
        <v>7.5999999999999998E-2</v>
      </c>
      <c r="L912" s="12">
        <v>5.1999999999999998E-2</v>
      </c>
      <c r="M912" s="13">
        <v>8003453137127</v>
      </c>
      <c r="N912" s="14">
        <v>0.23</v>
      </c>
      <c r="O912" s="14">
        <v>0.28000000000000003</v>
      </c>
      <c r="P912" s="15" t="s">
        <v>35</v>
      </c>
      <c r="Q912" s="16" t="s">
        <v>5596</v>
      </c>
      <c r="R912" s="17" t="s">
        <v>5597</v>
      </c>
      <c r="S912" s="17" t="s">
        <v>5598</v>
      </c>
      <c r="T912" s="17" t="s">
        <v>5599</v>
      </c>
      <c r="U912" s="17" t="s">
        <v>5600</v>
      </c>
      <c r="V912" s="17" t="s">
        <v>5601</v>
      </c>
      <c r="W912" s="17" t="s">
        <v>35</v>
      </c>
      <c r="X912" s="17" t="s">
        <v>5602</v>
      </c>
      <c r="Y912" s="17" t="s">
        <v>5603</v>
      </c>
      <c r="Z912" s="17" t="s">
        <v>35</v>
      </c>
      <c r="AA912" s="17" t="s">
        <v>35</v>
      </c>
      <c r="AB912" s="17" t="s">
        <v>35</v>
      </c>
      <c r="AC912" s="17" t="s">
        <v>9539</v>
      </c>
      <c r="AD912" s="41">
        <v>34.57</v>
      </c>
      <c r="AE912" s="41">
        <v>36.369999999999997</v>
      </c>
      <c r="AF912" s="48"/>
      <c r="AG912" s="44"/>
      <c r="AH912" s="7">
        <f t="shared" si="14"/>
        <v>0</v>
      </c>
      <c r="AI912" s="18"/>
      <c r="AJ912" s="18"/>
      <c r="AL912" s="18"/>
    </row>
    <row r="913" spans="1:38" ht="26.65" customHeight="1" x14ac:dyDescent="0.25">
      <c r="A913" s="10" t="s">
        <v>5604</v>
      </c>
      <c r="B913" s="9" t="s">
        <v>3030</v>
      </c>
      <c r="C913" s="9" t="s">
        <v>43</v>
      </c>
      <c r="D913" s="9" t="s">
        <v>3031</v>
      </c>
      <c r="E913" s="9" t="s">
        <v>35</v>
      </c>
      <c r="F913" s="9" t="s">
        <v>36</v>
      </c>
      <c r="G913" s="9">
        <v>5</v>
      </c>
      <c r="H913" s="9">
        <v>84219999</v>
      </c>
      <c r="I913" s="11" t="s">
        <v>37</v>
      </c>
      <c r="J913" s="12">
        <v>1.6500000000000001E-2</v>
      </c>
      <c r="K913" s="12">
        <v>7.5999999999999998E-2</v>
      </c>
      <c r="L913" s="12">
        <v>5.1999999999999998E-2</v>
      </c>
      <c r="M913" s="13">
        <v>8003453137172</v>
      </c>
      <c r="N913" s="14">
        <v>0.35499999999999998</v>
      </c>
      <c r="O913" s="14">
        <v>0.37</v>
      </c>
      <c r="P913" s="15" t="s">
        <v>35</v>
      </c>
      <c r="Q913" s="16" t="s">
        <v>5605</v>
      </c>
      <c r="R913" s="17" t="s">
        <v>35</v>
      </c>
      <c r="S913" s="17" t="s">
        <v>5606</v>
      </c>
      <c r="T913" s="17" t="s">
        <v>5607</v>
      </c>
      <c r="U913" s="17" t="s">
        <v>5608</v>
      </c>
      <c r="V913" s="17" t="s">
        <v>5609</v>
      </c>
      <c r="W913" s="17" t="s">
        <v>5610</v>
      </c>
      <c r="X913" s="17" t="s">
        <v>5611</v>
      </c>
      <c r="Y913" s="17" t="s">
        <v>5612</v>
      </c>
      <c r="Z913" s="17" t="s">
        <v>35</v>
      </c>
      <c r="AA913" s="17" t="s">
        <v>35</v>
      </c>
      <c r="AB913" s="17" t="s">
        <v>35</v>
      </c>
      <c r="AC913" s="17" t="s">
        <v>9539</v>
      </c>
      <c r="AD913" s="42">
        <v>22.62</v>
      </c>
      <c r="AE913" s="42">
        <v>23.8</v>
      </c>
      <c r="AF913" s="48"/>
      <c r="AG913" s="44"/>
      <c r="AH913" s="7">
        <f t="shared" si="14"/>
        <v>0</v>
      </c>
      <c r="AI913" s="18"/>
      <c r="AJ913" s="18"/>
    </row>
    <row r="914" spans="1:38" ht="26.65" customHeight="1" x14ac:dyDescent="0.25">
      <c r="A914" s="10" t="s">
        <v>5613</v>
      </c>
      <c r="B914" s="9" t="s">
        <v>3030</v>
      </c>
      <c r="C914" s="9" t="s">
        <v>43</v>
      </c>
      <c r="D914" s="9" t="s">
        <v>3031</v>
      </c>
      <c r="E914" s="9" t="s">
        <v>35</v>
      </c>
      <c r="F914" s="9" t="s">
        <v>36</v>
      </c>
      <c r="G914" s="9">
        <v>5</v>
      </c>
      <c r="H914" s="9">
        <v>84219999</v>
      </c>
      <c r="I914" s="11" t="s">
        <v>37</v>
      </c>
      <c r="J914" s="12">
        <v>1.6500000000000001E-2</v>
      </c>
      <c r="K914" s="12">
        <v>7.5999999999999998E-2</v>
      </c>
      <c r="L914" s="12">
        <v>5.1999999999999998E-2</v>
      </c>
      <c r="M914" s="13">
        <v>8003453137226</v>
      </c>
      <c r="N914" s="14">
        <v>0.24</v>
      </c>
      <c r="O914" s="14">
        <v>0.3</v>
      </c>
      <c r="P914" s="15" t="s">
        <v>35</v>
      </c>
      <c r="Q914" s="16" t="s">
        <v>5614</v>
      </c>
      <c r="R914" s="17" t="s">
        <v>35</v>
      </c>
      <c r="S914" s="17" t="s">
        <v>5615</v>
      </c>
      <c r="T914" s="17" t="s">
        <v>5616</v>
      </c>
      <c r="U914" s="17" t="s">
        <v>5617</v>
      </c>
      <c r="V914" s="17" t="s">
        <v>5618</v>
      </c>
      <c r="W914" s="17" t="s">
        <v>5619</v>
      </c>
      <c r="X914" s="17" t="s">
        <v>5620</v>
      </c>
      <c r="Y914" s="17" t="s">
        <v>5621</v>
      </c>
      <c r="Z914" s="17" t="s">
        <v>35</v>
      </c>
      <c r="AA914" s="17" t="s">
        <v>35</v>
      </c>
      <c r="AB914" s="17" t="s">
        <v>35</v>
      </c>
      <c r="AC914" s="17" t="s">
        <v>9539</v>
      </c>
      <c r="AD914" s="42">
        <v>16.850000000000001</v>
      </c>
      <c r="AE914" s="42">
        <v>17.73</v>
      </c>
      <c r="AF914" s="48"/>
      <c r="AG914" s="44"/>
      <c r="AH914" s="7">
        <f t="shared" si="14"/>
        <v>0</v>
      </c>
      <c r="AI914" s="18"/>
      <c r="AJ914" s="18"/>
    </row>
    <row r="915" spans="1:38" ht="26.65" customHeight="1" x14ac:dyDescent="0.25">
      <c r="A915" s="10" t="s">
        <v>5622</v>
      </c>
      <c r="B915" s="9" t="s">
        <v>3030</v>
      </c>
      <c r="C915" s="9" t="s">
        <v>43</v>
      </c>
      <c r="D915" s="9" t="s">
        <v>3031</v>
      </c>
      <c r="E915" s="9" t="s">
        <v>35</v>
      </c>
      <c r="F915" s="9" t="s">
        <v>36</v>
      </c>
      <c r="G915" s="9">
        <v>5</v>
      </c>
      <c r="H915" s="9">
        <v>84219999</v>
      </c>
      <c r="I915" s="11" t="s">
        <v>37</v>
      </c>
      <c r="J915" s="12">
        <v>1.6500000000000001E-2</v>
      </c>
      <c r="K915" s="12">
        <v>7.5999999999999998E-2</v>
      </c>
      <c r="L915" s="12">
        <v>5.1999999999999998E-2</v>
      </c>
      <c r="M915" s="13">
        <v>8003453137240</v>
      </c>
      <c r="N915" s="14">
        <v>0.26500000000000001</v>
      </c>
      <c r="O915" s="14">
        <v>0.376</v>
      </c>
      <c r="P915" s="15" t="s">
        <v>35</v>
      </c>
      <c r="Q915" s="16" t="s">
        <v>5623</v>
      </c>
      <c r="R915" s="17" t="s">
        <v>35</v>
      </c>
      <c r="S915" s="17" t="s">
        <v>5624</v>
      </c>
      <c r="T915" s="17" t="s">
        <v>5625</v>
      </c>
      <c r="U915" s="17" t="s">
        <v>5626</v>
      </c>
      <c r="V915" s="17" t="s">
        <v>5627</v>
      </c>
      <c r="W915" s="17" t="s">
        <v>35</v>
      </c>
      <c r="X915" s="17" t="s">
        <v>5628</v>
      </c>
      <c r="Y915" s="17" t="s">
        <v>5629</v>
      </c>
      <c r="Z915" s="17" t="s">
        <v>35</v>
      </c>
      <c r="AA915" s="17" t="s">
        <v>35</v>
      </c>
      <c r="AB915" s="17" t="s">
        <v>35</v>
      </c>
      <c r="AC915" s="17" t="s">
        <v>9539</v>
      </c>
      <c r="AD915" s="42">
        <v>27.97</v>
      </c>
      <c r="AE915" s="42">
        <v>29.42</v>
      </c>
      <c r="AF915" s="48"/>
      <c r="AG915" s="44"/>
      <c r="AH915" s="7">
        <f t="shared" si="14"/>
        <v>0</v>
      </c>
      <c r="AI915" s="18"/>
      <c r="AJ915" s="18"/>
    </row>
    <row r="916" spans="1:38" ht="26.65" customHeight="1" x14ac:dyDescent="0.25">
      <c r="A916" s="10" t="s">
        <v>5630</v>
      </c>
      <c r="B916" s="9" t="s">
        <v>3030</v>
      </c>
      <c r="C916" s="9" t="s">
        <v>43</v>
      </c>
      <c r="D916" s="9" t="s">
        <v>3031</v>
      </c>
      <c r="E916" s="9" t="s">
        <v>35</v>
      </c>
      <c r="F916" s="9" t="s">
        <v>36</v>
      </c>
      <c r="G916" s="9">
        <v>5</v>
      </c>
      <c r="H916" s="9">
        <v>84219999</v>
      </c>
      <c r="I916" s="11" t="s">
        <v>37</v>
      </c>
      <c r="J916" s="12">
        <v>1.6500000000000001E-2</v>
      </c>
      <c r="K916" s="12">
        <v>7.5999999999999998E-2</v>
      </c>
      <c r="L916" s="12">
        <v>5.1999999999999998E-2</v>
      </c>
      <c r="M916" s="13">
        <v>8003453137264</v>
      </c>
      <c r="N916" s="14">
        <v>0.224</v>
      </c>
      <c r="O916" s="14">
        <v>0.32400000000000001</v>
      </c>
      <c r="P916" s="15" t="s">
        <v>35</v>
      </c>
      <c r="Q916" s="16" t="s">
        <v>5631</v>
      </c>
      <c r="R916" s="17" t="s">
        <v>35</v>
      </c>
      <c r="S916" s="17" t="s">
        <v>5632</v>
      </c>
      <c r="T916" s="17" t="s">
        <v>5633</v>
      </c>
      <c r="U916" s="17" t="s">
        <v>5634</v>
      </c>
      <c r="V916" s="17" t="s">
        <v>35</v>
      </c>
      <c r="W916" s="17" t="s">
        <v>35</v>
      </c>
      <c r="X916" s="17" t="s">
        <v>5635</v>
      </c>
      <c r="Y916" s="17" t="s">
        <v>5636</v>
      </c>
      <c r="Z916" s="17" t="s">
        <v>35</v>
      </c>
      <c r="AA916" s="17" t="s">
        <v>35</v>
      </c>
      <c r="AB916" s="17" t="s">
        <v>35</v>
      </c>
      <c r="AC916" s="17" t="s">
        <v>9539</v>
      </c>
      <c r="AD916" s="41">
        <v>18.73</v>
      </c>
      <c r="AE916" s="41">
        <v>19.7</v>
      </c>
      <c r="AF916" s="48"/>
      <c r="AG916" s="44"/>
      <c r="AH916" s="7">
        <f t="shared" si="14"/>
        <v>0</v>
      </c>
      <c r="AI916" s="18"/>
      <c r="AJ916" s="18"/>
      <c r="AL916" s="18"/>
    </row>
    <row r="917" spans="1:38" ht="26.65" customHeight="1" x14ac:dyDescent="0.25">
      <c r="A917" s="10" t="s">
        <v>5637</v>
      </c>
      <c r="B917" s="9" t="s">
        <v>3030</v>
      </c>
      <c r="C917" s="9" t="s">
        <v>43</v>
      </c>
      <c r="D917" s="9" t="s">
        <v>3031</v>
      </c>
      <c r="E917" s="9" t="s">
        <v>35</v>
      </c>
      <c r="F917" s="9" t="s">
        <v>36</v>
      </c>
      <c r="G917" s="9">
        <v>5</v>
      </c>
      <c r="H917" s="9">
        <v>84219999</v>
      </c>
      <c r="I917" s="11" t="s">
        <v>37</v>
      </c>
      <c r="J917" s="12">
        <v>1.6500000000000001E-2</v>
      </c>
      <c r="K917" s="12">
        <v>7.5999999999999998E-2</v>
      </c>
      <c r="L917" s="12">
        <v>5.1999999999999998E-2</v>
      </c>
      <c r="M917" s="13">
        <v>8003453137301</v>
      </c>
      <c r="N917" s="14">
        <v>0.11700000000000001</v>
      </c>
      <c r="O917" s="14">
        <v>0.246</v>
      </c>
      <c r="P917" s="15" t="s">
        <v>35</v>
      </c>
      <c r="Q917" s="16" t="s">
        <v>5638</v>
      </c>
      <c r="R917" s="17" t="s">
        <v>35</v>
      </c>
      <c r="S917" s="17" t="s">
        <v>5639</v>
      </c>
      <c r="T917" s="17" t="s">
        <v>5640</v>
      </c>
      <c r="U917" s="17" t="s">
        <v>5641</v>
      </c>
      <c r="V917" s="17" t="s">
        <v>35</v>
      </c>
      <c r="W917" s="17" t="s">
        <v>35</v>
      </c>
      <c r="X917" s="17" t="s">
        <v>5642</v>
      </c>
      <c r="Y917" s="17" t="s">
        <v>5643</v>
      </c>
      <c r="Z917" s="17" t="s">
        <v>35</v>
      </c>
      <c r="AA917" s="17" t="s">
        <v>35</v>
      </c>
      <c r="AB917" s="17" t="s">
        <v>35</v>
      </c>
      <c r="AC917" s="17" t="s">
        <v>9539</v>
      </c>
      <c r="AD917" s="41">
        <v>16.53</v>
      </c>
      <c r="AE917" s="41">
        <v>17.39</v>
      </c>
      <c r="AF917" s="48"/>
      <c r="AG917" s="44"/>
      <c r="AH917" s="7">
        <f t="shared" si="14"/>
        <v>0</v>
      </c>
      <c r="AI917" s="18"/>
      <c r="AJ917" s="18"/>
      <c r="AL917" s="18"/>
    </row>
    <row r="918" spans="1:38" ht="26.65" customHeight="1" x14ac:dyDescent="0.25">
      <c r="A918" s="10" t="s">
        <v>5644</v>
      </c>
      <c r="B918" s="9" t="s">
        <v>3030</v>
      </c>
      <c r="C918" s="9" t="s">
        <v>43</v>
      </c>
      <c r="D918" s="9" t="s">
        <v>3031</v>
      </c>
      <c r="E918" s="9" t="s">
        <v>35</v>
      </c>
      <c r="F918" s="9" t="s">
        <v>36</v>
      </c>
      <c r="G918" s="9">
        <v>5</v>
      </c>
      <c r="H918" s="9">
        <v>84219999</v>
      </c>
      <c r="I918" s="11" t="s">
        <v>37</v>
      </c>
      <c r="J918" s="12">
        <v>1.6500000000000001E-2</v>
      </c>
      <c r="K918" s="12">
        <v>7.5999999999999998E-2</v>
      </c>
      <c r="L918" s="12">
        <v>5.1999999999999998E-2</v>
      </c>
      <c r="M918" s="13">
        <v>8003453137318</v>
      </c>
      <c r="N918" s="14">
        <v>0.124</v>
      </c>
      <c r="O918" s="14">
        <v>0.22800000000000001</v>
      </c>
      <c r="P918" s="15" t="s">
        <v>35</v>
      </c>
      <c r="Q918" s="16" t="s">
        <v>5645</v>
      </c>
      <c r="R918" s="17" t="s">
        <v>35</v>
      </c>
      <c r="S918" s="17" t="s">
        <v>5646</v>
      </c>
      <c r="T918" s="17" t="s">
        <v>5647</v>
      </c>
      <c r="U918" s="17" t="s">
        <v>5648</v>
      </c>
      <c r="V918" s="17" t="s">
        <v>5649</v>
      </c>
      <c r="W918" s="17" t="s">
        <v>5650</v>
      </c>
      <c r="X918" s="17" t="s">
        <v>5651</v>
      </c>
      <c r="Y918" s="17" t="s">
        <v>5652</v>
      </c>
      <c r="Z918" s="17" t="s">
        <v>35</v>
      </c>
      <c r="AA918" s="17" t="s">
        <v>35</v>
      </c>
      <c r="AB918" s="17" t="s">
        <v>35</v>
      </c>
      <c r="AC918" s="17" t="s">
        <v>9539</v>
      </c>
      <c r="AD918" s="42">
        <v>11.03</v>
      </c>
      <c r="AE918" s="42">
        <v>11.6</v>
      </c>
      <c r="AF918" s="48"/>
      <c r="AG918" s="44"/>
      <c r="AH918" s="7">
        <f t="shared" si="14"/>
        <v>0</v>
      </c>
      <c r="AI918" s="18"/>
      <c r="AJ918" s="18"/>
    </row>
    <row r="919" spans="1:38" ht="26.65" customHeight="1" x14ac:dyDescent="0.25">
      <c r="A919" s="10" t="s">
        <v>5653</v>
      </c>
      <c r="B919" s="9" t="s">
        <v>3030</v>
      </c>
      <c r="C919" s="9" t="s">
        <v>43</v>
      </c>
      <c r="D919" s="9" t="s">
        <v>3031</v>
      </c>
      <c r="E919" s="9" t="s">
        <v>35</v>
      </c>
      <c r="F919" s="9" t="s">
        <v>36</v>
      </c>
      <c r="G919" s="9">
        <v>5</v>
      </c>
      <c r="H919" s="9">
        <v>84219999</v>
      </c>
      <c r="I919" s="11" t="s">
        <v>37</v>
      </c>
      <c r="J919" s="12">
        <v>1.6500000000000001E-2</v>
      </c>
      <c r="K919" s="12">
        <v>7.5999999999999998E-2</v>
      </c>
      <c r="L919" s="12">
        <v>5.1999999999999998E-2</v>
      </c>
      <c r="M919" s="13">
        <v>8003453137363</v>
      </c>
      <c r="N919" s="14">
        <v>0.34</v>
      </c>
      <c r="O919" s="14">
        <v>0.46300000000000002</v>
      </c>
      <c r="P919" s="15" t="s">
        <v>35</v>
      </c>
      <c r="Q919" s="16" t="s">
        <v>5654</v>
      </c>
      <c r="R919" s="17" t="s">
        <v>35</v>
      </c>
      <c r="S919" s="17" t="s">
        <v>5655</v>
      </c>
      <c r="T919" s="17" t="s">
        <v>5656</v>
      </c>
      <c r="U919" s="17" t="s">
        <v>5657</v>
      </c>
      <c r="V919" s="17" t="s">
        <v>5658</v>
      </c>
      <c r="W919" s="17" t="s">
        <v>5659</v>
      </c>
      <c r="X919" s="17" t="s">
        <v>5660</v>
      </c>
      <c r="Y919" s="17" t="s">
        <v>5661</v>
      </c>
      <c r="Z919" s="17" t="s">
        <v>35</v>
      </c>
      <c r="AA919" s="17" t="s">
        <v>35</v>
      </c>
      <c r="AB919" s="17" t="s">
        <v>35</v>
      </c>
      <c r="AC919" s="17" t="s">
        <v>9539</v>
      </c>
      <c r="AD919" s="42">
        <v>28.37</v>
      </c>
      <c r="AE919" s="42">
        <v>29.85</v>
      </c>
      <c r="AF919" s="48"/>
      <c r="AG919" s="44"/>
      <c r="AH919" s="7">
        <f t="shared" si="14"/>
        <v>0</v>
      </c>
      <c r="AI919" s="18"/>
      <c r="AJ919" s="18"/>
    </row>
    <row r="920" spans="1:38" ht="26.65" customHeight="1" x14ac:dyDescent="0.25">
      <c r="A920" s="10" t="s">
        <v>5662</v>
      </c>
      <c r="B920" s="9" t="s">
        <v>3030</v>
      </c>
      <c r="C920" s="9" t="s">
        <v>43</v>
      </c>
      <c r="D920" s="9" t="s">
        <v>3031</v>
      </c>
      <c r="E920" s="9" t="s">
        <v>122</v>
      </c>
      <c r="F920" s="9" t="s">
        <v>36</v>
      </c>
      <c r="G920" s="9">
        <v>5</v>
      </c>
      <c r="H920" s="9">
        <v>84219999</v>
      </c>
      <c r="I920" s="11" t="s">
        <v>37</v>
      </c>
      <c r="J920" s="12">
        <v>1.6500000000000001E-2</v>
      </c>
      <c r="K920" s="12">
        <v>7.5999999999999998E-2</v>
      </c>
      <c r="L920" s="12">
        <v>5.1999999999999998E-2</v>
      </c>
      <c r="M920" s="13">
        <v>8003453137394</v>
      </c>
      <c r="N920" s="14">
        <v>0.26</v>
      </c>
      <c r="O920" s="14">
        <v>0.35499999999999998</v>
      </c>
      <c r="P920" s="15" t="s">
        <v>35</v>
      </c>
      <c r="Q920" s="16" t="s">
        <v>5663</v>
      </c>
      <c r="R920" s="17" t="s">
        <v>5664</v>
      </c>
      <c r="S920" s="17" t="s">
        <v>5665</v>
      </c>
      <c r="T920" s="17" t="s">
        <v>5666</v>
      </c>
      <c r="U920" s="17" t="s">
        <v>5667</v>
      </c>
      <c r="V920" s="17" t="s">
        <v>5668</v>
      </c>
      <c r="W920" s="17" t="s">
        <v>35</v>
      </c>
      <c r="X920" s="17" t="s">
        <v>5669</v>
      </c>
      <c r="Y920" s="17" t="s">
        <v>5670</v>
      </c>
      <c r="Z920" s="17" t="s">
        <v>35</v>
      </c>
      <c r="AA920" s="17" t="s">
        <v>35</v>
      </c>
      <c r="AB920" s="17" t="s">
        <v>35</v>
      </c>
      <c r="AC920" s="17" t="s">
        <v>9539</v>
      </c>
      <c r="AD920" s="42">
        <v>19.02</v>
      </c>
      <c r="AE920" s="42">
        <v>20.010000000000002</v>
      </c>
      <c r="AF920" s="48"/>
      <c r="AG920" s="44"/>
      <c r="AH920" s="7">
        <f t="shared" si="14"/>
        <v>0</v>
      </c>
      <c r="AI920" s="18"/>
      <c r="AJ920" s="18"/>
    </row>
    <row r="921" spans="1:38" ht="26.65" customHeight="1" x14ac:dyDescent="0.25">
      <c r="A921" s="10" t="s">
        <v>5671</v>
      </c>
      <c r="B921" s="9" t="s">
        <v>3030</v>
      </c>
      <c r="C921" s="9" t="s">
        <v>43</v>
      </c>
      <c r="D921" s="9" t="s">
        <v>3031</v>
      </c>
      <c r="E921" s="9" t="s">
        <v>35</v>
      </c>
      <c r="F921" s="9" t="s">
        <v>36</v>
      </c>
      <c r="G921" s="9">
        <v>5</v>
      </c>
      <c r="H921" s="9">
        <v>84219999</v>
      </c>
      <c r="I921" s="11" t="s">
        <v>37</v>
      </c>
      <c r="J921" s="12">
        <v>1.6500000000000001E-2</v>
      </c>
      <c r="K921" s="12">
        <v>7.5999999999999998E-2</v>
      </c>
      <c r="L921" s="12">
        <v>5.1999999999999998E-2</v>
      </c>
      <c r="M921" s="13">
        <v>8003453137448</v>
      </c>
      <c r="N921" s="14">
        <v>0.17199999999999999</v>
      </c>
      <c r="O921" s="14">
        <v>0.23799999999999999</v>
      </c>
      <c r="P921" s="15" t="s">
        <v>35</v>
      </c>
      <c r="Q921" s="16" t="s">
        <v>5672</v>
      </c>
      <c r="R921" s="17" t="s">
        <v>35</v>
      </c>
      <c r="S921" s="17" t="s">
        <v>5673</v>
      </c>
      <c r="T921" s="17" t="s">
        <v>5674</v>
      </c>
      <c r="U921" s="17" t="s">
        <v>5675</v>
      </c>
      <c r="V921" s="17" t="s">
        <v>5676</v>
      </c>
      <c r="W921" s="17" t="s">
        <v>5677</v>
      </c>
      <c r="X921" s="17" t="s">
        <v>5678</v>
      </c>
      <c r="Y921" s="17" t="s">
        <v>5679</v>
      </c>
      <c r="Z921" s="17" t="s">
        <v>35</v>
      </c>
      <c r="AA921" s="17" t="s">
        <v>35</v>
      </c>
      <c r="AB921" s="17" t="s">
        <v>35</v>
      </c>
      <c r="AC921" s="17" t="s">
        <v>9539</v>
      </c>
      <c r="AD921" s="42">
        <v>15.43</v>
      </c>
      <c r="AE921" s="42">
        <v>16.23</v>
      </c>
      <c r="AF921" s="48"/>
      <c r="AG921" s="44"/>
      <c r="AH921" s="7">
        <f t="shared" si="14"/>
        <v>0</v>
      </c>
      <c r="AI921" s="18"/>
      <c r="AJ921" s="18"/>
    </row>
    <row r="922" spans="1:38" ht="26.65" customHeight="1" x14ac:dyDescent="0.25">
      <c r="A922" s="10" t="s">
        <v>5680</v>
      </c>
      <c r="B922" s="9" t="s">
        <v>3030</v>
      </c>
      <c r="C922" s="9" t="s">
        <v>43</v>
      </c>
      <c r="D922" s="9" t="s">
        <v>3306</v>
      </c>
      <c r="E922" s="9" t="s">
        <v>35</v>
      </c>
      <c r="F922" s="9" t="s">
        <v>36</v>
      </c>
      <c r="G922" s="9">
        <v>5</v>
      </c>
      <c r="H922" s="9">
        <v>84219999</v>
      </c>
      <c r="I922" s="11" t="s">
        <v>37</v>
      </c>
      <c r="J922" s="12">
        <v>1.6500000000000001E-2</v>
      </c>
      <c r="K922" s="12">
        <v>7.5999999999999998E-2</v>
      </c>
      <c r="L922" s="12">
        <v>5.1999999999999998E-2</v>
      </c>
      <c r="M922" s="13">
        <v>8003453137509</v>
      </c>
      <c r="N922" s="14">
        <v>0.182</v>
      </c>
      <c r="O922" s="14">
        <v>0.245</v>
      </c>
      <c r="P922" s="15">
        <v>44531</v>
      </c>
      <c r="Q922" s="16" t="s">
        <v>5681</v>
      </c>
      <c r="R922" s="17">
        <v>2811307100</v>
      </c>
      <c r="S922" s="17" t="s">
        <v>5682</v>
      </c>
      <c r="T922" s="17" t="s">
        <v>5683</v>
      </c>
      <c r="U922" s="17" t="s">
        <v>5684</v>
      </c>
      <c r="V922" s="17" t="s">
        <v>5685</v>
      </c>
      <c r="W922" s="17" t="s">
        <v>5686</v>
      </c>
      <c r="X922" s="17" t="s">
        <v>5687</v>
      </c>
      <c r="Y922" s="17" t="s">
        <v>5688</v>
      </c>
      <c r="Z922" s="17" t="s">
        <v>35</v>
      </c>
      <c r="AA922" s="17" t="s">
        <v>35</v>
      </c>
      <c r="AB922" s="17" t="s">
        <v>35</v>
      </c>
      <c r="AC922" s="17" t="s">
        <v>9539</v>
      </c>
      <c r="AD922" s="42">
        <v>17.260000000000002</v>
      </c>
      <c r="AE922" s="42">
        <v>18.16</v>
      </c>
      <c r="AF922" s="48"/>
      <c r="AG922" s="44"/>
      <c r="AH922" s="7">
        <f t="shared" si="14"/>
        <v>0</v>
      </c>
      <c r="AI922" s="18"/>
      <c r="AJ922" s="18"/>
    </row>
    <row r="923" spans="1:38" ht="26.65" customHeight="1" x14ac:dyDescent="0.25">
      <c r="A923" s="10" t="s">
        <v>5689</v>
      </c>
      <c r="B923" s="9" t="s">
        <v>3030</v>
      </c>
      <c r="C923" s="9" t="s">
        <v>43</v>
      </c>
      <c r="D923" s="9" t="s">
        <v>3031</v>
      </c>
      <c r="E923" s="9" t="s">
        <v>35</v>
      </c>
      <c r="F923" s="9" t="s">
        <v>36</v>
      </c>
      <c r="G923" s="9">
        <v>5</v>
      </c>
      <c r="H923" s="9">
        <v>84219999</v>
      </c>
      <c r="I923" s="11" t="s">
        <v>37</v>
      </c>
      <c r="J923" s="12">
        <v>1.6500000000000001E-2</v>
      </c>
      <c r="K923" s="12">
        <v>7.5999999999999998E-2</v>
      </c>
      <c r="L923" s="12">
        <v>5.1999999999999998E-2</v>
      </c>
      <c r="M923" s="13">
        <v>8003453137554</v>
      </c>
      <c r="N923" s="14">
        <v>0.23799999999999999</v>
      </c>
      <c r="O923" s="14">
        <v>0.32400000000000001</v>
      </c>
      <c r="P923" s="15" t="s">
        <v>35</v>
      </c>
      <c r="Q923" s="16" t="s">
        <v>5690</v>
      </c>
      <c r="R923" s="17" t="s">
        <v>5691</v>
      </c>
      <c r="S923" s="17" t="s">
        <v>5692</v>
      </c>
      <c r="T923" s="17" t="s">
        <v>5693</v>
      </c>
      <c r="U923" s="17" t="s">
        <v>5694</v>
      </c>
      <c r="V923" s="17" t="s">
        <v>35</v>
      </c>
      <c r="W923" s="17" t="s">
        <v>35</v>
      </c>
      <c r="X923" s="17" t="s">
        <v>5695</v>
      </c>
      <c r="Y923" s="17" t="s">
        <v>5696</v>
      </c>
      <c r="Z923" s="17" t="s">
        <v>35</v>
      </c>
      <c r="AA923" s="17" t="s">
        <v>35</v>
      </c>
      <c r="AB923" s="17" t="s">
        <v>35</v>
      </c>
      <c r="AC923" s="17" t="s">
        <v>9539</v>
      </c>
      <c r="AD923" s="41">
        <v>26</v>
      </c>
      <c r="AE923" s="41">
        <v>27.35</v>
      </c>
      <c r="AF923" s="48"/>
      <c r="AG923" s="44"/>
      <c r="AH923" s="7">
        <f t="shared" si="14"/>
        <v>0</v>
      </c>
      <c r="AI923" s="18"/>
      <c r="AJ923" s="18"/>
      <c r="AL923" s="18"/>
    </row>
    <row r="924" spans="1:38" ht="26.65" customHeight="1" x14ac:dyDescent="0.25">
      <c r="A924" s="10" t="s">
        <v>5697</v>
      </c>
      <c r="B924" s="9" t="s">
        <v>3030</v>
      </c>
      <c r="C924" s="9" t="s">
        <v>43</v>
      </c>
      <c r="D924" s="9" t="s">
        <v>3031</v>
      </c>
      <c r="E924" s="9" t="s">
        <v>35</v>
      </c>
      <c r="F924" s="9" t="s">
        <v>36</v>
      </c>
      <c r="G924" s="9">
        <v>5</v>
      </c>
      <c r="H924" s="9">
        <v>84219999</v>
      </c>
      <c r="I924" s="11" t="s">
        <v>37</v>
      </c>
      <c r="J924" s="12">
        <v>1.6500000000000001E-2</v>
      </c>
      <c r="K924" s="12">
        <v>7.5999999999999998E-2</v>
      </c>
      <c r="L924" s="12">
        <v>5.1999999999999998E-2</v>
      </c>
      <c r="M924" s="13">
        <v>8003453137561</v>
      </c>
      <c r="N924" s="14">
        <v>0.19</v>
      </c>
      <c r="O924" s="14">
        <v>0.28000000000000003</v>
      </c>
      <c r="P924" s="15" t="s">
        <v>35</v>
      </c>
      <c r="Q924" s="16" t="s">
        <v>5698</v>
      </c>
      <c r="R924" s="17" t="s">
        <v>35</v>
      </c>
      <c r="S924" s="17" t="s">
        <v>5699</v>
      </c>
      <c r="T924" s="17" t="s">
        <v>5700</v>
      </c>
      <c r="U924" s="17" t="s">
        <v>5701</v>
      </c>
      <c r="V924" s="17" t="s">
        <v>5702</v>
      </c>
      <c r="W924" s="17" t="s">
        <v>35</v>
      </c>
      <c r="X924" s="17" t="s">
        <v>5703</v>
      </c>
      <c r="Y924" s="17" t="s">
        <v>5704</v>
      </c>
      <c r="Z924" s="17" t="s">
        <v>35</v>
      </c>
      <c r="AA924" s="17" t="s">
        <v>35</v>
      </c>
      <c r="AB924" s="17" t="s">
        <v>35</v>
      </c>
      <c r="AC924" s="17" t="s">
        <v>9539</v>
      </c>
      <c r="AD924" s="41">
        <v>21.3</v>
      </c>
      <c r="AE924" s="41">
        <v>22.41</v>
      </c>
      <c r="AF924" s="48"/>
      <c r="AG924" s="44"/>
      <c r="AH924" s="7">
        <f t="shared" si="14"/>
        <v>0</v>
      </c>
      <c r="AI924" s="18"/>
      <c r="AJ924" s="18"/>
    </row>
    <row r="925" spans="1:38" ht="26.65" customHeight="1" x14ac:dyDescent="0.25">
      <c r="A925" s="10" t="s">
        <v>5705</v>
      </c>
      <c r="B925" s="9" t="s">
        <v>3030</v>
      </c>
      <c r="C925" s="9" t="s">
        <v>43</v>
      </c>
      <c r="D925" s="9" t="s">
        <v>3031</v>
      </c>
      <c r="E925" s="9" t="s">
        <v>35</v>
      </c>
      <c r="F925" s="9" t="s">
        <v>36</v>
      </c>
      <c r="G925" s="9">
        <v>5</v>
      </c>
      <c r="H925" s="9">
        <v>84219999</v>
      </c>
      <c r="I925" s="11" t="s">
        <v>37</v>
      </c>
      <c r="J925" s="12">
        <v>1.6500000000000001E-2</v>
      </c>
      <c r="K925" s="12">
        <v>7.5999999999999998E-2</v>
      </c>
      <c r="L925" s="12">
        <v>5.1999999999999998E-2</v>
      </c>
      <c r="M925" s="13">
        <v>8003453137578</v>
      </c>
      <c r="N925" s="14">
        <v>0.11899999999999999</v>
      </c>
      <c r="O925" s="14">
        <v>0.19</v>
      </c>
      <c r="P925" s="15" t="s">
        <v>35</v>
      </c>
      <c r="Q925" s="16" t="s">
        <v>5706</v>
      </c>
      <c r="R925" s="17" t="s">
        <v>35</v>
      </c>
      <c r="S925" s="17" t="s">
        <v>5707</v>
      </c>
      <c r="T925" s="17" t="s">
        <v>5708</v>
      </c>
      <c r="U925" s="17" t="s">
        <v>5709</v>
      </c>
      <c r="V925" s="17" t="s">
        <v>5710</v>
      </c>
      <c r="W925" s="17" t="s">
        <v>35</v>
      </c>
      <c r="X925" s="17" t="s">
        <v>5711</v>
      </c>
      <c r="Y925" s="17" t="s">
        <v>5712</v>
      </c>
      <c r="Z925" s="17" t="s">
        <v>35</v>
      </c>
      <c r="AA925" s="17" t="s">
        <v>35</v>
      </c>
      <c r="AB925" s="17" t="s">
        <v>35</v>
      </c>
      <c r="AC925" s="17" t="s">
        <v>9539</v>
      </c>
      <c r="AD925" s="41">
        <v>40.6</v>
      </c>
      <c r="AE925" s="41">
        <v>42.71</v>
      </c>
      <c r="AF925" s="48"/>
      <c r="AG925" s="44"/>
      <c r="AH925" s="7">
        <f t="shared" si="14"/>
        <v>0</v>
      </c>
      <c r="AI925" s="18"/>
      <c r="AJ925" s="18"/>
    </row>
    <row r="926" spans="1:38" ht="26.65" customHeight="1" x14ac:dyDescent="0.25">
      <c r="A926" s="10" t="s">
        <v>5713</v>
      </c>
      <c r="B926" s="9" t="s">
        <v>3030</v>
      </c>
      <c r="C926" s="9" t="s">
        <v>43</v>
      </c>
      <c r="D926" s="9" t="s">
        <v>3031</v>
      </c>
      <c r="E926" s="9" t="s">
        <v>35</v>
      </c>
      <c r="F926" s="9" t="s">
        <v>36</v>
      </c>
      <c r="G926" s="9">
        <v>5</v>
      </c>
      <c r="H926" s="9">
        <v>84219999</v>
      </c>
      <c r="I926" s="11" t="s">
        <v>37</v>
      </c>
      <c r="J926" s="12">
        <v>1.6500000000000001E-2</v>
      </c>
      <c r="K926" s="12">
        <v>7.5999999999999998E-2</v>
      </c>
      <c r="L926" s="12">
        <v>5.1999999999999998E-2</v>
      </c>
      <c r="M926" s="13">
        <v>8003453137585</v>
      </c>
      <c r="N926" s="14">
        <v>0.18</v>
      </c>
      <c r="O926" s="14">
        <v>0.24399999999999999</v>
      </c>
      <c r="P926" s="15" t="s">
        <v>35</v>
      </c>
      <c r="Q926" s="16" t="s">
        <v>5714</v>
      </c>
      <c r="R926" s="17" t="s">
        <v>35</v>
      </c>
      <c r="S926" s="17" t="s">
        <v>5715</v>
      </c>
      <c r="T926" s="17" t="s">
        <v>5716</v>
      </c>
      <c r="U926" s="17" t="s">
        <v>5717</v>
      </c>
      <c r="V926" s="17" t="s">
        <v>35</v>
      </c>
      <c r="W926" s="17" t="s">
        <v>35</v>
      </c>
      <c r="X926" s="17" t="s">
        <v>5718</v>
      </c>
      <c r="Y926" s="17" t="s">
        <v>5719</v>
      </c>
      <c r="Z926" s="17" t="s">
        <v>35</v>
      </c>
      <c r="AA926" s="17" t="s">
        <v>35</v>
      </c>
      <c r="AB926" s="17" t="s">
        <v>35</v>
      </c>
      <c r="AC926" s="17" t="s">
        <v>9539</v>
      </c>
      <c r="AD926" s="42">
        <v>28.25</v>
      </c>
      <c r="AE926" s="42">
        <v>29.72</v>
      </c>
      <c r="AF926" s="48"/>
      <c r="AG926" s="44"/>
      <c r="AH926" s="7">
        <f t="shared" si="14"/>
        <v>0</v>
      </c>
      <c r="AI926" s="18"/>
      <c r="AJ926" s="18"/>
    </row>
    <row r="927" spans="1:38" ht="26.65" customHeight="1" x14ac:dyDescent="0.25">
      <c r="A927" s="10" t="s">
        <v>10390</v>
      </c>
      <c r="B927" s="9" t="s">
        <v>3056</v>
      </c>
      <c r="C927" s="9" t="s">
        <v>43</v>
      </c>
      <c r="D927" s="9" t="s">
        <v>3031</v>
      </c>
      <c r="E927" s="9" t="s">
        <v>35</v>
      </c>
      <c r="F927" s="9" t="s">
        <v>36</v>
      </c>
      <c r="G927" s="9">
        <v>5</v>
      </c>
      <c r="H927" s="9">
        <v>84219999</v>
      </c>
      <c r="I927" s="11" t="s">
        <v>37</v>
      </c>
      <c r="J927" s="12">
        <v>1.6500000000000001E-2</v>
      </c>
      <c r="K927" s="12">
        <v>7.5999999999999998E-2</v>
      </c>
      <c r="L927" s="12">
        <v>5.1999999999999998E-2</v>
      </c>
      <c r="M927" s="13">
        <v>8003453137653</v>
      </c>
      <c r="N927" s="14">
        <v>0.30299999999999999</v>
      </c>
      <c r="O927" s="14">
        <v>0.36299999999999999</v>
      </c>
      <c r="P927" s="15">
        <v>45566</v>
      </c>
      <c r="Q927" s="16" t="s">
        <v>10391</v>
      </c>
      <c r="R927" s="17" t="s">
        <v>35</v>
      </c>
      <c r="S927" s="17" t="s">
        <v>10392</v>
      </c>
      <c r="T927" s="17" t="s">
        <v>10393</v>
      </c>
      <c r="U927" s="17" t="s">
        <v>10394</v>
      </c>
      <c r="V927" s="17" t="s">
        <v>10395</v>
      </c>
      <c r="W927" s="17" t="s">
        <v>10396</v>
      </c>
      <c r="X927" s="17" t="s">
        <v>10397</v>
      </c>
      <c r="Y927" s="17" t="s">
        <v>10398</v>
      </c>
      <c r="Z927" s="17" t="s">
        <v>35</v>
      </c>
      <c r="AA927" s="17" t="s">
        <v>35</v>
      </c>
      <c r="AB927" s="17" t="s">
        <v>35</v>
      </c>
      <c r="AC927" s="17" t="s">
        <v>9539</v>
      </c>
      <c r="AD927" s="41">
        <v>19.43</v>
      </c>
      <c r="AE927" s="41">
        <v>20.440000000000001</v>
      </c>
      <c r="AF927" s="48"/>
      <c r="AG927" s="44"/>
      <c r="AH927" s="7">
        <f t="shared" si="14"/>
        <v>0</v>
      </c>
      <c r="AI927" s="18"/>
      <c r="AJ927" s="18"/>
    </row>
    <row r="928" spans="1:38" ht="26.65" customHeight="1" x14ac:dyDescent="0.25">
      <c r="A928" s="10" t="s">
        <v>5720</v>
      </c>
      <c r="B928" s="9" t="s">
        <v>3030</v>
      </c>
      <c r="C928" s="9" t="s">
        <v>43</v>
      </c>
      <c r="D928" s="9" t="s">
        <v>3031</v>
      </c>
      <c r="E928" s="9" t="s">
        <v>35</v>
      </c>
      <c r="F928" s="9" t="s">
        <v>36</v>
      </c>
      <c r="G928" s="9">
        <v>5</v>
      </c>
      <c r="H928" s="9">
        <v>84219999</v>
      </c>
      <c r="I928" s="11" t="s">
        <v>37</v>
      </c>
      <c r="J928" s="12">
        <v>1.6500000000000001E-2</v>
      </c>
      <c r="K928" s="12">
        <v>7.5999999999999998E-2</v>
      </c>
      <c r="L928" s="12">
        <v>5.1999999999999998E-2</v>
      </c>
      <c r="M928" s="13">
        <v>8003453137691</v>
      </c>
      <c r="N928" s="14">
        <v>0.36199999999999999</v>
      </c>
      <c r="O928" s="14">
        <v>0.46899999999999997</v>
      </c>
      <c r="P928" s="15" t="s">
        <v>35</v>
      </c>
      <c r="Q928" s="16" t="s">
        <v>5721</v>
      </c>
      <c r="R928" s="17" t="s">
        <v>35</v>
      </c>
      <c r="S928" s="17" t="s">
        <v>5722</v>
      </c>
      <c r="T928" s="17" t="s">
        <v>5723</v>
      </c>
      <c r="U928" s="17" t="s">
        <v>5724</v>
      </c>
      <c r="V928" s="17" t="s">
        <v>5725</v>
      </c>
      <c r="W928" s="17" t="s">
        <v>35</v>
      </c>
      <c r="X928" s="17" t="s">
        <v>5726</v>
      </c>
      <c r="Y928" s="17" t="s">
        <v>5727</v>
      </c>
      <c r="Z928" s="17" t="s">
        <v>35</v>
      </c>
      <c r="AA928" s="17" t="s">
        <v>35</v>
      </c>
      <c r="AB928" s="17" t="s">
        <v>35</v>
      </c>
      <c r="AC928" s="17" t="s">
        <v>9539</v>
      </c>
      <c r="AD928" s="41">
        <v>30.29</v>
      </c>
      <c r="AE928" s="41">
        <v>31.87</v>
      </c>
      <c r="AF928" s="48"/>
      <c r="AG928" s="44"/>
      <c r="AH928" s="7">
        <f t="shared" si="14"/>
        <v>0</v>
      </c>
      <c r="AI928" s="18"/>
      <c r="AJ928" s="18"/>
      <c r="AL928" s="18"/>
    </row>
    <row r="929" spans="1:38" ht="26.65" customHeight="1" x14ac:dyDescent="0.25">
      <c r="A929" s="10" t="s">
        <v>5728</v>
      </c>
      <c r="B929" s="9" t="s">
        <v>3030</v>
      </c>
      <c r="C929" s="9" t="s">
        <v>43</v>
      </c>
      <c r="D929" s="9" t="s">
        <v>3031</v>
      </c>
      <c r="E929" s="9" t="s">
        <v>35</v>
      </c>
      <c r="F929" s="9" t="s">
        <v>36</v>
      </c>
      <c r="G929" s="9">
        <v>5</v>
      </c>
      <c r="H929" s="9">
        <v>84219999</v>
      </c>
      <c r="I929" s="11" t="s">
        <v>37</v>
      </c>
      <c r="J929" s="12">
        <v>1.6500000000000001E-2</v>
      </c>
      <c r="K929" s="12">
        <v>7.5999999999999998E-2</v>
      </c>
      <c r="L929" s="12">
        <v>5.1999999999999998E-2</v>
      </c>
      <c r="M929" s="13">
        <v>8003453137769</v>
      </c>
      <c r="N929" s="14">
        <v>0.14000000000000001</v>
      </c>
      <c r="O929" s="14">
        <v>0.2</v>
      </c>
      <c r="P929" s="15" t="s">
        <v>35</v>
      </c>
      <c r="Q929" s="16" t="s">
        <v>5729</v>
      </c>
      <c r="R929" s="17" t="s">
        <v>35</v>
      </c>
      <c r="S929" s="17" t="s">
        <v>5730</v>
      </c>
      <c r="T929" s="17" t="s">
        <v>5731</v>
      </c>
      <c r="U929" s="17" t="s">
        <v>5732</v>
      </c>
      <c r="V929" s="17" t="s">
        <v>35</v>
      </c>
      <c r="W929" s="17" t="s">
        <v>35</v>
      </c>
      <c r="X929" s="17" t="s">
        <v>5733</v>
      </c>
      <c r="Y929" s="17" t="s">
        <v>5734</v>
      </c>
      <c r="Z929" s="17" t="s">
        <v>35</v>
      </c>
      <c r="AA929" s="17" t="s">
        <v>35</v>
      </c>
      <c r="AB929" s="17" t="s">
        <v>35</v>
      </c>
      <c r="AC929" s="17" t="s">
        <v>9539</v>
      </c>
      <c r="AD929" s="41">
        <v>21.38</v>
      </c>
      <c r="AE929" s="41">
        <v>22.49</v>
      </c>
      <c r="AF929" s="48"/>
      <c r="AG929" s="44"/>
      <c r="AH929" s="7">
        <f t="shared" si="14"/>
        <v>0</v>
      </c>
      <c r="AI929" s="18"/>
      <c r="AJ929" s="18"/>
      <c r="AL929" s="18"/>
    </row>
    <row r="930" spans="1:38" ht="26.65" customHeight="1" x14ac:dyDescent="0.25">
      <c r="A930" s="10" t="s">
        <v>5735</v>
      </c>
      <c r="B930" s="9" t="s">
        <v>3030</v>
      </c>
      <c r="C930" s="9" t="s">
        <v>43</v>
      </c>
      <c r="D930" s="9" t="s">
        <v>3031</v>
      </c>
      <c r="E930" s="9" t="s">
        <v>35</v>
      </c>
      <c r="F930" s="9" t="s">
        <v>36</v>
      </c>
      <c r="G930" s="9">
        <v>5</v>
      </c>
      <c r="H930" s="9">
        <v>84219999</v>
      </c>
      <c r="I930" s="11" t="s">
        <v>37</v>
      </c>
      <c r="J930" s="12">
        <v>1.6500000000000001E-2</v>
      </c>
      <c r="K930" s="12">
        <v>7.5999999999999998E-2</v>
      </c>
      <c r="L930" s="12">
        <v>5.1999999999999998E-2</v>
      </c>
      <c r="M930" s="13">
        <v>8003453137806</v>
      </c>
      <c r="N930" s="14">
        <v>0.16200000000000001</v>
      </c>
      <c r="O930" s="14">
        <v>0.216</v>
      </c>
      <c r="P930" s="15" t="s">
        <v>35</v>
      </c>
      <c r="Q930" s="16" t="s">
        <v>5736</v>
      </c>
      <c r="R930" s="17" t="s">
        <v>35</v>
      </c>
      <c r="S930" s="17" t="s">
        <v>5737</v>
      </c>
      <c r="T930" s="17" t="s">
        <v>5738</v>
      </c>
      <c r="U930" s="17" t="s">
        <v>5739</v>
      </c>
      <c r="V930" s="17" t="s">
        <v>35</v>
      </c>
      <c r="W930" s="17" t="s">
        <v>35</v>
      </c>
      <c r="X930" s="17" t="s">
        <v>5740</v>
      </c>
      <c r="Y930" s="17" t="s">
        <v>5741</v>
      </c>
      <c r="Z930" s="17" t="s">
        <v>35</v>
      </c>
      <c r="AA930" s="17" t="s">
        <v>35</v>
      </c>
      <c r="AB930" s="17" t="s">
        <v>35</v>
      </c>
      <c r="AC930" s="17" t="s">
        <v>9539</v>
      </c>
      <c r="AD930" s="41">
        <v>28.21</v>
      </c>
      <c r="AE930" s="41">
        <v>29.68</v>
      </c>
      <c r="AF930" s="48"/>
      <c r="AG930" s="44"/>
      <c r="AH930" s="7">
        <f t="shared" si="14"/>
        <v>0</v>
      </c>
      <c r="AI930" s="18"/>
      <c r="AJ930" s="18"/>
    </row>
    <row r="931" spans="1:38" ht="26.65" customHeight="1" x14ac:dyDescent="0.25">
      <c r="A931" s="10" t="s">
        <v>5742</v>
      </c>
      <c r="B931" s="9" t="s">
        <v>3030</v>
      </c>
      <c r="C931" s="9" t="s">
        <v>43</v>
      </c>
      <c r="D931" s="9" t="s">
        <v>3031</v>
      </c>
      <c r="E931" s="9" t="s">
        <v>35</v>
      </c>
      <c r="F931" s="9" t="s">
        <v>36</v>
      </c>
      <c r="G931" s="9">
        <v>5</v>
      </c>
      <c r="H931" s="9">
        <v>84219999</v>
      </c>
      <c r="I931" s="11" t="s">
        <v>37</v>
      </c>
      <c r="J931" s="12">
        <v>1.6500000000000001E-2</v>
      </c>
      <c r="K931" s="12">
        <v>7.5999999999999998E-2</v>
      </c>
      <c r="L931" s="12">
        <v>5.1999999999999998E-2</v>
      </c>
      <c r="M931" s="13">
        <v>8003453137813</v>
      </c>
      <c r="N931" s="14">
        <v>0.49</v>
      </c>
      <c r="O931" s="14">
        <v>0.64300000000000002</v>
      </c>
      <c r="P931" s="15" t="s">
        <v>35</v>
      </c>
      <c r="Q931" s="16" t="s">
        <v>5743</v>
      </c>
      <c r="R931" s="17" t="s">
        <v>35</v>
      </c>
      <c r="S931" s="17" t="s">
        <v>5744</v>
      </c>
      <c r="T931" s="17" t="s">
        <v>5745</v>
      </c>
      <c r="U931" s="17" t="s">
        <v>5746</v>
      </c>
      <c r="V931" s="17" t="s">
        <v>5747</v>
      </c>
      <c r="W931" s="17" t="s">
        <v>5748</v>
      </c>
      <c r="X931" s="17" t="s">
        <v>5749</v>
      </c>
      <c r="Y931" s="17" t="s">
        <v>5750</v>
      </c>
      <c r="Z931" s="17" t="s">
        <v>5751</v>
      </c>
      <c r="AA931" s="17" t="s">
        <v>35</v>
      </c>
      <c r="AB931" s="17" t="s">
        <v>5752</v>
      </c>
      <c r="AC931" s="17" t="s">
        <v>9539</v>
      </c>
      <c r="AD931" s="42">
        <v>34.26</v>
      </c>
      <c r="AE931" s="42">
        <v>36.04</v>
      </c>
      <c r="AF931" s="48"/>
      <c r="AG931" s="44"/>
      <c r="AH931" s="7">
        <f t="shared" si="14"/>
        <v>0</v>
      </c>
      <c r="AI931" s="18"/>
      <c r="AJ931" s="18"/>
    </row>
    <row r="932" spans="1:38" ht="26.65" customHeight="1" x14ac:dyDescent="0.25">
      <c r="A932" s="10" t="s">
        <v>5753</v>
      </c>
      <c r="B932" s="9" t="s">
        <v>3030</v>
      </c>
      <c r="C932" s="9" t="s">
        <v>43</v>
      </c>
      <c r="D932" s="9" t="s">
        <v>3031</v>
      </c>
      <c r="E932" s="9" t="s">
        <v>35</v>
      </c>
      <c r="F932" s="9" t="s">
        <v>36</v>
      </c>
      <c r="G932" s="9">
        <v>5</v>
      </c>
      <c r="H932" s="9">
        <v>84219999</v>
      </c>
      <c r="I932" s="11" t="s">
        <v>37</v>
      </c>
      <c r="J932" s="12">
        <v>1.6500000000000001E-2</v>
      </c>
      <c r="K932" s="12">
        <v>7.5999999999999998E-2</v>
      </c>
      <c r="L932" s="12">
        <v>5.1999999999999998E-2</v>
      </c>
      <c r="M932" s="13">
        <v>8003453137820</v>
      </c>
      <c r="N932" s="14">
        <v>0.35</v>
      </c>
      <c r="O932" s="14">
        <v>0.43</v>
      </c>
      <c r="P932" s="15" t="s">
        <v>35</v>
      </c>
      <c r="Q932" s="16" t="s">
        <v>5754</v>
      </c>
      <c r="R932" s="17" t="s">
        <v>35</v>
      </c>
      <c r="S932" s="17" t="s">
        <v>5755</v>
      </c>
      <c r="T932" s="17" t="s">
        <v>5756</v>
      </c>
      <c r="U932" s="17" t="s">
        <v>5757</v>
      </c>
      <c r="V932" s="17" t="s">
        <v>35</v>
      </c>
      <c r="W932" s="17" t="s">
        <v>35</v>
      </c>
      <c r="X932" s="17" t="s">
        <v>5758</v>
      </c>
      <c r="Y932" s="17" t="s">
        <v>5759</v>
      </c>
      <c r="Z932" s="17" t="s">
        <v>35</v>
      </c>
      <c r="AA932" s="17" t="s">
        <v>35</v>
      </c>
      <c r="AB932" s="17" t="s">
        <v>35</v>
      </c>
      <c r="AC932" s="17" t="s">
        <v>9539</v>
      </c>
      <c r="AD932" s="42">
        <v>32.22</v>
      </c>
      <c r="AE932" s="42">
        <v>33.9</v>
      </c>
      <c r="AF932" s="48"/>
      <c r="AG932" s="44"/>
      <c r="AH932" s="7">
        <f t="shared" si="14"/>
        <v>0</v>
      </c>
      <c r="AI932" s="18"/>
      <c r="AJ932" s="18"/>
    </row>
    <row r="933" spans="1:38" ht="26.65" customHeight="1" x14ac:dyDescent="0.25">
      <c r="A933" s="10" t="s">
        <v>5760</v>
      </c>
      <c r="B933" s="9" t="s">
        <v>3030</v>
      </c>
      <c r="C933" s="9" t="s">
        <v>43</v>
      </c>
      <c r="D933" s="9" t="s">
        <v>3031</v>
      </c>
      <c r="E933" s="9" t="s">
        <v>35</v>
      </c>
      <c r="F933" s="9" t="s">
        <v>36</v>
      </c>
      <c r="G933" s="9">
        <v>5</v>
      </c>
      <c r="H933" s="9">
        <v>84219999</v>
      </c>
      <c r="I933" s="11" t="s">
        <v>37</v>
      </c>
      <c r="J933" s="12">
        <v>1.6500000000000001E-2</v>
      </c>
      <c r="K933" s="12">
        <v>7.5999999999999998E-2</v>
      </c>
      <c r="L933" s="12">
        <v>5.1999999999999998E-2</v>
      </c>
      <c r="M933" s="13">
        <v>8003453137851</v>
      </c>
      <c r="N933" s="14">
        <v>0.23499999999999999</v>
      </c>
      <c r="O933" s="14">
        <v>0.25</v>
      </c>
      <c r="P933" s="15" t="s">
        <v>35</v>
      </c>
      <c r="Q933" s="16" t="s">
        <v>5761</v>
      </c>
      <c r="R933" s="17" t="s">
        <v>35</v>
      </c>
      <c r="S933" s="17" t="s">
        <v>5762</v>
      </c>
      <c r="T933" s="17" t="s">
        <v>5763</v>
      </c>
      <c r="U933" s="17" t="s">
        <v>5764</v>
      </c>
      <c r="V933" s="17" t="s">
        <v>35</v>
      </c>
      <c r="W933" s="17" t="s">
        <v>35</v>
      </c>
      <c r="X933" s="17" t="s">
        <v>5765</v>
      </c>
      <c r="Y933" s="17" t="s">
        <v>5766</v>
      </c>
      <c r="Z933" s="17" t="s">
        <v>35</v>
      </c>
      <c r="AA933" s="17" t="s">
        <v>35</v>
      </c>
      <c r="AB933" s="17" t="s">
        <v>35</v>
      </c>
      <c r="AC933" s="17" t="s">
        <v>9539</v>
      </c>
      <c r="AD933" s="41">
        <v>24.1</v>
      </c>
      <c r="AE933" s="41">
        <v>25.35</v>
      </c>
      <c r="AF933" s="48"/>
      <c r="AG933" s="44"/>
      <c r="AH933" s="7">
        <f t="shared" si="14"/>
        <v>0</v>
      </c>
      <c r="AI933" s="18"/>
      <c r="AJ933" s="18"/>
    </row>
    <row r="934" spans="1:38" ht="26.65" customHeight="1" x14ac:dyDescent="0.25">
      <c r="A934" s="10" t="s">
        <v>5767</v>
      </c>
      <c r="B934" s="9" t="s">
        <v>3030</v>
      </c>
      <c r="C934" s="9" t="s">
        <v>43</v>
      </c>
      <c r="D934" s="9" t="s">
        <v>3031</v>
      </c>
      <c r="E934" s="9" t="s">
        <v>35</v>
      </c>
      <c r="F934" s="9" t="s">
        <v>36</v>
      </c>
      <c r="G934" s="9">
        <v>5</v>
      </c>
      <c r="H934" s="9">
        <v>84219999</v>
      </c>
      <c r="I934" s="11" t="s">
        <v>37</v>
      </c>
      <c r="J934" s="12">
        <v>1.6500000000000001E-2</v>
      </c>
      <c r="K934" s="12">
        <v>7.5999999999999998E-2</v>
      </c>
      <c r="L934" s="12">
        <v>5.1999999999999998E-2</v>
      </c>
      <c r="M934" s="13">
        <v>8003453137868</v>
      </c>
      <c r="N934" s="14">
        <v>0.26100000000000001</v>
      </c>
      <c r="O934" s="14">
        <v>0.33600000000000002</v>
      </c>
      <c r="P934" s="15">
        <v>44774</v>
      </c>
      <c r="Q934" s="16" t="s">
        <v>5768</v>
      </c>
      <c r="R934" s="17" t="s">
        <v>5769</v>
      </c>
      <c r="S934" s="17" t="s">
        <v>5770</v>
      </c>
      <c r="T934" s="17" t="s">
        <v>5771</v>
      </c>
      <c r="U934" s="17" t="s">
        <v>35</v>
      </c>
      <c r="V934" s="17" t="s">
        <v>5772</v>
      </c>
      <c r="W934" s="17" t="s">
        <v>35</v>
      </c>
      <c r="X934" s="17" t="s">
        <v>5773</v>
      </c>
      <c r="Y934" s="17" t="s">
        <v>5774</v>
      </c>
      <c r="Z934" s="17" t="s">
        <v>35</v>
      </c>
      <c r="AA934" s="17" t="s">
        <v>35</v>
      </c>
      <c r="AB934" s="17" t="s">
        <v>35</v>
      </c>
      <c r="AC934" s="17" t="s">
        <v>9539</v>
      </c>
      <c r="AD934" s="41">
        <v>48.69</v>
      </c>
      <c r="AE934" s="41">
        <v>51.22</v>
      </c>
      <c r="AF934" s="48"/>
      <c r="AG934" s="44"/>
      <c r="AH934" s="7">
        <f t="shared" si="14"/>
        <v>0</v>
      </c>
      <c r="AI934" s="18"/>
      <c r="AJ934" s="18"/>
      <c r="AL934" s="18"/>
    </row>
    <row r="935" spans="1:38" ht="26.65" customHeight="1" x14ac:dyDescent="0.25">
      <c r="A935" s="10" t="s">
        <v>5775</v>
      </c>
      <c r="B935" s="9" t="s">
        <v>3030</v>
      </c>
      <c r="C935" s="9" t="s">
        <v>43</v>
      </c>
      <c r="D935" s="9" t="s">
        <v>3031</v>
      </c>
      <c r="E935" s="9" t="s">
        <v>35</v>
      </c>
      <c r="F935" s="9" t="s">
        <v>36</v>
      </c>
      <c r="G935" s="9">
        <v>5</v>
      </c>
      <c r="H935" s="9">
        <v>84219999</v>
      </c>
      <c r="I935" s="11" t="s">
        <v>37</v>
      </c>
      <c r="J935" s="12">
        <v>1.6500000000000001E-2</v>
      </c>
      <c r="K935" s="12">
        <v>7.5999999999999998E-2</v>
      </c>
      <c r="L935" s="12">
        <v>5.1999999999999998E-2</v>
      </c>
      <c r="M935" s="13">
        <v>8003453137929</v>
      </c>
      <c r="N935" s="14">
        <v>0.19</v>
      </c>
      <c r="O935" s="14">
        <v>0.248</v>
      </c>
      <c r="P935" s="15" t="s">
        <v>35</v>
      </c>
      <c r="Q935" s="16" t="s">
        <v>5776</v>
      </c>
      <c r="R935" s="17" t="s">
        <v>35</v>
      </c>
      <c r="S935" s="17" t="s">
        <v>5777</v>
      </c>
      <c r="T935" s="17" t="s">
        <v>5778</v>
      </c>
      <c r="U935" s="17" t="s">
        <v>5779</v>
      </c>
      <c r="V935" s="17" t="s">
        <v>35</v>
      </c>
      <c r="W935" s="17" t="s">
        <v>35</v>
      </c>
      <c r="X935" s="17" t="s">
        <v>5780</v>
      </c>
      <c r="Y935" s="17" t="s">
        <v>5781</v>
      </c>
      <c r="Z935" s="17" t="s">
        <v>35</v>
      </c>
      <c r="AA935" s="17" t="s">
        <v>35</v>
      </c>
      <c r="AB935" s="17" t="s">
        <v>35</v>
      </c>
      <c r="AC935" s="17" t="s">
        <v>9539</v>
      </c>
      <c r="AD935" s="41">
        <v>18.850000000000001</v>
      </c>
      <c r="AE935" s="41">
        <v>19.829999999999998</v>
      </c>
      <c r="AF935" s="48"/>
      <c r="AG935" s="44"/>
      <c r="AH935" s="7">
        <f t="shared" si="14"/>
        <v>0</v>
      </c>
      <c r="AI935" s="18"/>
      <c r="AJ935" s="18"/>
      <c r="AL935" s="18"/>
    </row>
    <row r="936" spans="1:38" ht="26.65" customHeight="1" x14ac:dyDescent="0.25">
      <c r="A936" s="10" t="s">
        <v>5782</v>
      </c>
      <c r="B936" s="9" t="s">
        <v>3030</v>
      </c>
      <c r="C936" s="9" t="s">
        <v>43</v>
      </c>
      <c r="D936" s="9" t="s">
        <v>3031</v>
      </c>
      <c r="E936" s="9" t="s">
        <v>35</v>
      </c>
      <c r="F936" s="9" t="s">
        <v>36</v>
      </c>
      <c r="G936" s="9">
        <v>5</v>
      </c>
      <c r="H936" s="9">
        <v>84219999</v>
      </c>
      <c r="I936" s="11" t="s">
        <v>37</v>
      </c>
      <c r="J936" s="12">
        <v>1.6500000000000001E-2</v>
      </c>
      <c r="K936" s="12">
        <v>7.5999999999999998E-2</v>
      </c>
      <c r="L936" s="12">
        <v>5.1999999999999998E-2</v>
      </c>
      <c r="M936" s="13">
        <v>8003453137943</v>
      </c>
      <c r="N936" s="14">
        <v>0.33800000000000002</v>
      </c>
      <c r="O936" s="14">
        <v>0.4</v>
      </c>
      <c r="P936" s="15" t="s">
        <v>35</v>
      </c>
      <c r="Q936" s="16" t="s">
        <v>5783</v>
      </c>
      <c r="R936" s="17" t="s">
        <v>35</v>
      </c>
      <c r="S936" s="17" t="s">
        <v>5784</v>
      </c>
      <c r="T936" s="17" t="s">
        <v>5785</v>
      </c>
      <c r="U936" s="17" t="s">
        <v>5786</v>
      </c>
      <c r="V936" s="17" t="s">
        <v>35</v>
      </c>
      <c r="W936" s="17" t="s">
        <v>35</v>
      </c>
      <c r="X936" s="17" t="s">
        <v>5787</v>
      </c>
      <c r="Y936" s="17" t="s">
        <v>35</v>
      </c>
      <c r="Z936" s="17" t="s">
        <v>35</v>
      </c>
      <c r="AA936" s="17" t="s">
        <v>35</v>
      </c>
      <c r="AB936" s="17" t="s">
        <v>35</v>
      </c>
      <c r="AC936" s="17" t="s">
        <v>9539</v>
      </c>
      <c r="AD936" s="41">
        <v>30.42</v>
      </c>
      <c r="AE936" s="41">
        <v>32</v>
      </c>
      <c r="AF936" s="48"/>
      <c r="AG936" s="44"/>
      <c r="AH936" s="7">
        <f t="shared" si="14"/>
        <v>0</v>
      </c>
      <c r="AI936" s="18"/>
      <c r="AJ936" s="18"/>
      <c r="AL936" s="18"/>
    </row>
    <row r="937" spans="1:38" ht="26.65" customHeight="1" x14ac:dyDescent="0.25">
      <c r="A937" s="10" t="s">
        <v>5788</v>
      </c>
      <c r="B937" s="9" t="s">
        <v>3030</v>
      </c>
      <c r="C937" s="9" t="s">
        <v>43</v>
      </c>
      <c r="D937" s="9" t="s">
        <v>3031</v>
      </c>
      <c r="E937" s="9" t="s">
        <v>35</v>
      </c>
      <c r="F937" s="9" t="s">
        <v>36</v>
      </c>
      <c r="G937" s="9">
        <v>5</v>
      </c>
      <c r="H937" s="9">
        <v>84219999</v>
      </c>
      <c r="I937" s="11" t="s">
        <v>37</v>
      </c>
      <c r="J937" s="12">
        <v>1.6500000000000001E-2</v>
      </c>
      <c r="K937" s="12">
        <v>7.5999999999999998E-2</v>
      </c>
      <c r="L937" s="12">
        <v>5.1999999999999998E-2</v>
      </c>
      <c r="M937" s="13">
        <v>8003453137981</v>
      </c>
      <c r="N937" s="14">
        <v>0.192</v>
      </c>
      <c r="O937" s="14">
        <v>0.23699999999999999</v>
      </c>
      <c r="P937" s="15" t="s">
        <v>35</v>
      </c>
      <c r="Q937" s="16" t="s">
        <v>5789</v>
      </c>
      <c r="R937" s="17" t="s">
        <v>35</v>
      </c>
      <c r="S937" s="17" t="s">
        <v>5790</v>
      </c>
      <c r="T937" s="17" t="s">
        <v>5791</v>
      </c>
      <c r="U937" s="17" t="s">
        <v>5792</v>
      </c>
      <c r="V937" s="17" t="s">
        <v>5793</v>
      </c>
      <c r="W937" s="17" t="s">
        <v>5794</v>
      </c>
      <c r="X937" s="17" t="s">
        <v>5795</v>
      </c>
      <c r="Y937" s="17" t="s">
        <v>5796</v>
      </c>
      <c r="Z937" s="17" t="s">
        <v>35</v>
      </c>
      <c r="AA937" s="17" t="s">
        <v>35</v>
      </c>
      <c r="AB937" s="17" t="s">
        <v>35</v>
      </c>
      <c r="AC937" s="17" t="s">
        <v>9539</v>
      </c>
      <c r="AD937" s="42">
        <v>17.16</v>
      </c>
      <c r="AE937" s="42">
        <v>18.05</v>
      </c>
      <c r="AF937" s="48"/>
      <c r="AG937" s="44"/>
      <c r="AH937" s="7">
        <f t="shared" si="14"/>
        <v>0</v>
      </c>
      <c r="AI937" s="18"/>
      <c r="AJ937" s="18"/>
    </row>
    <row r="938" spans="1:38" ht="26.65" customHeight="1" x14ac:dyDescent="0.25">
      <c r="A938" s="10" t="s">
        <v>5797</v>
      </c>
      <c r="B938" s="9" t="s">
        <v>3030</v>
      </c>
      <c r="C938" s="9" t="s">
        <v>43</v>
      </c>
      <c r="D938" s="9" t="s">
        <v>3031</v>
      </c>
      <c r="E938" s="9" t="s">
        <v>35</v>
      </c>
      <c r="F938" s="9" t="s">
        <v>36</v>
      </c>
      <c r="G938" s="9">
        <v>5</v>
      </c>
      <c r="H938" s="9">
        <v>84219999</v>
      </c>
      <c r="I938" s="11" t="s">
        <v>37</v>
      </c>
      <c r="J938" s="12">
        <v>1.6500000000000001E-2</v>
      </c>
      <c r="K938" s="12">
        <v>7.5999999999999998E-2</v>
      </c>
      <c r="L938" s="12">
        <v>5.1999999999999998E-2</v>
      </c>
      <c r="M938" s="13">
        <v>8003453137998</v>
      </c>
      <c r="N938" s="14">
        <v>0.24</v>
      </c>
      <c r="O938" s="14">
        <v>0.33900000000000002</v>
      </c>
      <c r="P938" s="15" t="s">
        <v>35</v>
      </c>
      <c r="Q938" s="16" t="s">
        <v>5798</v>
      </c>
      <c r="R938" s="17" t="s">
        <v>35</v>
      </c>
      <c r="S938" s="17" t="s">
        <v>5799</v>
      </c>
      <c r="T938" s="17" t="s">
        <v>5800</v>
      </c>
      <c r="U938" s="17" t="s">
        <v>5801</v>
      </c>
      <c r="V938" s="17" t="s">
        <v>5802</v>
      </c>
      <c r="W938" s="17" t="s">
        <v>35</v>
      </c>
      <c r="X938" s="17" t="s">
        <v>5803</v>
      </c>
      <c r="Y938" s="17" t="s">
        <v>5804</v>
      </c>
      <c r="Z938" s="17" t="s">
        <v>35</v>
      </c>
      <c r="AA938" s="17" t="s">
        <v>35</v>
      </c>
      <c r="AB938" s="17" t="s">
        <v>35</v>
      </c>
      <c r="AC938" s="17" t="s">
        <v>9539</v>
      </c>
      <c r="AD938" s="42">
        <v>40.76</v>
      </c>
      <c r="AE938" s="42">
        <v>42.88</v>
      </c>
      <c r="AF938" s="48"/>
      <c r="AG938" s="44"/>
      <c r="AH938" s="7">
        <f t="shared" si="14"/>
        <v>0</v>
      </c>
      <c r="AI938" s="18"/>
      <c r="AJ938" s="18"/>
    </row>
    <row r="939" spans="1:38" ht="26.65" customHeight="1" x14ac:dyDescent="0.25">
      <c r="A939" s="10" t="s">
        <v>5805</v>
      </c>
      <c r="B939" s="9" t="s">
        <v>3030</v>
      </c>
      <c r="C939" s="9" t="s">
        <v>43</v>
      </c>
      <c r="D939" s="9" t="s">
        <v>3031</v>
      </c>
      <c r="E939" s="9" t="s">
        <v>35</v>
      </c>
      <c r="F939" s="9" t="s">
        <v>36</v>
      </c>
      <c r="G939" s="9">
        <v>5</v>
      </c>
      <c r="H939" s="9">
        <v>84219999</v>
      </c>
      <c r="I939" s="11" t="s">
        <v>37</v>
      </c>
      <c r="J939" s="12">
        <v>1.6500000000000001E-2</v>
      </c>
      <c r="K939" s="12">
        <v>7.5999999999999998E-2</v>
      </c>
      <c r="L939" s="12">
        <v>5.1999999999999998E-2</v>
      </c>
      <c r="M939" s="13">
        <v>8003453138025</v>
      </c>
      <c r="N939" s="14">
        <v>0.224</v>
      </c>
      <c r="O939" s="14">
        <v>0.29699999999999999</v>
      </c>
      <c r="P939" s="15" t="s">
        <v>35</v>
      </c>
      <c r="Q939" s="16" t="s">
        <v>5806</v>
      </c>
      <c r="R939" s="17" t="s">
        <v>35</v>
      </c>
      <c r="S939" s="17" t="s">
        <v>5807</v>
      </c>
      <c r="T939" s="17" t="s">
        <v>5808</v>
      </c>
      <c r="U939" s="17" t="s">
        <v>5809</v>
      </c>
      <c r="V939" s="17" t="s">
        <v>5810</v>
      </c>
      <c r="W939" s="17" t="s">
        <v>35</v>
      </c>
      <c r="X939" s="17" t="s">
        <v>5811</v>
      </c>
      <c r="Y939" s="17" t="s">
        <v>5812</v>
      </c>
      <c r="Z939" s="17" t="s">
        <v>35</v>
      </c>
      <c r="AA939" s="17" t="s">
        <v>35</v>
      </c>
      <c r="AB939" s="17" t="s">
        <v>35</v>
      </c>
      <c r="AC939" s="17" t="s">
        <v>9539</v>
      </c>
      <c r="AD939" s="42">
        <v>39.33</v>
      </c>
      <c r="AE939" s="42">
        <v>41.38</v>
      </c>
      <c r="AF939" s="48"/>
      <c r="AG939" s="44"/>
      <c r="AH939" s="7">
        <f t="shared" si="14"/>
        <v>0</v>
      </c>
      <c r="AI939" s="18"/>
      <c r="AJ939" s="18"/>
    </row>
    <row r="940" spans="1:38" ht="26.65" customHeight="1" x14ac:dyDescent="0.25">
      <c r="A940" s="10" t="s">
        <v>5813</v>
      </c>
      <c r="B940" s="9" t="s">
        <v>3030</v>
      </c>
      <c r="C940" s="9" t="s">
        <v>58</v>
      </c>
      <c r="D940" s="9" t="s">
        <v>3031</v>
      </c>
      <c r="E940" s="9" t="s">
        <v>35</v>
      </c>
      <c r="F940" s="9" t="s">
        <v>36</v>
      </c>
      <c r="G940" s="9">
        <v>5</v>
      </c>
      <c r="H940" s="9">
        <v>84219999</v>
      </c>
      <c r="I940" s="11" t="s">
        <v>37</v>
      </c>
      <c r="J940" s="12">
        <v>1.6500000000000001E-2</v>
      </c>
      <c r="K940" s="12">
        <v>7.5999999999999998E-2</v>
      </c>
      <c r="L940" s="12">
        <v>5.1999999999999998E-2</v>
      </c>
      <c r="M940" s="13">
        <v>8003453138551</v>
      </c>
      <c r="N940" s="14">
        <v>3.45</v>
      </c>
      <c r="O940" s="14">
        <v>3.97</v>
      </c>
      <c r="P940" s="15" t="s">
        <v>35</v>
      </c>
      <c r="Q940" s="16" t="s">
        <v>5814</v>
      </c>
      <c r="R940" s="17" t="s">
        <v>35</v>
      </c>
      <c r="S940" s="17" t="s">
        <v>5815</v>
      </c>
      <c r="T940" s="17" t="s">
        <v>5816</v>
      </c>
      <c r="U940" s="17" t="s">
        <v>5817</v>
      </c>
      <c r="V940" s="17" t="s">
        <v>35</v>
      </c>
      <c r="W940" s="17" t="s">
        <v>35</v>
      </c>
      <c r="X940" s="17" t="s">
        <v>35</v>
      </c>
      <c r="Y940" s="17" t="s">
        <v>35</v>
      </c>
      <c r="Z940" s="17" t="s">
        <v>5818</v>
      </c>
      <c r="AA940" s="17" t="s">
        <v>35</v>
      </c>
      <c r="AB940" s="17" t="s">
        <v>5819</v>
      </c>
      <c r="AC940" s="17" t="s">
        <v>9539</v>
      </c>
      <c r="AD940" s="41">
        <v>320.52</v>
      </c>
      <c r="AE940" s="41">
        <v>337.19</v>
      </c>
      <c r="AF940" s="48"/>
      <c r="AG940" s="44"/>
      <c r="AH940" s="7">
        <f t="shared" si="14"/>
        <v>0</v>
      </c>
      <c r="AI940" s="18"/>
      <c r="AJ940" s="18"/>
      <c r="AL940" s="18"/>
    </row>
    <row r="941" spans="1:38" ht="26.65" customHeight="1" x14ac:dyDescent="0.25">
      <c r="A941" s="10" t="s">
        <v>10399</v>
      </c>
      <c r="B941" s="9" t="s">
        <v>3030</v>
      </c>
      <c r="C941" s="9" t="s">
        <v>58</v>
      </c>
      <c r="D941" s="9" t="s">
        <v>3031</v>
      </c>
      <c r="E941" s="9" t="s">
        <v>35</v>
      </c>
      <c r="F941" s="9" t="s">
        <v>36</v>
      </c>
      <c r="G941" s="9">
        <v>5</v>
      </c>
      <c r="H941" s="9">
        <v>84219999</v>
      </c>
      <c r="I941" s="11" t="s">
        <v>37</v>
      </c>
      <c r="J941" s="12">
        <v>1.6500000000000001E-2</v>
      </c>
      <c r="K941" s="12">
        <v>7.5999999999999998E-2</v>
      </c>
      <c r="L941" s="12">
        <v>5.1999999999999998E-2</v>
      </c>
      <c r="M941" s="13">
        <v>8003453803275</v>
      </c>
      <c r="N941" s="14">
        <v>0</v>
      </c>
      <c r="O941" s="14">
        <v>0</v>
      </c>
      <c r="P941" s="15">
        <v>45566</v>
      </c>
      <c r="Q941" s="16" t="s">
        <v>5814</v>
      </c>
      <c r="R941" s="17" t="s">
        <v>35</v>
      </c>
      <c r="S941" s="17" t="s">
        <v>5815</v>
      </c>
      <c r="T941" s="17" t="s">
        <v>5816</v>
      </c>
      <c r="U941" s="17" t="s">
        <v>5817</v>
      </c>
      <c r="V941" s="17" t="s">
        <v>35</v>
      </c>
      <c r="W941" s="17" t="s">
        <v>35</v>
      </c>
      <c r="X941" s="17" t="s">
        <v>10400</v>
      </c>
      <c r="Y941" s="17" t="s">
        <v>35</v>
      </c>
      <c r="Z941" s="17" t="s">
        <v>5818</v>
      </c>
      <c r="AA941" s="17" t="s">
        <v>35</v>
      </c>
      <c r="AB941" s="17" t="s">
        <v>5819</v>
      </c>
      <c r="AC941" s="17" t="s">
        <v>9539</v>
      </c>
      <c r="AD941" s="41">
        <v>320.52</v>
      </c>
      <c r="AE941" s="41">
        <v>337.19</v>
      </c>
      <c r="AF941" s="48"/>
      <c r="AG941" s="44"/>
      <c r="AH941" s="7">
        <f t="shared" si="14"/>
        <v>0</v>
      </c>
      <c r="AI941" s="18"/>
      <c r="AJ941" s="18"/>
    </row>
    <row r="942" spans="1:38" ht="26.65" customHeight="1" x14ac:dyDescent="0.25">
      <c r="A942" s="10" t="s">
        <v>5820</v>
      </c>
      <c r="B942" s="9" t="s">
        <v>3030</v>
      </c>
      <c r="C942" s="9" t="s">
        <v>43</v>
      </c>
      <c r="D942" s="9" t="s">
        <v>3031</v>
      </c>
      <c r="E942" s="9" t="s">
        <v>35</v>
      </c>
      <c r="F942" s="9" t="s">
        <v>36</v>
      </c>
      <c r="G942" s="9">
        <v>5</v>
      </c>
      <c r="H942" s="9">
        <v>84219999</v>
      </c>
      <c r="I942" s="11" t="s">
        <v>37</v>
      </c>
      <c r="J942" s="12">
        <v>1.6500000000000001E-2</v>
      </c>
      <c r="K942" s="12">
        <v>7.5999999999999998E-2</v>
      </c>
      <c r="L942" s="12">
        <v>5.1999999999999998E-2</v>
      </c>
      <c r="M942" s="13">
        <v>8003453138094</v>
      </c>
      <c r="N942" s="14">
        <v>0.35</v>
      </c>
      <c r="O942" s="14">
        <v>0.439</v>
      </c>
      <c r="P942" s="15" t="s">
        <v>35</v>
      </c>
      <c r="Q942" s="16" t="s">
        <v>5821</v>
      </c>
      <c r="R942" s="17" t="s">
        <v>5822</v>
      </c>
      <c r="S942" s="17" t="s">
        <v>35</v>
      </c>
      <c r="T942" s="17" t="s">
        <v>5823</v>
      </c>
      <c r="U942" s="17" t="s">
        <v>5824</v>
      </c>
      <c r="V942" s="17" t="s">
        <v>5825</v>
      </c>
      <c r="W942" s="17" t="s">
        <v>35</v>
      </c>
      <c r="X942" s="17" t="s">
        <v>5826</v>
      </c>
      <c r="Y942" s="17" t="s">
        <v>5827</v>
      </c>
      <c r="Z942" s="17" t="s">
        <v>35</v>
      </c>
      <c r="AA942" s="17" t="s">
        <v>35</v>
      </c>
      <c r="AB942" s="17" t="s">
        <v>35</v>
      </c>
      <c r="AC942" s="17" t="s">
        <v>9539</v>
      </c>
      <c r="AD942" s="42">
        <v>105.61</v>
      </c>
      <c r="AE942" s="42">
        <v>111.1</v>
      </c>
      <c r="AF942" s="48"/>
      <c r="AG942" s="44"/>
      <c r="AH942" s="7">
        <f t="shared" si="14"/>
        <v>0</v>
      </c>
      <c r="AI942" s="18"/>
      <c r="AJ942" s="18"/>
    </row>
    <row r="943" spans="1:38" ht="26.65" customHeight="1" x14ac:dyDescent="0.25">
      <c r="A943" s="10" t="s">
        <v>5828</v>
      </c>
      <c r="B943" s="9" t="s">
        <v>3030</v>
      </c>
      <c r="C943" s="9" t="s">
        <v>43</v>
      </c>
      <c r="D943" s="9" t="s">
        <v>3031</v>
      </c>
      <c r="E943" s="9" t="s">
        <v>35</v>
      </c>
      <c r="F943" s="9" t="s">
        <v>36</v>
      </c>
      <c r="G943" s="9">
        <v>5</v>
      </c>
      <c r="H943" s="9">
        <v>84219999</v>
      </c>
      <c r="I943" s="11" t="s">
        <v>37</v>
      </c>
      <c r="J943" s="12">
        <v>1.6500000000000001E-2</v>
      </c>
      <c r="K943" s="12">
        <v>7.5999999999999998E-2</v>
      </c>
      <c r="L943" s="12">
        <v>5.1999999999999998E-2</v>
      </c>
      <c r="M943" s="13">
        <v>8003453138179</v>
      </c>
      <c r="N943" s="14">
        <v>0.21</v>
      </c>
      <c r="O943" s="14">
        <v>0.28699999999999998</v>
      </c>
      <c r="P943" s="15" t="s">
        <v>35</v>
      </c>
      <c r="Q943" s="16" t="s">
        <v>5829</v>
      </c>
      <c r="R943" s="17" t="s">
        <v>35</v>
      </c>
      <c r="S943" s="17" t="s">
        <v>5830</v>
      </c>
      <c r="T943" s="17" t="s">
        <v>5831</v>
      </c>
      <c r="U943" s="17" t="s">
        <v>5832</v>
      </c>
      <c r="V943" s="17" t="s">
        <v>5833</v>
      </c>
      <c r="W943" s="17" t="s">
        <v>5834</v>
      </c>
      <c r="X943" s="17" t="s">
        <v>5835</v>
      </c>
      <c r="Y943" s="17" t="s">
        <v>5836</v>
      </c>
      <c r="Z943" s="17" t="s">
        <v>35</v>
      </c>
      <c r="AA943" s="17" t="s">
        <v>35</v>
      </c>
      <c r="AB943" s="17" t="s">
        <v>35</v>
      </c>
      <c r="AC943" s="17" t="s">
        <v>9539</v>
      </c>
      <c r="AD943" s="42">
        <v>15.03</v>
      </c>
      <c r="AE943" s="42">
        <v>15.81</v>
      </c>
      <c r="AF943" s="48"/>
      <c r="AG943" s="44"/>
      <c r="AH943" s="7">
        <f t="shared" si="14"/>
        <v>0</v>
      </c>
      <c r="AI943" s="18"/>
      <c r="AJ943" s="18"/>
    </row>
    <row r="944" spans="1:38" ht="26.65" customHeight="1" x14ac:dyDescent="0.25">
      <c r="A944" s="10" t="s">
        <v>5837</v>
      </c>
      <c r="B944" s="9" t="s">
        <v>3030</v>
      </c>
      <c r="C944" s="9" t="s">
        <v>43</v>
      </c>
      <c r="D944" s="9" t="s">
        <v>3031</v>
      </c>
      <c r="E944" s="9" t="s">
        <v>35</v>
      </c>
      <c r="F944" s="9" t="s">
        <v>36</v>
      </c>
      <c r="G944" s="9">
        <v>5</v>
      </c>
      <c r="H944" s="9">
        <v>84219999</v>
      </c>
      <c r="I944" s="11" t="s">
        <v>37</v>
      </c>
      <c r="J944" s="12">
        <v>1.6500000000000001E-2</v>
      </c>
      <c r="K944" s="12">
        <v>7.5999999999999998E-2</v>
      </c>
      <c r="L944" s="12">
        <v>5.1999999999999998E-2</v>
      </c>
      <c r="M944" s="13">
        <v>8003453138230</v>
      </c>
      <c r="N944" s="14">
        <v>0.34300000000000003</v>
      </c>
      <c r="O944" s="14">
        <v>0.46200000000000002</v>
      </c>
      <c r="P944" s="15" t="s">
        <v>35</v>
      </c>
      <c r="Q944" s="16" t="s">
        <v>5838</v>
      </c>
      <c r="R944" s="17" t="s">
        <v>35</v>
      </c>
      <c r="S944" s="17" t="s">
        <v>35</v>
      </c>
      <c r="T944" s="17" t="s">
        <v>5839</v>
      </c>
      <c r="U944" s="17" t="s">
        <v>5840</v>
      </c>
      <c r="V944" s="17" t="s">
        <v>35</v>
      </c>
      <c r="W944" s="17" t="s">
        <v>35</v>
      </c>
      <c r="X944" s="17" t="s">
        <v>5841</v>
      </c>
      <c r="Y944" s="17" t="s">
        <v>35</v>
      </c>
      <c r="Z944" s="17" t="s">
        <v>35</v>
      </c>
      <c r="AA944" s="17" t="s">
        <v>35</v>
      </c>
      <c r="AB944" s="17" t="s">
        <v>35</v>
      </c>
      <c r="AC944" s="17" t="s">
        <v>9539</v>
      </c>
      <c r="AD944" s="41">
        <v>53.99</v>
      </c>
      <c r="AE944" s="41">
        <v>56.8</v>
      </c>
      <c r="AF944" s="48"/>
      <c r="AG944" s="44"/>
      <c r="AH944" s="7">
        <f t="shared" si="14"/>
        <v>0</v>
      </c>
      <c r="AI944" s="18"/>
      <c r="AJ944" s="18"/>
      <c r="AL944" s="18"/>
    </row>
    <row r="945" spans="1:38" ht="26.65" customHeight="1" x14ac:dyDescent="0.25">
      <c r="A945" s="10" t="s">
        <v>5842</v>
      </c>
      <c r="B945" s="9" t="s">
        <v>3030</v>
      </c>
      <c r="C945" s="9" t="s">
        <v>43</v>
      </c>
      <c r="D945" s="9" t="s">
        <v>3031</v>
      </c>
      <c r="E945" s="9" t="s">
        <v>35</v>
      </c>
      <c r="F945" s="9" t="s">
        <v>36</v>
      </c>
      <c r="G945" s="9">
        <v>5</v>
      </c>
      <c r="H945" s="9">
        <v>84219999</v>
      </c>
      <c r="I945" s="11" t="s">
        <v>37</v>
      </c>
      <c r="J945" s="12">
        <v>1.6500000000000001E-2</v>
      </c>
      <c r="K945" s="12">
        <v>7.5999999999999998E-2</v>
      </c>
      <c r="L945" s="12">
        <v>5.1999999999999998E-2</v>
      </c>
      <c r="M945" s="13">
        <v>8003453138292</v>
      </c>
      <c r="N945" s="14">
        <v>0.39500000000000002</v>
      </c>
      <c r="O945" s="14">
        <v>0.46800000000000003</v>
      </c>
      <c r="P945" s="15" t="s">
        <v>35</v>
      </c>
      <c r="Q945" s="16" t="s">
        <v>5843</v>
      </c>
      <c r="R945" s="17" t="s">
        <v>35</v>
      </c>
      <c r="S945" s="17" t="s">
        <v>5844</v>
      </c>
      <c r="T945" s="17" t="s">
        <v>5845</v>
      </c>
      <c r="U945" s="17" t="s">
        <v>5846</v>
      </c>
      <c r="V945" s="17" t="s">
        <v>5847</v>
      </c>
      <c r="W945" s="17" t="s">
        <v>35</v>
      </c>
      <c r="X945" s="17" t="s">
        <v>5848</v>
      </c>
      <c r="Y945" s="17" t="s">
        <v>5849</v>
      </c>
      <c r="Z945" s="17" t="s">
        <v>35</v>
      </c>
      <c r="AA945" s="17" t="s">
        <v>35</v>
      </c>
      <c r="AB945" s="17" t="s">
        <v>35</v>
      </c>
      <c r="AC945" s="17" t="s">
        <v>9539</v>
      </c>
      <c r="AD945" s="41">
        <v>28.33</v>
      </c>
      <c r="AE945" s="41">
        <v>29.8</v>
      </c>
      <c r="AF945" s="48"/>
      <c r="AG945" s="44"/>
      <c r="AH945" s="7">
        <f t="shared" si="14"/>
        <v>0</v>
      </c>
      <c r="AI945" s="18"/>
      <c r="AJ945" s="18"/>
      <c r="AL945" s="18"/>
    </row>
    <row r="946" spans="1:38" ht="26.65" customHeight="1" x14ac:dyDescent="0.25">
      <c r="A946" s="10" t="s">
        <v>5850</v>
      </c>
      <c r="B946" s="9" t="s">
        <v>3030</v>
      </c>
      <c r="C946" s="9" t="s">
        <v>43</v>
      </c>
      <c r="D946" s="9" t="s">
        <v>3031</v>
      </c>
      <c r="E946" s="9" t="s">
        <v>35</v>
      </c>
      <c r="F946" s="9" t="s">
        <v>36</v>
      </c>
      <c r="G946" s="9">
        <v>5</v>
      </c>
      <c r="H946" s="9">
        <v>84219999</v>
      </c>
      <c r="I946" s="11" t="s">
        <v>37</v>
      </c>
      <c r="J946" s="12">
        <v>1.6500000000000001E-2</v>
      </c>
      <c r="K946" s="12">
        <v>7.5999999999999998E-2</v>
      </c>
      <c r="L946" s="12">
        <v>5.1999999999999998E-2</v>
      </c>
      <c r="M946" s="13">
        <v>8003453138339</v>
      </c>
      <c r="N946" s="14">
        <v>0.20399999999999999</v>
      </c>
      <c r="O946" s="14">
        <v>0.27200000000000002</v>
      </c>
      <c r="P946" s="15" t="s">
        <v>35</v>
      </c>
      <c r="Q946" s="16" t="s">
        <v>5851</v>
      </c>
      <c r="R946" s="17" t="s">
        <v>35</v>
      </c>
      <c r="S946" s="17" t="s">
        <v>5852</v>
      </c>
      <c r="T946" s="17" t="s">
        <v>5853</v>
      </c>
      <c r="U946" s="17" t="s">
        <v>5854</v>
      </c>
      <c r="V946" s="17" t="s">
        <v>35</v>
      </c>
      <c r="W946" s="17" t="s">
        <v>35</v>
      </c>
      <c r="X946" s="17" t="s">
        <v>5855</v>
      </c>
      <c r="Y946" s="17" t="s">
        <v>5856</v>
      </c>
      <c r="Z946" s="17" t="s">
        <v>35</v>
      </c>
      <c r="AA946" s="17" t="s">
        <v>35</v>
      </c>
      <c r="AB946" s="17" t="s">
        <v>35</v>
      </c>
      <c r="AC946" s="17" t="s">
        <v>9539</v>
      </c>
      <c r="AD946" s="42">
        <v>30.21</v>
      </c>
      <c r="AE946" s="42">
        <v>31.78</v>
      </c>
      <c r="AF946" s="48"/>
      <c r="AG946" s="44"/>
      <c r="AH946" s="7">
        <f t="shared" si="14"/>
        <v>0</v>
      </c>
      <c r="AI946" s="18"/>
      <c r="AJ946" s="18"/>
    </row>
    <row r="947" spans="1:38" ht="26.65" customHeight="1" x14ac:dyDescent="0.25">
      <c r="A947" s="10" t="s">
        <v>5857</v>
      </c>
      <c r="B947" s="9" t="s">
        <v>3030</v>
      </c>
      <c r="C947" s="9" t="s">
        <v>43</v>
      </c>
      <c r="D947" s="9" t="s">
        <v>3031</v>
      </c>
      <c r="E947" s="9" t="s">
        <v>122</v>
      </c>
      <c r="F947" s="9" t="s">
        <v>36</v>
      </c>
      <c r="G947" s="9">
        <v>5</v>
      </c>
      <c r="H947" s="9">
        <v>84219999</v>
      </c>
      <c r="I947" s="11" t="s">
        <v>37</v>
      </c>
      <c r="J947" s="12">
        <v>1.6500000000000001E-2</v>
      </c>
      <c r="K947" s="12">
        <v>7.5999999999999998E-2</v>
      </c>
      <c r="L947" s="12">
        <v>5.1999999999999998E-2</v>
      </c>
      <c r="M947" s="13">
        <v>8003453138544</v>
      </c>
      <c r="N947" s="14">
        <v>0.23</v>
      </c>
      <c r="O947" s="14">
        <v>0.32200000000000001</v>
      </c>
      <c r="P947" s="15" t="s">
        <v>35</v>
      </c>
      <c r="Q947" s="16" t="s">
        <v>5858</v>
      </c>
      <c r="R947" s="17" t="s">
        <v>5859</v>
      </c>
      <c r="S947" s="17" t="s">
        <v>5860</v>
      </c>
      <c r="T947" s="17" t="s">
        <v>5861</v>
      </c>
      <c r="U947" s="17" t="s">
        <v>5862</v>
      </c>
      <c r="V947" s="17" t="s">
        <v>5863</v>
      </c>
      <c r="W947" s="17" t="s">
        <v>5864</v>
      </c>
      <c r="X947" s="17" t="s">
        <v>5865</v>
      </c>
      <c r="Y947" s="17" t="s">
        <v>5866</v>
      </c>
      <c r="Z947" s="17" t="s">
        <v>35</v>
      </c>
      <c r="AA947" s="17" t="s">
        <v>35</v>
      </c>
      <c r="AB947" s="17" t="s">
        <v>35</v>
      </c>
      <c r="AC947" s="17" t="s">
        <v>9539</v>
      </c>
      <c r="AD947" s="41">
        <v>23.3</v>
      </c>
      <c r="AE947" s="41">
        <v>24.51</v>
      </c>
      <c r="AF947" s="48"/>
      <c r="AG947" s="44"/>
      <c r="AH947" s="7">
        <f t="shared" si="14"/>
        <v>0</v>
      </c>
      <c r="AI947" s="18"/>
      <c r="AJ947" s="18"/>
      <c r="AL947" s="18"/>
    </row>
    <row r="948" spans="1:38" ht="26.65" customHeight="1" x14ac:dyDescent="0.25">
      <c r="A948" s="10" t="s">
        <v>5867</v>
      </c>
      <c r="B948" s="9" t="s">
        <v>3030</v>
      </c>
      <c r="C948" s="9" t="s">
        <v>43</v>
      </c>
      <c r="D948" s="9" t="s">
        <v>3031</v>
      </c>
      <c r="E948" s="9" t="s">
        <v>35</v>
      </c>
      <c r="F948" s="9" t="s">
        <v>36</v>
      </c>
      <c r="G948" s="9">
        <v>5</v>
      </c>
      <c r="H948" s="9">
        <v>84219999</v>
      </c>
      <c r="I948" s="11" t="s">
        <v>37</v>
      </c>
      <c r="J948" s="12">
        <v>1.6500000000000001E-2</v>
      </c>
      <c r="K948" s="12">
        <v>7.5999999999999998E-2</v>
      </c>
      <c r="L948" s="12">
        <v>5.1999999999999998E-2</v>
      </c>
      <c r="M948" s="13">
        <v>8003453138360</v>
      </c>
      <c r="N948" s="14">
        <v>0.16600000000000001</v>
      </c>
      <c r="O948" s="14">
        <v>0.255</v>
      </c>
      <c r="P948" s="15" t="s">
        <v>35</v>
      </c>
      <c r="Q948" s="16" t="s">
        <v>5868</v>
      </c>
      <c r="R948" s="17" t="s">
        <v>35</v>
      </c>
      <c r="S948" s="17" t="s">
        <v>5869</v>
      </c>
      <c r="T948" s="17" t="s">
        <v>5870</v>
      </c>
      <c r="U948" s="17" t="s">
        <v>5871</v>
      </c>
      <c r="V948" s="17" t="s">
        <v>5872</v>
      </c>
      <c r="W948" s="17" t="s">
        <v>5873</v>
      </c>
      <c r="X948" s="17" t="s">
        <v>5874</v>
      </c>
      <c r="Y948" s="17" t="s">
        <v>5875</v>
      </c>
      <c r="Z948" s="17" t="s">
        <v>35</v>
      </c>
      <c r="AA948" s="17" t="s">
        <v>35</v>
      </c>
      <c r="AB948" s="17" t="s">
        <v>35</v>
      </c>
      <c r="AC948" s="17" t="s">
        <v>9539</v>
      </c>
      <c r="AD948" s="41">
        <v>15.87</v>
      </c>
      <c r="AE948" s="41">
        <v>16.7</v>
      </c>
      <c r="AF948" s="48"/>
      <c r="AG948" s="44"/>
      <c r="AH948" s="7">
        <f t="shared" si="14"/>
        <v>0</v>
      </c>
      <c r="AI948" s="18"/>
      <c r="AJ948" s="18"/>
      <c r="AL948" s="18"/>
    </row>
    <row r="949" spans="1:38" ht="26.65" customHeight="1" x14ac:dyDescent="0.25">
      <c r="A949" s="10" t="s">
        <v>5876</v>
      </c>
      <c r="B949" s="9" t="s">
        <v>3030</v>
      </c>
      <c r="C949" s="9" t="s">
        <v>43</v>
      </c>
      <c r="D949" s="9" t="s">
        <v>3031</v>
      </c>
      <c r="E949" s="9" t="s">
        <v>35</v>
      </c>
      <c r="F949" s="9" t="s">
        <v>36</v>
      </c>
      <c r="G949" s="9">
        <v>5</v>
      </c>
      <c r="H949" s="9">
        <v>84219999</v>
      </c>
      <c r="I949" s="11" t="s">
        <v>37</v>
      </c>
      <c r="J949" s="12">
        <v>1.6500000000000001E-2</v>
      </c>
      <c r="K949" s="12">
        <v>7.5999999999999998E-2</v>
      </c>
      <c r="L949" s="12">
        <v>5.1999999999999998E-2</v>
      </c>
      <c r="M949" s="13">
        <v>8003453138377</v>
      </c>
      <c r="N949" s="14">
        <v>0.183</v>
      </c>
      <c r="O949" s="14">
        <v>0.32500000000000001</v>
      </c>
      <c r="P949" s="15" t="s">
        <v>35</v>
      </c>
      <c r="Q949" s="16" t="s">
        <v>5877</v>
      </c>
      <c r="R949" s="17" t="s">
        <v>35</v>
      </c>
      <c r="S949" s="17" t="s">
        <v>5878</v>
      </c>
      <c r="T949" s="17" t="s">
        <v>5879</v>
      </c>
      <c r="U949" s="17" t="s">
        <v>5880</v>
      </c>
      <c r="V949" s="17" t="s">
        <v>35</v>
      </c>
      <c r="W949" s="17" t="s">
        <v>35</v>
      </c>
      <c r="X949" s="17" t="s">
        <v>5881</v>
      </c>
      <c r="Y949" s="17" t="s">
        <v>5882</v>
      </c>
      <c r="Z949" s="17" t="s">
        <v>35</v>
      </c>
      <c r="AA949" s="17" t="s">
        <v>35</v>
      </c>
      <c r="AB949" s="17" t="s">
        <v>35</v>
      </c>
      <c r="AC949" s="17" t="s">
        <v>9539</v>
      </c>
      <c r="AD949" s="42">
        <v>46.81</v>
      </c>
      <c r="AE949" s="42">
        <v>49.24</v>
      </c>
      <c r="AF949" s="48"/>
      <c r="AG949" s="44"/>
      <c r="AH949" s="7">
        <f t="shared" si="14"/>
        <v>0</v>
      </c>
      <c r="AI949" s="18"/>
      <c r="AJ949" s="18"/>
    </row>
    <row r="950" spans="1:38" ht="26.65" customHeight="1" x14ac:dyDescent="0.25">
      <c r="A950" s="10" t="s">
        <v>5883</v>
      </c>
      <c r="B950" s="9" t="s">
        <v>3030</v>
      </c>
      <c r="C950" s="9" t="s">
        <v>43</v>
      </c>
      <c r="D950" s="9" t="s">
        <v>3031</v>
      </c>
      <c r="E950" s="9" t="s">
        <v>35</v>
      </c>
      <c r="F950" s="9" t="s">
        <v>36</v>
      </c>
      <c r="G950" s="9">
        <v>5</v>
      </c>
      <c r="H950" s="9">
        <v>84219999</v>
      </c>
      <c r="I950" s="11" t="s">
        <v>37</v>
      </c>
      <c r="J950" s="12">
        <v>1.6500000000000001E-2</v>
      </c>
      <c r="K950" s="12">
        <v>7.5999999999999998E-2</v>
      </c>
      <c r="L950" s="12">
        <v>5.1999999999999998E-2</v>
      </c>
      <c r="M950" s="13">
        <v>8003453138391</v>
      </c>
      <c r="N950" s="14">
        <v>0.36</v>
      </c>
      <c r="O950" s="14">
        <v>0.37</v>
      </c>
      <c r="P950" s="15" t="s">
        <v>35</v>
      </c>
      <c r="Q950" s="16" t="s">
        <v>5884</v>
      </c>
      <c r="R950" s="17" t="s">
        <v>35</v>
      </c>
      <c r="S950" s="17" t="s">
        <v>5885</v>
      </c>
      <c r="T950" s="17" t="s">
        <v>5886</v>
      </c>
      <c r="U950" s="17" t="s">
        <v>35</v>
      </c>
      <c r="V950" s="17" t="s">
        <v>5887</v>
      </c>
      <c r="W950" s="17" t="s">
        <v>5888</v>
      </c>
      <c r="X950" s="17" t="s">
        <v>5889</v>
      </c>
      <c r="Y950" s="17" t="s">
        <v>5890</v>
      </c>
      <c r="Z950" s="17" t="s">
        <v>35</v>
      </c>
      <c r="AA950" s="17" t="s">
        <v>35</v>
      </c>
      <c r="AB950" s="17" t="s">
        <v>35</v>
      </c>
      <c r="AC950" s="17" t="s">
        <v>9539</v>
      </c>
      <c r="AD950" s="42">
        <v>15.75</v>
      </c>
      <c r="AE950" s="42">
        <v>16.57</v>
      </c>
      <c r="AF950" s="48"/>
      <c r="AG950" s="44"/>
      <c r="AH950" s="7">
        <f t="shared" si="14"/>
        <v>0</v>
      </c>
      <c r="AI950" s="18"/>
      <c r="AJ950" s="18"/>
    </row>
    <row r="951" spans="1:38" ht="26.65" customHeight="1" x14ac:dyDescent="0.25">
      <c r="A951" s="10" t="s">
        <v>5891</v>
      </c>
      <c r="B951" s="9" t="s">
        <v>3030</v>
      </c>
      <c r="C951" s="9" t="s">
        <v>43</v>
      </c>
      <c r="D951" s="9" t="s">
        <v>3031</v>
      </c>
      <c r="E951" s="9" t="s">
        <v>35</v>
      </c>
      <c r="F951" s="9" t="s">
        <v>36</v>
      </c>
      <c r="G951" s="9">
        <v>5</v>
      </c>
      <c r="H951" s="9">
        <v>84219999</v>
      </c>
      <c r="I951" s="11" t="s">
        <v>37</v>
      </c>
      <c r="J951" s="12">
        <v>1.6500000000000001E-2</v>
      </c>
      <c r="K951" s="12">
        <v>7.5999999999999998E-2</v>
      </c>
      <c r="L951" s="12">
        <v>5.1999999999999998E-2</v>
      </c>
      <c r="M951" s="13">
        <v>8003453138476</v>
      </c>
      <c r="N951" s="14">
        <v>0.32200000000000001</v>
      </c>
      <c r="O951" s="14">
        <v>0.39900000000000002</v>
      </c>
      <c r="P951" s="15">
        <v>44868</v>
      </c>
      <c r="Q951" s="16" t="s">
        <v>5892</v>
      </c>
      <c r="R951" s="17" t="s">
        <v>5893</v>
      </c>
      <c r="S951" s="17" t="s">
        <v>5894</v>
      </c>
      <c r="T951" s="17" t="s">
        <v>5895</v>
      </c>
      <c r="U951" s="17" t="s">
        <v>5896</v>
      </c>
      <c r="V951" s="17" t="s">
        <v>5897</v>
      </c>
      <c r="W951" s="17" t="s">
        <v>5898</v>
      </c>
      <c r="X951" s="17" t="s">
        <v>5899</v>
      </c>
      <c r="Y951" s="17" t="s">
        <v>5900</v>
      </c>
      <c r="Z951" s="17" t="s">
        <v>35</v>
      </c>
      <c r="AA951" s="17" t="s">
        <v>35</v>
      </c>
      <c r="AB951" s="17" t="s">
        <v>35</v>
      </c>
      <c r="AC951" s="17" t="s">
        <v>9539</v>
      </c>
      <c r="AD951" s="42">
        <v>27.46</v>
      </c>
      <c r="AE951" s="42">
        <v>28.89</v>
      </c>
      <c r="AF951" s="48"/>
      <c r="AG951" s="44"/>
      <c r="AH951" s="7">
        <f t="shared" si="14"/>
        <v>0</v>
      </c>
      <c r="AI951" s="18"/>
      <c r="AJ951" s="18"/>
    </row>
    <row r="952" spans="1:38" ht="26.65" customHeight="1" x14ac:dyDescent="0.25">
      <c r="A952" s="10" t="s">
        <v>5901</v>
      </c>
      <c r="B952" s="9" t="s">
        <v>3030</v>
      </c>
      <c r="C952" s="9" t="s">
        <v>43</v>
      </c>
      <c r="D952" s="9" t="s">
        <v>3031</v>
      </c>
      <c r="E952" s="9" t="s">
        <v>35</v>
      </c>
      <c r="F952" s="9" t="s">
        <v>36</v>
      </c>
      <c r="G952" s="9">
        <v>5</v>
      </c>
      <c r="H952" s="9">
        <v>84219999</v>
      </c>
      <c r="I952" s="11" t="s">
        <v>37</v>
      </c>
      <c r="J952" s="12">
        <v>1.6500000000000001E-2</v>
      </c>
      <c r="K952" s="12">
        <v>7.5999999999999998E-2</v>
      </c>
      <c r="L952" s="12">
        <v>5.1999999999999998E-2</v>
      </c>
      <c r="M952" s="13">
        <v>8003453138575</v>
      </c>
      <c r="N952" s="14">
        <v>0.107</v>
      </c>
      <c r="O952" s="14">
        <v>0.16500000000000001</v>
      </c>
      <c r="P952" s="15" t="s">
        <v>35</v>
      </c>
      <c r="Q952" s="16" t="s">
        <v>5902</v>
      </c>
      <c r="R952" s="17" t="s">
        <v>35</v>
      </c>
      <c r="S952" s="17" t="s">
        <v>5903</v>
      </c>
      <c r="T952" s="17" t="s">
        <v>5904</v>
      </c>
      <c r="U952" s="17" t="s">
        <v>5905</v>
      </c>
      <c r="V952" s="17" t="s">
        <v>5906</v>
      </c>
      <c r="W952" s="17" t="s">
        <v>35</v>
      </c>
      <c r="X952" s="17" t="s">
        <v>5907</v>
      </c>
      <c r="Y952" s="17" t="s">
        <v>5908</v>
      </c>
      <c r="Z952" s="17" t="s">
        <v>35</v>
      </c>
      <c r="AA952" s="17" t="s">
        <v>35</v>
      </c>
      <c r="AB952" s="17" t="s">
        <v>35</v>
      </c>
      <c r="AC952" s="17" t="s">
        <v>9539</v>
      </c>
      <c r="AD952" s="42">
        <v>24.89</v>
      </c>
      <c r="AE952" s="42">
        <v>26.18</v>
      </c>
      <c r="AF952" s="48"/>
      <c r="AG952" s="44"/>
      <c r="AH952" s="7">
        <f t="shared" si="14"/>
        <v>0</v>
      </c>
      <c r="AI952" s="18"/>
      <c r="AJ952" s="18"/>
    </row>
    <row r="953" spans="1:38" ht="26.65" customHeight="1" x14ac:dyDescent="0.25">
      <c r="A953" s="10" t="s">
        <v>5909</v>
      </c>
      <c r="B953" s="9" t="s">
        <v>3030</v>
      </c>
      <c r="C953" s="9" t="s">
        <v>43</v>
      </c>
      <c r="D953" s="9" t="s">
        <v>3031</v>
      </c>
      <c r="E953" s="9" t="s">
        <v>35</v>
      </c>
      <c r="F953" s="9" t="s">
        <v>36</v>
      </c>
      <c r="G953" s="9">
        <v>5</v>
      </c>
      <c r="H953" s="9">
        <v>84219999</v>
      </c>
      <c r="I953" s="11" t="s">
        <v>37</v>
      </c>
      <c r="J953" s="12">
        <v>1.6500000000000001E-2</v>
      </c>
      <c r="K953" s="12">
        <v>7.5999999999999998E-2</v>
      </c>
      <c r="L953" s="12">
        <v>5.1999999999999998E-2</v>
      </c>
      <c r="M953" s="13">
        <v>8003453138605</v>
      </c>
      <c r="N953" s="14">
        <v>0.3</v>
      </c>
      <c r="O953" s="14">
        <v>0.37</v>
      </c>
      <c r="P953" s="15" t="s">
        <v>35</v>
      </c>
      <c r="Q953" s="16" t="s">
        <v>5910</v>
      </c>
      <c r="R953" s="17" t="s">
        <v>35</v>
      </c>
      <c r="S953" s="17" t="s">
        <v>5911</v>
      </c>
      <c r="T953" s="17" t="s">
        <v>5912</v>
      </c>
      <c r="U953" s="17" t="s">
        <v>35</v>
      </c>
      <c r="V953" s="17" t="s">
        <v>5913</v>
      </c>
      <c r="W953" s="17" t="s">
        <v>35</v>
      </c>
      <c r="X953" s="17" t="s">
        <v>5914</v>
      </c>
      <c r="Y953" s="17" t="s">
        <v>5915</v>
      </c>
      <c r="Z953" s="17" t="s">
        <v>35</v>
      </c>
      <c r="AA953" s="17" t="s">
        <v>35</v>
      </c>
      <c r="AB953" s="17" t="s">
        <v>35</v>
      </c>
      <c r="AC953" s="17" t="s">
        <v>9539</v>
      </c>
      <c r="AD953" s="41">
        <v>18.34</v>
      </c>
      <c r="AE953" s="41">
        <v>19.29</v>
      </c>
      <c r="AF953" s="48"/>
      <c r="AG953" s="44"/>
      <c r="AH953" s="7">
        <f t="shared" si="14"/>
        <v>0</v>
      </c>
      <c r="AI953" s="18"/>
      <c r="AJ953" s="18"/>
      <c r="AL953" s="18"/>
    </row>
    <row r="954" spans="1:38" ht="26.65" customHeight="1" x14ac:dyDescent="0.25">
      <c r="A954" s="10" t="s">
        <v>5916</v>
      </c>
      <c r="B954" s="9" t="s">
        <v>3030</v>
      </c>
      <c r="C954" s="9" t="s">
        <v>43</v>
      </c>
      <c r="D954" s="9" t="s">
        <v>3031</v>
      </c>
      <c r="E954" s="9" t="s">
        <v>35</v>
      </c>
      <c r="F954" s="9" t="s">
        <v>36</v>
      </c>
      <c r="G954" s="9">
        <v>5</v>
      </c>
      <c r="H954" s="9">
        <v>84219999</v>
      </c>
      <c r="I954" s="11" t="s">
        <v>37</v>
      </c>
      <c r="J954" s="12">
        <v>1.6500000000000001E-2</v>
      </c>
      <c r="K954" s="12">
        <v>7.5999999999999998E-2</v>
      </c>
      <c r="L954" s="12">
        <v>5.1999999999999998E-2</v>
      </c>
      <c r="M954" s="13">
        <v>8003453139657</v>
      </c>
      <c r="N954" s="14">
        <v>0.17899999999999999</v>
      </c>
      <c r="O954" s="14">
        <v>0.23799999999999999</v>
      </c>
      <c r="P954" s="15" t="s">
        <v>35</v>
      </c>
      <c r="Q954" s="16" t="s">
        <v>8699</v>
      </c>
      <c r="R954" s="17" t="s">
        <v>35</v>
      </c>
      <c r="S954" s="17" t="s">
        <v>5246</v>
      </c>
      <c r="T954" s="17" t="s">
        <v>5247</v>
      </c>
      <c r="U954" s="17" t="s">
        <v>5248</v>
      </c>
      <c r="V954" s="17" t="s">
        <v>5249</v>
      </c>
      <c r="W954" s="17" t="s">
        <v>5250</v>
      </c>
      <c r="X954" s="17" t="s">
        <v>5251</v>
      </c>
      <c r="Y954" s="17" t="s">
        <v>5917</v>
      </c>
      <c r="Z954" s="17" t="s">
        <v>35</v>
      </c>
      <c r="AA954" s="17" t="s">
        <v>35</v>
      </c>
      <c r="AB954" s="17" t="s">
        <v>35</v>
      </c>
      <c r="AC954" s="17" t="s">
        <v>9539</v>
      </c>
      <c r="AD954" s="42">
        <v>19.66</v>
      </c>
      <c r="AE954" s="42">
        <v>20.68</v>
      </c>
      <c r="AF954" s="48"/>
      <c r="AG954" s="44"/>
      <c r="AH954" s="7">
        <f t="shared" si="14"/>
        <v>0</v>
      </c>
      <c r="AI954" s="18"/>
      <c r="AJ954" s="18"/>
    </row>
    <row r="955" spans="1:38" ht="26.65" customHeight="1" x14ac:dyDescent="0.25">
      <c r="A955" s="10" t="s">
        <v>5918</v>
      </c>
      <c r="B955" s="9" t="s">
        <v>3030</v>
      </c>
      <c r="C955" s="9" t="s">
        <v>43</v>
      </c>
      <c r="D955" s="9" t="s">
        <v>3031</v>
      </c>
      <c r="E955" s="9" t="s">
        <v>35</v>
      </c>
      <c r="F955" s="9" t="s">
        <v>36</v>
      </c>
      <c r="G955" s="9">
        <v>5</v>
      </c>
      <c r="H955" s="9">
        <v>84219999</v>
      </c>
      <c r="I955" s="11" t="s">
        <v>37</v>
      </c>
      <c r="J955" s="12">
        <v>1.6500000000000001E-2</v>
      </c>
      <c r="K955" s="12">
        <v>7.5999999999999998E-2</v>
      </c>
      <c r="L955" s="12">
        <v>5.1999999999999998E-2</v>
      </c>
      <c r="M955" s="13">
        <v>8003453139923</v>
      </c>
      <c r="N955" s="14">
        <v>0.223</v>
      </c>
      <c r="O955" s="14">
        <v>0.25</v>
      </c>
      <c r="P955" s="15">
        <v>45017</v>
      </c>
      <c r="Q955" s="16" t="s">
        <v>5919</v>
      </c>
      <c r="R955" s="17" t="s">
        <v>5920</v>
      </c>
      <c r="S955" s="17" t="s">
        <v>5921</v>
      </c>
      <c r="T955" s="17" t="s">
        <v>35</v>
      </c>
      <c r="U955" s="17" t="s">
        <v>35</v>
      </c>
      <c r="V955" s="17" t="s">
        <v>35</v>
      </c>
      <c r="W955" s="17" t="s">
        <v>35</v>
      </c>
      <c r="X955" s="17" t="s">
        <v>35</v>
      </c>
      <c r="Y955" s="17" t="s">
        <v>35</v>
      </c>
      <c r="Z955" s="17" t="s">
        <v>35</v>
      </c>
      <c r="AA955" s="17" t="s">
        <v>35</v>
      </c>
      <c r="AB955" s="17" t="s">
        <v>35</v>
      </c>
      <c r="AC955" s="17" t="s">
        <v>9539</v>
      </c>
      <c r="AD955" s="42">
        <v>132.19</v>
      </c>
      <c r="AE955" s="42">
        <v>139.06</v>
      </c>
      <c r="AF955" s="48"/>
      <c r="AG955" s="44"/>
      <c r="AH955" s="7">
        <f t="shared" si="14"/>
        <v>0</v>
      </c>
      <c r="AI955" s="18"/>
      <c r="AJ955" s="18"/>
    </row>
    <row r="956" spans="1:38" ht="26.65" customHeight="1" x14ac:dyDescent="0.25">
      <c r="A956" s="10" t="s">
        <v>5922</v>
      </c>
      <c r="B956" s="9" t="s">
        <v>3030</v>
      </c>
      <c r="C956" s="9" t="s">
        <v>43</v>
      </c>
      <c r="D956" s="9" t="s">
        <v>3031</v>
      </c>
      <c r="E956" s="9" t="s">
        <v>35</v>
      </c>
      <c r="F956" s="9" t="s">
        <v>36</v>
      </c>
      <c r="G956" s="9">
        <v>5</v>
      </c>
      <c r="H956" s="9">
        <v>84219999</v>
      </c>
      <c r="I956" s="11" t="s">
        <v>37</v>
      </c>
      <c r="J956" s="12">
        <v>1.6500000000000001E-2</v>
      </c>
      <c r="K956" s="12">
        <v>7.5999999999999998E-2</v>
      </c>
      <c r="L956" s="12">
        <v>5.1999999999999998E-2</v>
      </c>
      <c r="M956" s="13">
        <v>8003453138704</v>
      </c>
      <c r="N956" s="14">
        <v>0.18</v>
      </c>
      <c r="O956" s="14">
        <v>0.24</v>
      </c>
      <c r="P956" s="15" t="s">
        <v>35</v>
      </c>
      <c r="Q956" s="16" t="s">
        <v>5923</v>
      </c>
      <c r="R956" s="17" t="s">
        <v>35</v>
      </c>
      <c r="S956" s="17" t="s">
        <v>5924</v>
      </c>
      <c r="T956" s="17" t="s">
        <v>5925</v>
      </c>
      <c r="U956" s="17" t="s">
        <v>5926</v>
      </c>
      <c r="V956" s="17" t="s">
        <v>5927</v>
      </c>
      <c r="W956" s="17" t="s">
        <v>5928</v>
      </c>
      <c r="X956" s="17" t="s">
        <v>5929</v>
      </c>
      <c r="Y956" s="17" t="s">
        <v>5930</v>
      </c>
      <c r="Z956" s="17" t="s">
        <v>35</v>
      </c>
      <c r="AA956" s="17" t="s">
        <v>35</v>
      </c>
      <c r="AB956" s="17" t="s">
        <v>35</v>
      </c>
      <c r="AC956" s="17" t="s">
        <v>9539</v>
      </c>
      <c r="AD956" s="41">
        <v>19.63</v>
      </c>
      <c r="AE956" s="41">
        <v>20.65</v>
      </c>
      <c r="AF956" s="48"/>
      <c r="AG956" s="44"/>
      <c r="AH956" s="7">
        <f t="shared" si="14"/>
        <v>0</v>
      </c>
      <c r="AI956" s="18"/>
      <c r="AJ956" s="18"/>
    </row>
    <row r="957" spans="1:38" ht="26.65" customHeight="1" x14ac:dyDescent="0.25">
      <c r="A957" s="10" t="s">
        <v>5931</v>
      </c>
      <c r="B957" s="9" t="s">
        <v>3030</v>
      </c>
      <c r="C957" s="9" t="s">
        <v>43</v>
      </c>
      <c r="D957" s="9" t="s">
        <v>3031</v>
      </c>
      <c r="E957" s="9" t="s">
        <v>35</v>
      </c>
      <c r="F957" s="9" t="s">
        <v>36</v>
      </c>
      <c r="G957" s="9">
        <v>5</v>
      </c>
      <c r="H957" s="9">
        <v>84219999</v>
      </c>
      <c r="I957" s="11" t="s">
        <v>37</v>
      </c>
      <c r="J957" s="12">
        <v>1.6500000000000001E-2</v>
      </c>
      <c r="K957" s="12">
        <v>7.5999999999999998E-2</v>
      </c>
      <c r="L957" s="12">
        <v>5.1999999999999998E-2</v>
      </c>
      <c r="M957" s="13">
        <v>8003453138759</v>
      </c>
      <c r="N957" s="14">
        <v>0.46700000000000003</v>
      </c>
      <c r="O957" s="14">
        <v>0.55600000000000005</v>
      </c>
      <c r="P957" s="15" t="s">
        <v>35</v>
      </c>
      <c r="Q957" s="16" t="s">
        <v>5932</v>
      </c>
      <c r="R957" s="17" t="s">
        <v>35</v>
      </c>
      <c r="S957" s="17" t="s">
        <v>5933</v>
      </c>
      <c r="T957" s="17" t="s">
        <v>5934</v>
      </c>
      <c r="U957" s="17" t="s">
        <v>35</v>
      </c>
      <c r="V957" s="17" t="s">
        <v>5935</v>
      </c>
      <c r="W957" s="17" t="s">
        <v>35</v>
      </c>
      <c r="X957" s="17" t="s">
        <v>5936</v>
      </c>
      <c r="Y957" s="17" t="s">
        <v>5937</v>
      </c>
      <c r="Z957" s="17" t="s">
        <v>35</v>
      </c>
      <c r="AA957" s="17" t="s">
        <v>35</v>
      </c>
      <c r="AB957" s="17" t="s">
        <v>35</v>
      </c>
      <c r="AC957" s="17" t="s">
        <v>9539</v>
      </c>
      <c r="AD957" s="41">
        <v>39.97</v>
      </c>
      <c r="AE957" s="41">
        <v>42.05</v>
      </c>
      <c r="AF957" s="48"/>
      <c r="AG957" s="44"/>
      <c r="AH957" s="7">
        <f t="shared" si="14"/>
        <v>0</v>
      </c>
      <c r="AI957" s="18"/>
      <c r="AJ957" s="18"/>
      <c r="AL957" s="18"/>
    </row>
    <row r="958" spans="1:38" ht="26.65" customHeight="1" x14ac:dyDescent="0.25">
      <c r="A958" s="10" t="s">
        <v>5938</v>
      </c>
      <c r="B958" s="9" t="s">
        <v>3030</v>
      </c>
      <c r="C958" s="9" t="s">
        <v>43</v>
      </c>
      <c r="D958" s="9" t="s">
        <v>3031</v>
      </c>
      <c r="E958" s="9" t="s">
        <v>35</v>
      </c>
      <c r="F958" s="9" t="s">
        <v>36</v>
      </c>
      <c r="G958" s="9">
        <v>5</v>
      </c>
      <c r="H958" s="9">
        <v>84219999</v>
      </c>
      <c r="I958" s="11" t="s">
        <v>37</v>
      </c>
      <c r="J958" s="12">
        <v>1.6500000000000001E-2</v>
      </c>
      <c r="K958" s="12">
        <v>7.5999999999999998E-2</v>
      </c>
      <c r="L958" s="12">
        <v>5.1999999999999998E-2</v>
      </c>
      <c r="M958" s="13">
        <v>8003453138766</v>
      </c>
      <c r="N958" s="14">
        <v>0.438</v>
      </c>
      <c r="O958" s="14">
        <v>0.51600000000000001</v>
      </c>
      <c r="P958" s="15" t="s">
        <v>35</v>
      </c>
      <c r="Q958" s="16" t="s">
        <v>5939</v>
      </c>
      <c r="R958" s="17" t="s">
        <v>35</v>
      </c>
      <c r="S958" s="17" t="s">
        <v>5940</v>
      </c>
      <c r="T958" s="17" t="s">
        <v>5941</v>
      </c>
      <c r="U958" s="17" t="s">
        <v>5942</v>
      </c>
      <c r="V958" s="17" t="s">
        <v>5943</v>
      </c>
      <c r="W958" s="17" t="s">
        <v>5944</v>
      </c>
      <c r="X958" s="17" t="s">
        <v>5945</v>
      </c>
      <c r="Y958" s="17" t="s">
        <v>5946</v>
      </c>
      <c r="Z958" s="17" t="s">
        <v>5947</v>
      </c>
      <c r="AA958" s="17" t="s">
        <v>35</v>
      </c>
      <c r="AB958" s="17" t="s">
        <v>5948</v>
      </c>
      <c r="AC958" s="17" t="s">
        <v>9539</v>
      </c>
      <c r="AD958" s="41">
        <v>25.36</v>
      </c>
      <c r="AE958" s="41">
        <v>26.68</v>
      </c>
      <c r="AF958" s="48"/>
      <c r="AG958" s="44"/>
      <c r="AH958" s="7">
        <f t="shared" si="14"/>
        <v>0</v>
      </c>
      <c r="AI958" s="18"/>
      <c r="AJ958" s="18"/>
      <c r="AL958" s="18"/>
    </row>
    <row r="959" spans="1:38" ht="26.65" customHeight="1" x14ac:dyDescent="0.25">
      <c r="A959" s="10" t="s">
        <v>5949</v>
      </c>
      <c r="B959" s="9" t="s">
        <v>3030</v>
      </c>
      <c r="C959" s="9" t="s">
        <v>43</v>
      </c>
      <c r="D959" s="9" t="s">
        <v>3031</v>
      </c>
      <c r="E959" s="9" t="s">
        <v>122</v>
      </c>
      <c r="F959" s="9" t="s">
        <v>36</v>
      </c>
      <c r="G959" s="9">
        <v>5</v>
      </c>
      <c r="H959" s="9">
        <v>84219999</v>
      </c>
      <c r="I959" s="11" t="s">
        <v>37</v>
      </c>
      <c r="J959" s="12">
        <v>1.6500000000000001E-2</v>
      </c>
      <c r="K959" s="12">
        <v>7.5999999999999998E-2</v>
      </c>
      <c r="L959" s="12">
        <v>5.1999999999999998E-2</v>
      </c>
      <c r="M959" s="13">
        <v>8003453139442</v>
      </c>
      <c r="N959" s="14">
        <v>0.36099999999999999</v>
      </c>
      <c r="O959" s="14">
        <v>0.45800000000000002</v>
      </c>
      <c r="P959" s="15" t="s">
        <v>35</v>
      </c>
      <c r="Q959" s="16" t="s">
        <v>5950</v>
      </c>
      <c r="R959" s="17" t="s">
        <v>5951</v>
      </c>
      <c r="S959" s="17" t="s">
        <v>5952</v>
      </c>
      <c r="T959" s="17" t="s">
        <v>5953</v>
      </c>
      <c r="U959" s="17" t="s">
        <v>5954</v>
      </c>
      <c r="V959" s="17" t="s">
        <v>35</v>
      </c>
      <c r="W959" s="17" t="s">
        <v>35</v>
      </c>
      <c r="X959" s="17" t="s">
        <v>35</v>
      </c>
      <c r="Y959" s="17" t="s">
        <v>5955</v>
      </c>
      <c r="Z959" s="17" t="s">
        <v>35</v>
      </c>
      <c r="AA959" s="17" t="s">
        <v>35</v>
      </c>
      <c r="AB959" s="17" t="s">
        <v>35</v>
      </c>
      <c r="AC959" s="17" t="s">
        <v>9539</v>
      </c>
      <c r="AD959" s="41">
        <v>33.26</v>
      </c>
      <c r="AE959" s="41">
        <v>34.99</v>
      </c>
      <c r="AF959" s="48"/>
      <c r="AG959" s="44"/>
      <c r="AH959" s="7">
        <f t="shared" si="14"/>
        <v>0</v>
      </c>
      <c r="AI959" s="18"/>
      <c r="AJ959" s="18"/>
    </row>
    <row r="960" spans="1:38" ht="26.65" customHeight="1" x14ac:dyDescent="0.25">
      <c r="A960" s="10" t="s">
        <v>5956</v>
      </c>
      <c r="B960" s="9" t="s">
        <v>3030</v>
      </c>
      <c r="C960" s="9" t="s">
        <v>43</v>
      </c>
      <c r="D960" s="9" t="s">
        <v>3031</v>
      </c>
      <c r="E960" s="9" t="s">
        <v>35</v>
      </c>
      <c r="F960" s="9" t="s">
        <v>36</v>
      </c>
      <c r="G960" s="9">
        <v>5</v>
      </c>
      <c r="H960" s="9">
        <v>84219999</v>
      </c>
      <c r="I960" s="11" t="s">
        <v>37</v>
      </c>
      <c r="J960" s="12">
        <v>1.6500000000000001E-2</v>
      </c>
      <c r="K960" s="12">
        <v>7.5999999999999998E-2</v>
      </c>
      <c r="L960" s="12">
        <v>5.1999999999999998E-2</v>
      </c>
      <c r="M960" s="13">
        <v>8003453138773</v>
      </c>
      <c r="N960" s="14">
        <v>0.62</v>
      </c>
      <c r="O960" s="14">
        <v>0.72199999999999998</v>
      </c>
      <c r="P960" s="15" t="s">
        <v>35</v>
      </c>
      <c r="Q960" s="16" t="s">
        <v>5957</v>
      </c>
      <c r="R960" s="17" t="s">
        <v>35</v>
      </c>
      <c r="S960" s="17" t="s">
        <v>5958</v>
      </c>
      <c r="T960" s="17" t="s">
        <v>5959</v>
      </c>
      <c r="U960" s="17" t="s">
        <v>5960</v>
      </c>
      <c r="V960" s="17" t="s">
        <v>5961</v>
      </c>
      <c r="W960" s="17" t="s">
        <v>5962</v>
      </c>
      <c r="X960" s="17" t="s">
        <v>5963</v>
      </c>
      <c r="Y960" s="17" t="s">
        <v>5964</v>
      </c>
      <c r="Z960" s="17" t="s">
        <v>35</v>
      </c>
      <c r="AA960" s="17" t="s">
        <v>35</v>
      </c>
      <c r="AB960" s="17" t="s">
        <v>35</v>
      </c>
      <c r="AC960" s="17" t="s">
        <v>9539</v>
      </c>
      <c r="AD960" s="41">
        <v>43.27</v>
      </c>
      <c r="AE960" s="41">
        <v>45.52</v>
      </c>
      <c r="AF960" s="48"/>
      <c r="AG960" s="44"/>
      <c r="AH960" s="7">
        <f t="shared" si="14"/>
        <v>0</v>
      </c>
      <c r="AI960" s="18"/>
      <c r="AJ960" s="18"/>
      <c r="AL960" s="18"/>
    </row>
    <row r="961" spans="1:38" ht="26.65" customHeight="1" x14ac:dyDescent="0.25">
      <c r="A961" s="10" t="s">
        <v>5965</v>
      </c>
      <c r="B961" s="9" t="s">
        <v>3030</v>
      </c>
      <c r="C961" s="9" t="s">
        <v>43</v>
      </c>
      <c r="D961" s="9" t="s">
        <v>3031</v>
      </c>
      <c r="E961" s="9" t="s">
        <v>35</v>
      </c>
      <c r="F961" s="9" t="s">
        <v>36</v>
      </c>
      <c r="G961" s="9">
        <v>5</v>
      </c>
      <c r="H961" s="9">
        <v>84219999</v>
      </c>
      <c r="I961" s="11" t="s">
        <v>37</v>
      </c>
      <c r="J961" s="12">
        <v>1.6500000000000001E-2</v>
      </c>
      <c r="K961" s="12">
        <v>7.5999999999999998E-2</v>
      </c>
      <c r="L961" s="12">
        <v>5.1999999999999998E-2</v>
      </c>
      <c r="M961" s="13">
        <v>8003453138780</v>
      </c>
      <c r="N961" s="14">
        <v>0.183</v>
      </c>
      <c r="O961" s="14">
        <v>0.49199999999999999</v>
      </c>
      <c r="P961" s="15">
        <v>44927</v>
      </c>
      <c r="Q961" s="16" t="s">
        <v>5966</v>
      </c>
      <c r="R961" s="17" t="s">
        <v>5967</v>
      </c>
      <c r="S961" s="17" t="s">
        <v>5968</v>
      </c>
      <c r="T961" s="17" t="s">
        <v>5969</v>
      </c>
      <c r="U961" s="17" t="s">
        <v>5970</v>
      </c>
      <c r="V961" s="17" t="s">
        <v>5971</v>
      </c>
      <c r="W961" s="17" t="s">
        <v>5972</v>
      </c>
      <c r="X961" s="17" t="s">
        <v>5973</v>
      </c>
      <c r="Y961" s="17" t="s">
        <v>5974</v>
      </c>
      <c r="Z961" s="17" t="s">
        <v>35</v>
      </c>
      <c r="AA961" s="17" t="s">
        <v>35</v>
      </c>
      <c r="AB961" s="17" t="s">
        <v>35</v>
      </c>
      <c r="AC961" s="17" t="s">
        <v>9539</v>
      </c>
      <c r="AD961" s="42">
        <v>45.62</v>
      </c>
      <c r="AE961" s="42">
        <v>47.99</v>
      </c>
      <c r="AF961" s="48"/>
      <c r="AG961" s="44"/>
      <c r="AH961" s="7">
        <f t="shared" si="14"/>
        <v>0</v>
      </c>
      <c r="AI961" s="18"/>
      <c r="AJ961" s="18"/>
    </row>
    <row r="962" spans="1:38" ht="26.65" customHeight="1" x14ac:dyDescent="0.25">
      <c r="A962" s="10" t="s">
        <v>5975</v>
      </c>
      <c r="B962" s="9" t="s">
        <v>3030</v>
      </c>
      <c r="C962" s="9" t="s">
        <v>43</v>
      </c>
      <c r="D962" s="9" t="s">
        <v>3031</v>
      </c>
      <c r="E962" s="9" t="s">
        <v>35</v>
      </c>
      <c r="F962" s="9" t="s">
        <v>36</v>
      </c>
      <c r="G962" s="9">
        <v>5</v>
      </c>
      <c r="H962" s="9">
        <v>84219999</v>
      </c>
      <c r="I962" s="11" t="s">
        <v>37</v>
      </c>
      <c r="J962" s="12">
        <v>1.6500000000000001E-2</v>
      </c>
      <c r="K962" s="12">
        <v>7.5999999999999998E-2</v>
      </c>
      <c r="L962" s="12">
        <v>5.1999999999999998E-2</v>
      </c>
      <c r="M962" s="13">
        <v>8003453138797</v>
      </c>
      <c r="N962" s="14">
        <v>0.32900000000000001</v>
      </c>
      <c r="O962" s="14">
        <v>0.42799999999999999</v>
      </c>
      <c r="P962" s="15" t="s">
        <v>35</v>
      </c>
      <c r="Q962" s="16" t="s">
        <v>5976</v>
      </c>
      <c r="R962" s="17" t="s">
        <v>35</v>
      </c>
      <c r="S962" s="17" t="s">
        <v>5977</v>
      </c>
      <c r="T962" s="17" t="s">
        <v>5978</v>
      </c>
      <c r="U962" s="17" t="s">
        <v>35</v>
      </c>
      <c r="V962" s="17" t="s">
        <v>5979</v>
      </c>
      <c r="W962" s="17" t="s">
        <v>5980</v>
      </c>
      <c r="X962" s="17" t="s">
        <v>5981</v>
      </c>
      <c r="Y962" s="17" t="s">
        <v>5982</v>
      </c>
      <c r="Z962" s="17" t="s">
        <v>35</v>
      </c>
      <c r="AA962" s="17" t="s">
        <v>35</v>
      </c>
      <c r="AB962" s="17" t="s">
        <v>35</v>
      </c>
      <c r="AC962" s="17" t="s">
        <v>9539</v>
      </c>
      <c r="AD962" s="42">
        <v>41.59</v>
      </c>
      <c r="AE962" s="42">
        <v>43.75</v>
      </c>
      <c r="AF962" s="48"/>
      <c r="AG962" s="44"/>
      <c r="AH962" s="7">
        <f t="shared" si="14"/>
        <v>0</v>
      </c>
      <c r="AI962" s="18"/>
      <c r="AJ962" s="18"/>
    </row>
    <row r="963" spans="1:38" ht="26.65" customHeight="1" x14ac:dyDescent="0.25">
      <c r="A963" s="10" t="s">
        <v>5983</v>
      </c>
      <c r="B963" s="9" t="s">
        <v>3030</v>
      </c>
      <c r="C963" s="9" t="s">
        <v>43</v>
      </c>
      <c r="D963" s="9" t="s">
        <v>3031</v>
      </c>
      <c r="E963" s="9" t="s">
        <v>35</v>
      </c>
      <c r="F963" s="9" t="s">
        <v>36</v>
      </c>
      <c r="G963" s="9">
        <v>5</v>
      </c>
      <c r="H963" s="9">
        <v>84219999</v>
      </c>
      <c r="I963" s="11" t="s">
        <v>37</v>
      </c>
      <c r="J963" s="12">
        <v>1.6500000000000001E-2</v>
      </c>
      <c r="K963" s="12">
        <v>7.5999999999999998E-2</v>
      </c>
      <c r="L963" s="12">
        <v>5.1999999999999998E-2</v>
      </c>
      <c r="M963" s="13">
        <v>8003453138803</v>
      </c>
      <c r="N963" s="14">
        <v>0.37</v>
      </c>
      <c r="O963" s="14">
        <v>0.45</v>
      </c>
      <c r="P963" s="15" t="s">
        <v>35</v>
      </c>
      <c r="Q963" s="16" t="s">
        <v>5984</v>
      </c>
      <c r="R963" s="17" t="s">
        <v>35</v>
      </c>
      <c r="S963" s="17" t="s">
        <v>5985</v>
      </c>
      <c r="T963" s="17" t="s">
        <v>35</v>
      </c>
      <c r="U963" s="17" t="s">
        <v>5986</v>
      </c>
      <c r="V963" s="17" t="s">
        <v>5987</v>
      </c>
      <c r="W963" s="17" t="s">
        <v>5988</v>
      </c>
      <c r="X963" s="17" t="s">
        <v>5989</v>
      </c>
      <c r="Y963" s="17" t="s">
        <v>5990</v>
      </c>
      <c r="Z963" s="17" t="s">
        <v>35</v>
      </c>
      <c r="AA963" s="17" t="s">
        <v>35</v>
      </c>
      <c r="AB963" s="17" t="s">
        <v>35</v>
      </c>
      <c r="AC963" s="17" t="s">
        <v>9539</v>
      </c>
      <c r="AD963" s="42">
        <v>27.96</v>
      </c>
      <c r="AE963" s="42">
        <v>29.41</v>
      </c>
      <c r="AF963" s="48"/>
      <c r="AG963" s="44"/>
      <c r="AH963" s="7">
        <f t="shared" si="14"/>
        <v>0</v>
      </c>
      <c r="AI963" s="18"/>
      <c r="AJ963" s="18"/>
    </row>
    <row r="964" spans="1:38" ht="26.65" customHeight="1" x14ac:dyDescent="0.25">
      <c r="A964" s="10" t="s">
        <v>5991</v>
      </c>
      <c r="B964" s="9" t="s">
        <v>3030</v>
      </c>
      <c r="C964" s="9" t="s">
        <v>43</v>
      </c>
      <c r="D964" s="9" t="s">
        <v>3031</v>
      </c>
      <c r="E964" s="9" t="s">
        <v>35</v>
      </c>
      <c r="F964" s="9" t="s">
        <v>36</v>
      </c>
      <c r="G964" s="9">
        <v>5</v>
      </c>
      <c r="H964" s="9">
        <v>84219999</v>
      </c>
      <c r="I964" s="11" t="s">
        <v>37</v>
      </c>
      <c r="J964" s="12">
        <v>1.6500000000000001E-2</v>
      </c>
      <c r="K964" s="12">
        <v>7.5999999999999998E-2</v>
      </c>
      <c r="L964" s="12">
        <v>5.1999999999999998E-2</v>
      </c>
      <c r="M964" s="13">
        <v>8003453138919</v>
      </c>
      <c r="N964" s="14">
        <v>0.19500000000000001</v>
      </c>
      <c r="O964" s="14">
        <v>0.26800000000000002</v>
      </c>
      <c r="P964" s="15" t="s">
        <v>35</v>
      </c>
      <c r="Q964" s="16" t="s">
        <v>5992</v>
      </c>
      <c r="R964" s="17" t="s">
        <v>5993</v>
      </c>
      <c r="S964" s="17" t="s">
        <v>5994</v>
      </c>
      <c r="T964" s="17" t="s">
        <v>5995</v>
      </c>
      <c r="U964" s="17" t="s">
        <v>35</v>
      </c>
      <c r="V964" s="17" t="s">
        <v>5996</v>
      </c>
      <c r="W964" s="17" t="s">
        <v>5997</v>
      </c>
      <c r="X964" s="17" t="s">
        <v>5998</v>
      </c>
      <c r="Y964" s="17" t="s">
        <v>5999</v>
      </c>
      <c r="Z964" s="17" t="s">
        <v>35</v>
      </c>
      <c r="AA964" s="17" t="s">
        <v>35</v>
      </c>
      <c r="AB964" s="17" t="s">
        <v>35</v>
      </c>
      <c r="AC964" s="17" t="s">
        <v>9539</v>
      </c>
      <c r="AD964" s="42">
        <v>22.54</v>
      </c>
      <c r="AE964" s="42">
        <v>23.71</v>
      </c>
      <c r="AF964" s="48"/>
      <c r="AG964" s="44"/>
      <c r="AH964" s="7">
        <f t="shared" ref="AH964:AH1027" si="15">AG964*AE964</f>
        <v>0</v>
      </c>
      <c r="AI964" s="18"/>
      <c r="AJ964" s="18"/>
    </row>
    <row r="965" spans="1:38" ht="26.65" customHeight="1" x14ac:dyDescent="0.25">
      <c r="A965" s="10" t="s">
        <v>6000</v>
      </c>
      <c r="B965" s="9" t="s">
        <v>3030</v>
      </c>
      <c r="C965" s="9" t="s">
        <v>43</v>
      </c>
      <c r="D965" s="9" t="s">
        <v>3031</v>
      </c>
      <c r="E965" s="9" t="s">
        <v>35</v>
      </c>
      <c r="F965" s="9" t="s">
        <v>36</v>
      </c>
      <c r="G965" s="9">
        <v>5</v>
      </c>
      <c r="H965" s="9">
        <v>84219999</v>
      </c>
      <c r="I965" s="11" t="s">
        <v>37</v>
      </c>
      <c r="J965" s="12">
        <v>1.6500000000000001E-2</v>
      </c>
      <c r="K965" s="12">
        <v>7.5999999999999998E-2</v>
      </c>
      <c r="L965" s="12">
        <v>5.1999999999999998E-2</v>
      </c>
      <c r="M965" s="13">
        <v>8003453138964</v>
      </c>
      <c r="N965" s="14">
        <v>0.122</v>
      </c>
      <c r="O965" s="14">
        <v>0.21199999999999999</v>
      </c>
      <c r="P965" s="15" t="s">
        <v>35</v>
      </c>
      <c r="Q965" s="16" t="s">
        <v>6001</v>
      </c>
      <c r="R965" s="17" t="s">
        <v>35</v>
      </c>
      <c r="S965" s="17" t="s">
        <v>6002</v>
      </c>
      <c r="T965" s="17" t="s">
        <v>6003</v>
      </c>
      <c r="U965" s="17" t="s">
        <v>6004</v>
      </c>
      <c r="V965" s="17" t="s">
        <v>6005</v>
      </c>
      <c r="W965" s="17" t="s">
        <v>6006</v>
      </c>
      <c r="X965" s="17" t="s">
        <v>6007</v>
      </c>
      <c r="Y965" s="17" t="s">
        <v>6008</v>
      </c>
      <c r="Z965" s="17" t="s">
        <v>35</v>
      </c>
      <c r="AA965" s="17" t="s">
        <v>35</v>
      </c>
      <c r="AB965" s="17" t="s">
        <v>35</v>
      </c>
      <c r="AC965" s="17" t="s">
        <v>9539</v>
      </c>
      <c r="AD965" s="42">
        <v>15.62</v>
      </c>
      <c r="AE965" s="42">
        <v>16.43</v>
      </c>
      <c r="AF965" s="48"/>
      <c r="AG965" s="44"/>
      <c r="AH965" s="7">
        <f t="shared" si="15"/>
        <v>0</v>
      </c>
      <c r="AI965" s="18"/>
      <c r="AJ965" s="18"/>
    </row>
    <row r="966" spans="1:38" ht="26.65" customHeight="1" x14ac:dyDescent="0.25">
      <c r="A966" s="10" t="s">
        <v>6009</v>
      </c>
      <c r="B966" s="9" t="s">
        <v>3030</v>
      </c>
      <c r="C966" s="9" t="s">
        <v>43</v>
      </c>
      <c r="D966" s="9" t="s">
        <v>3031</v>
      </c>
      <c r="E966" s="9" t="s">
        <v>35</v>
      </c>
      <c r="F966" s="9" t="s">
        <v>36</v>
      </c>
      <c r="G966" s="9">
        <v>5</v>
      </c>
      <c r="H966" s="9">
        <v>84219999</v>
      </c>
      <c r="I966" s="11" t="s">
        <v>37</v>
      </c>
      <c r="J966" s="12">
        <v>1.6500000000000001E-2</v>
      </c>
      <c r="K966" s="12">
        <v>7.5999999999999998E-2</v>
      </c>
      <c r="L966" s="12">
        <v>5.1999999999999998E-2</v>
      </c>
      <c r="M966" s="13">
        <v>8003453138971</v>
      </c>
      <c r="N966" s="14">
        <v>0.24</v>
      </c>
      <c r="O966" s="14">
        <v>0.28000000000000003</v>
      </c>
      <c r="P966" s="15" t="s">
        <v>35</v>
      </c>
      <c r="Q966" s="16" t="s">
        <v>6010</v>
      </c>
      <c r="R966" s="17" t="s">
        <v>35</v>
      </c>
      <c r="S966" s="17" t="s">
        <v>6011</v>
      </c>
      <c r="T966" s="17" t="s">
        <v>6012</v>
      </c>
      <c r="U966" s="17" t="s">
        <v>35</v>
      </c>
      <c r="V966" s="17" t="s">
        <v>6013</v>
      </c>
      <c r="W966" s="17" t="s">
        <v>6014</v>
      </c>
      <c r="X966" s="17" t="s">
        <v>6015</v>
      </c>
      <c r="Y966" s="17" t="s">
        <v>6016</v>
      </c>
      <c r="Z966" s="17" t="s">
        <v>35</v>
      </c>
      <c r="AA966" s="17" t="s">
        <v>35</v>
      </c>
      <c r="AB966" s="17" t="s">
        <v>35</v>
      </c>
      <c r="AC966" s="17" t="s">
        <v>9539</v>
      </c>
      <c r="AD966" s="41">
        <v>35.25</v>
      </c>
      <c r="AE966" s="41">
        <v>37.08</v>
      </c>
      <c r="AF966" s="48"/>
      <c r="AG966" s="44"/>
      <c r="AH966" s="7">
        <f t="shared" si="15"/>
        <v>0</v>
      </c>
      <c r="AI966" s="18"/>
      <c r="AJ966" s="18"/>
      <c r="AL966" s="18"/>
    </row>
    <row r="967" spans="1:38" ht="26.65" customHeight="1" x14ac:dyDescent="0.25">
      <c r="A967" s="10" t="s">
        <v>6017</v>
      </c>
      <c r="B967" s="9" t="s">
        <v>3030</v>
      </c>
      <c r="C967" s="9" t="s">
        <v>43</v>
      </c>
      <c r="D967" s="9" t="s">
        <v>3031</v>
      </c>
      <c r="E967" s="9" t="s">
        <v>35</v>
      </c>
      <c r="F967" s="9" t="s">
        <v>36</v>
      </c>
      <c r="G967" s="9">
        <v>5</v>
      </c>
      <c r="H967" s="9">
        <v>84219999</v>
      </c>
      <c r="I967" s="11" t="s">
        <v>37</v>
      </c>
      <c r="J967" s="12">
        <v>1.6500000000000001E-2</v>
      </c>
      <c r="K967" s="12">
        <v>7.5999999999999998E-2</v>
      </c>
      <c r="L967" s="12">
        <v>5.1999999999999998E-2</v>
      </c>
      <c r="M967" s="13">
        <v>8003453138988</v>
      </c>
      <c r="N967" s="14">
        <v>0.31</v>
      </c>
      <c r="O967" s="14">
        <v>0.39</v>
      </c>
      <c r="P967" s="15" t="s">
        <v>35</v>
      </c>
      <c r="Q967" s="16" t="s">
        <v>6018</v>
      </c>
      <c r="R967" s="17" t="s">
        <v>35</v>
      </c>
      <c r="S967" s="17" t="s">
        <v>6019</v>
      </c>
      <c r="T967" s="17" t="s">
        <v>6020</v>
      </c>
      <c r="U967" s="17" t="s">
        <v>35</v>
      </c>
      <c r="V967" s="17" t="s">
        <v>6021</v>
      </c>
      <c r="W967" s="17" t="s">
        <v>6022</v>
      </c>
      <c r="X967" s="17" t="s">
        <v>6023</v>
      </c>
      <c r="Y967" s="17" t="s">
        <v>6024</v>
      </c>
      <c r="Z967" s="17" t="s">
        <v>35</v>
      </c>
      <c r="AA967" s="17" t="s">
        <v>35</v>
      </c>
      <c r="AB967" s="17" t="s">
        <v>35</v>
      </c>
      <c r="AC967" s="17" t="s">
        <v>9539</v>
      </c>
      <c r="AD967" s="42">
        <v>31.88</v>
      </c>
      <c r="AE967" s="42">
        <v>33.54</v>
      </c>
      <c r="AF967" s="48"/>
      <c r="AG967" s="44"/>
      <c r="AH967" s="7">
        <f t="shared" si="15"/>
        <v>0</v>
      </c>
      <c r="AI967" s="18"/>
      <c r="AJ967" s="18"/>
    </row>
    <row r="968" spans="1:38" ht="26.65" customHeight="1" x14ac:dyDescent="0.25">
      <c r="A968" s="10" t="s">
        <v>6025</v>
      </c>
      <c r="B968" s="9" t="s">
        <v>3030</v>
      </c>
      <c r="C968" s="9" t="s">
        <v>43</v>
      </c>
      <c r="D968" s="9" t="s">
        <v>3031</v>
      </c>
      <c r="E968" s="9" t="s">
        <v>35</v>
      </c>
      <c r="F968" s="9" t="s">
        <v>36</v>
      </c>
      <c r="G968" s="9">
        <v>5</v>
      </c>
      <c r="H968" s="9">
        <v>84219999</v>
      </c>
      <c r="I968" s="11" t="s">
        <v>37</v>
      </c>
      <c r="J968" s="12">
        <v>1.6500000000000001E-2</v>
      </c>
      <c r="K968" s="12">
        <v>7.5999999999999998E-2</v>
      </c>
      <c r="L968" s="12">
        <v>5.1999999999999998E-2</v>
      </c>
      <c r="M968" s="13">
        <v>8003453138995</v>
      </c>
      <c r="N968" s="14">
        <v>0.33200000000000002</v>
      </c>
      <c r="O968" s="14">
        <v>0.41199999999999998</v>
      </c>
      <c r="P968" s="15" t="s">
        <v>35</v>
      </c>
      <c r="Q968" s="16" t="s">
        <v>6026</v>
      </c>
      <c r="R968" s="17">
        <v>13717582908</v>
      </c>
      <c r="S968" s="17" t="s">
        <v>6027</v>
      </c>
      <c r="T968" s="17" t="s">
        <v>6028</v>
      </c>
      <c r="U968" s="17" t="s">
        <v>6029</v>
      </c>
      <c r="V968" s="17" t="s">
        <v>6030</v>
      </c>
      <c r="W968" s="17" t="s">
        <v>35</v>
      </c>
      <c r="X968" s="17" t="s">
        <v>6031</v>
      </c>
      <c r="Y968" s="17" t="s">
        <v>6032</v>
      </c>
      <c r="Z968" s="17" t="s">
        <v>35</v>
      </c>
      <c r="AA968" s="17" t="s">
        <v>35</v>
      </c>
      <c r="AB968" s="17" t="s">
        <v>35</v>
      </c>
      <c r="AC968" s="17" t="s">
        <v>9539</v>
      </c>
      <c r="AD968" s="41">
        <v>35.619999999999997</v>
      </c>
      <c r="AE968" s="41">
        <v>37.47</v>
      </c>
      <c r="AF968" s="48"/>
      <c r="AG968" s="44"/>
      <c r="AH968" s="7">
        <f t="shared" si="15"/>
        <v>0</v>
      </c>
      <c r="AI968" s="18"/>
      <c r="AJ968" s="18"/>
      <c r="AL968" s="18"/>
    </row>
    <row r="969" spans="1:38" ht="26.65" customHeight="1" x14ac:dyDescent="0.25">
      <c r="A969" s="10" t="s">
        <v>6033</v>
      </c>
      <c r="B969" s="9" t="s">
        <v>3030</v>
      </c>
      <c r="C969" s="9" t="s">
        <v>43</v>
      </c>
      <c r="D969" s="9" t="s">
        <v>3031</v>
      </c>
      <c r="E969" s="9" t="s">
        <v>35</v>
      </c>
      <c r="F969" s="9" t="s">
        <v>36</v>
      </c>
      <c r="G969" s="9">
        <v>5</v>
      </c>
      <c r="H969" s="9">
        <v>84219999</v>
      </c>
      <c r="I969" s="11" t="s">
        <v>37</v>
      </c>
      <c r="J969" s="12">
        <v>1.6500000000000001E-2</v>
      </c>
      <c r="K969" s="12">
        <v>7.5999999999999998E-2</v>
      </c>
      <c r="L969" s="12">
        <v>5.1999999999999998E-2</v>
      </c>
      <c r="M969" s="13">
        <v>8003453139008</v>
      </c>
      <c r="N969" s="14">
        <v>0.16</v>
      </c>
      <c r="O969" s="14">
        <v>0.24</v>
      </c>
      <c r="P969" s="15" t="s">
        <v>35</v>
      </c>
      <c r="Q969" s="16" t="s">
        <v>6034</v>
      </c>
      <c r="R969" s="17" t="s">
        <v>6035</v>
      </c>
      <c r="S969" s="17" t="s">
        <v>6036</v>
      </c>
      <c r="T969" s="17" t="s">
        <v>6037</v>
      </c>
      <c r="U969" s="17" t="s">
        <v>35</v>
      </c>
      <c r="V969" s="17" t="s">
        <v>6038</v>
      </c>
      <c r="W969" s="17" t="s">
        <v>35</v>
      </c>
      <c r="X969" s="17" t="s">
        <v>35</v>
      </c>
      <c r="Y969" s="17" t="s">
        <v>6039</v>
      </c>
      <c r="Z969" s="17" t="s">
        <v>35</v>
      </c>
      <c r="AA969" s="17" t="s">
        <v>35</v>
      </c>
      <c r="AB969" s="17" t="s">
        <v>35</v>
      </c>
      <c r="AC969" s="17" t="s">
        <v>9539</v>
      </c>
      <c r="AD969" s="42">
        <v>58.94</v>
      </c>
      <c r="AE969" s="42">
        <v>62</v>
      </c>
      <c r="AF969" s="48"/>
      <c r="AG969" s="44"/>
      <c r="AH969" s="7">
        <f t="shared" si="15"/>
        <v>0</v>
      </c>
      <c r="AI969" s="18"/>
      <c r="AJ969" s="18"/>
    </row>
    <row r="970" spans="1:38" ht="26.65" customHeight="1" x14ac:dyDescent="0.25">
      <c r="A970" s="10" t="s">
        <v>6040</v>
      </c>
      <c r="B970" s="9" t="s">
        <v>3030</v>
      </c>
      <c r="C970" s="9" t="s">
        <v>43</v>
      </c>
      <c r="D970" s="9" t="s">
        <v>3031</v>
      </c>
      <c r="E970" s="9" t="s">
        <v>35</v>
      </c>
      <c r="F970" s="9" t="s">
        <v>36</v>
      </c>
      <c r="G970" s="9">
        <v>5</v>
      </c>
      <c r="H970" s="9">
        <v>84219999</v>
      </c>
      <c r="I970" s="11" t="s">
        <v>37</v>
      </c>
      <c r="J970" s="12">
        <v>1.6500000000000001E-2</v>
      </c>
      <c r="K970" s="12">
        <v>7.5999999999999998E-2</v>
      </c>
      <c r="L970" s="12">
        <v>5.1999999999999998E-2</v>
      </c>
      <c r="M970" s="13">
        <v>8003453139015</v>
      </c>
      <c r="N970" s="14">
        <v>0.25</v>
      </c>
      <c r="O970" s="14">
        <v>0.315</v>
      </c>
      <c r="P970" s="15" t="s">
        <v>35</v>
      </c>
      <c r="Q970" s="16" t="s">
        <v>6041</v>
      </c>
      <c r="R970" s="17" t="s">
        <v>35</v>
      </c>
      <c r="S970" s="17" t="s">
        <v>6042</v>
      </c>
      <c r="T970" s="17" t="s">
        <v>6043</v>
      </c>
      <c r="U970" s="17" t="s">
        <v>6044</v>
      </c>
      <c r="V970" s="17" t="s">
        <v>6045</v>
      </c>
      <c r="W970" s="17" t="s">
        <v>6046</v>
      </c>
      <c r="X970" s="17" t="s">
        <v>35</v>
      </c>
      <c r="Y970" s="17" t="s">
        <v>6047</v>
      </c>
      <c r="Z970" s="17" t="s">
        <v>35</v>
      </c>
      <c r="AA970" s="17" t="s">
        <v>35</v>
      </c>
      <c r="AB970" s="17" t="s">
        <v>35</v>
      </c>
      <c r="AC970" s="17" t="s">
        <v>9539</v>
      </c>
      <c r="AD970" s="42">
        <v>46.02</v>
      </c>
      <c r="AE970" s="42">
        <v>48.41</v>
      </c>
      <c r="AF970" s="48"/>
      <c r="AG970" s="44"/>
      <c r="AH970" s="7">
        <f t="shared" si="15"/>
        <v>0</v>
      </c>
      <c r="AI970" s="18"/>
      <c r="AJ970" s="18"/>
    </row>
    <row r="971" spans="1:38" ht="26.65" customHeight="1" x14ac:dyDescent="0.25">
      <c r="A971" s="10" t="s">
        <v>6048</v>
      </c>
      <c r="B971" s="9" t="s">
        <v>3030</v>
      </c>
      <c r="C971" s="9" t="s">
        <v>43</v>
      </c>
      <c r="D971" s="9" t="s">
        <v>3031</v>
      </c>
      <c r="E971" s="9" t="s">
        <v>35</v>
      </c>
      <c r="F971" s="9" t="s">
        <v>36</v>
      </c>
      <c r="G971" s="9">
        <v>5</v>
      </c>
      <c r="H971" s="9">
        <v>84219999</v>
      </c>
      <c r="I971" s="11" t="s">
        <v>37</v>
      </c>
      <c r="J971" s="12">
        <v>1.6500000000000001E-2</v>
      </c>
      <c r="K971" s="12">
        <v>7.5999999999999998E-2</v>
      </c>
      <c r="L971" s="12">
        <v>5.1999999999999998E-2</v>
      </c>
      <c r="M971" s="13">
        <v>8003453139022</v>
      </c>
      <c r="N971" s="14">
        <v>0.22</v>
      </c>
      <c r="O971" s="14">
        <v>0.31</v>
      </c>
      <c r="P971" s="15" t="s">
        <v>35</v>
      </c>
      <c r="Q971" s="16" t="s">
        <v>6049</v>
      </c>
      <c r="R971" s="17">
        <v>96950990</v>
      </c>
      <c r="S971" s="17" t="s">
        <v>6050</v>
      </c>
      <c r="T971" s="17" t="s">
        <v>6051</v>
      </c>
      <c r="U971" s="17" t="s">
        <v>6052</v>
      </c>
      <c r="V971" s="17" t="s">
        <v>6053</v>
      </c>
      <c r="W971" s="17" t="s">
        <v>6054</v>
      </c>
      <c r="X971" s="17" t="s">
        <v>6055</v>
      </c>
      <c r="Y971" s="17" t="s">
        <v>6056</v>
      </c>
      <c r="Z971" s="17" t="s">
        <v>35</v>
      </c>
      <c r="AA971" s="17" t="s">
        <v>35</v>
      </c>
      <c r="AB971" s="17" t="s">
        <v>35</v>
      </c>
      <c r="AC971" s="17" t="s">
        <v>9539</v>
      </c>
      <c r="AD971" s="42">
        <v>16.91</v>
      </c>
      <c r="AE971" s="42">
        <v>17.79</v>
      </c>
      <c r="AF971" s="48"/>
      <c r="AG971" s="44"/>
      <c r="AH971" s="7">
        <f t="shared" si="15"/>
        <v>0</v>
      </c>
      <c r="AI971" s="18"/>
      <c r="AJ971" s="18"/>
    </row>
    <row r="972" spans="1:38" ht="26.65" customHeight="1" x14ac:dyDescent="0.25">
      <c r="A972" s="10" t="s">
        <v>6057</v>
      </c>
      <c r="B972" s="9" t="s">
        <v>3030</v>
      </c>
      <c r="C972" s="9" t="s">
        <v>43</v>
      </c>
      <c r="D972" s="9" t="s">
        <v>3031</v>
      </c>
      <c r="E972" s="9" t="s">
        <v>35</v>
      </c>
      <c r="F972" s="9" t="s">
        <v>36</v>
      </c>
      <c r="G972" s="9">
        <v>5</v>
      </c>
      <c r="H972" s="9">
        <v>84219999</v>
      </c>
      <c r="I972" s="11" t="s">
        <v>37</v>
      </c>
      <c r="J972" s="12">
        <v>1.6500000000000001E-2</v>
      </c>
      <c r="K972" s="12">
        <v>7.5999999999999998E-2</v>
      </c>
      <c r="L972" s="12">
        <v>5.1999999999999998E-2</v>
      </c>
      <c r="M972" s="13">
        <v>8003453139046</v>
      </c>
      <c r="N972" s="14">
        <v>0.32700000000000001</v>
      </c>
      <c r="O972" s="14">
        <v>0.42</v>
      </c>
      <c r="P972" s="15" t="s">
        <v>35</v>
      </c>
      <c r="Q972" s="16" t="s">
        <v>6058</v>
      </c>
      <c r="R972" s="17" t="s">
        <v>35</v>
      </c>
      <c r="S972" s="17" t="s">
        <v>6059</v>
      </c>
      <c r="T972" s="17" t="s">
        <v>6060</v>
      </c>
      <c r="U972" s="17" t="s">
        <v>35</v>
      </c>
      <c r="V972" s="17" t="s">
        <v>6061</v>
      </c>
      <c r="W972" s="17" t="s">
        <v>6062</v>
      </c>
      <c r="X972" s="17" t="s">
        <v>6063</v>
      </c>
      <c r="Y972" s="17" t="s">
        <v>6064</v>
      </c>
      <c r="Z972" s="17" t="s">
        <v>35</v>
      </c>
      <c r="AA972" s="17" t="s">
        <v>35</v>
      </c>
      <c r="AB972" s="17" t="s">
        <v>35</v>
      </c>
      <c r="AC972" s="17" t="s">
        <v>9539</v>
      </c>
      <c r="AD972" s="42">
        <v>20.87</v>
      </c>
      <c r="AE972" s="42">
        <v>21.96</v>
      </c>
      <c r="AF972" s="48"/>
      <c r="AG972" s="44"/>
      <c r="AH972" s="7">
        <f t="shared" si="15"/>
        <v>0</v>
      </c>
      <c r="AI972" s="18"/>
      <c r="AJ972" s="18"/>
    </row>
    <row r="973" spans="1:38" ht="26.65" customHeight="1" x14ac:dyDescent="0.25">
      <c r="A973" s="10" t="s">
        <v>6065</v>
      </c>
      <c r="B973" s="9" t="s">
        <v>3030</v>
      </c>
      <c r="C973" s="9" t="s">
        <v>43</v>
      </c>
      <c r="D973" s="9" t="s">
        <v>3031</v>
      </c>
      <c r="E973" s="9" t="s">
        <v>35</v>
      </c>
      <c r="F973" s="9" t="s">
        <v>36</v>
      </c>
      <c r="G973" s="9">
        <v>5</v>
      </c>
      <c r="H973" s="9">
        <v>84219999</v>
      </c>
      <c r="I973" s="11" t="s">
        <v>37</v>
      </c>
      <c r="J973" s="12">
        <v>1.6500000000000001E-2</v>
      </c>
      <c r="K973" s="12">
        <v>7.5999999999999998E-2</v>
      </c>
      <c r="L973" s="12">
        <v>5.1999999999999998E-2</v>
      </c>
      <c r="M973" s="13">
        <v>8003453139053</v>
      </c>
      <c r="N973" s="14">
        <v>0.184</v>
      </c>
      <c r="O973" s="14">
        <v>0.253</v>
      </c>
      <c r="P973" s="15">
        <v>44531</v>
      </c>
      <c r="Q973" s="16" t="s">
        <v>6066</v>
      </c>
      <c r="R973" s="17" t="s">
        <v>6067</v>
      </c>
      <c r="S973" s="17" t="s">
        <v>6068</v>
      </c>
      <c r="T973" s="17" t="s">
        <v>6069</v>
      </c>
      <c r="U973" s="17" t="s">
        <v>6070</v>
      </c>
      <c r="V973" s="17" t="s">
        <v>35</v>
      </c>
      <c r="W973" s="17" t="s">
        <v>35</v>
      </c>
      <c r="X973" s="17" t="s">
        <v>6071</v>
      </c>
      <c r="Y973" s="17" t="s">
        <v>6072</v>
      </c>
      <c r="Z973" s="17" t="s">
        <v>35</v>
      </c>
      <c r="AA973" s="17" t="s">
        <v>35</v>
      </c>
      <c r="AB973" s="17" t="s">
        <v>35</v>
      </c>
      <c r="AC973" s="17" t="s">
        <v>9539</v>
      </c>
      <c r="AD973" s="41">
        <v>17.399999999999999</v>
      </c>
      <c r="AE973" s="41">
        <v>18.3</v>
      </c>
      <c r="AF973" s="48"/>
      <c r="AG973" s="44"/>
      <c r="AH973" s="7">
        <f t="shared" si="15"/>
        <v>0</v>
      </c>
      <c r="AI973" s="18"/>
      <c r="AJ973" s="18"/>
      <c r="AL973" s="18"/>
    </row>
    <row r="974" spans="1:38" ht="26.65" customHeight="1" x14ac:dyDescent="0.25">
      <c r="A974" s="10" t="s">
        <v>6073</v>
      </c>
      <c r="B974" s="9" t="s">
        <v>3030</v>
      </c>
      <c r="C974" s="9" t="s">
        <v>43</v>
      </c>
      <c r="D974" s="9" t="s">
        <v>3031</v>
      </c>
      <c r="E974" s="9" t="s">
        <v>35</v>
      </c>
      <c r="F974" s="9" t="s">
        <v>36</v>
      </c>
      <c r="G974" s="9">
        <v>5</v>
      </c>
      <c r="H974" s="9">
        <v>84219999</v>
      </c>
      <c r="I974" s="11" t="s">
        <v>37</v>
      </c>
      <c r="J974" s="12">
        <v>1.6500000000000001E-2</v>
      </c>
      <c r="K974" s="12">
        <v>7.5999999999999998E-2</v>
      </c>
      <c r="L974" s="12">
        <v>5.1999999999999998E-2</v>
      </c>
      <c r="M974" s="13">
        <v>8003453139152</v>
      </c>
      <c r="N974" s="14">
        <v>0.218</v>
      </c>
      <c r="O974" s="14">
        <v>0.27700000000000002</v>
      </c>
      <c r="P974" s="15" t="s">
        <v>35</v>
      </c>
      <c r="Q974" s="16" t="s">
        <v>6074</v>
      </c>
      <c r="R974" s="17" t="s">
        <v>6075</v>
      </c>
      <c r="S974" s="17" t="s">
        <v>6076</v>
      </c>
      <c r="T974" s="17" t="s">
        <v>6077</v>
      </c>
      <c r="U974" s="17" t="s">
        <v>35</v>
      </c>
      <c r="V974" s="17" t="s">
        <v>6078</v>
      </c>
      <c r="W974" s="17" t="s">
        <v>6079</v>
      </c>
      <c r="X974" s="17" t="s">
        <v>35</v>
      </c>
      <c r="Y974" s="17" t="s">
        <v>6080</v>
      </c>
      <c r="Z974" s="17" t="s">
        <v>35</v>
      </c>
      <c r="AA974" s="17" t="s">
        <v>35</v>
      </c>
      <c r="AB974" s="17" t="s">
        <v>35</v>
      </c>
      <c r="AC974" s="17" t="s">
        <v>9539</v>
      </c>
      <c r="AD974" s="41">
        <v>16.43</v>
      </c>
      <c r="AE974" s="41">
        <v>17.28</v>
      </c>
      <c r="AF974" s="48"/>
      <c r="AG974" s="44"/>
      <c r="AH974" s="7">
        <f t="shared" si="15"/>
        <v>0</v>
      </c>
      <c r="AI974" s="18"/>
      <c r="AJ974" s="18"/>
      <c r="AL974" s="18"/>
    </row>
    <row r="975" spans="1:38" ht="26.65" customHeight="1" x14ac:dyDescent="0.25">
      <c r="A975" s="10" t="s">
        <v>6081</v>
      </c>
      <c r="B975" s="9" t="s">
        <v>3030</v>
      </c>
      <c r="C975" s="9" t="s">
        <v>43</v>
      </c>
      <c r="D975" s="9" t="s">
        <v>3031</v>
      </c>
      <c r="E975" s="9" t="s">
        <v>35</v>
      </c>
      <c r="F975" s="9" t="s">
        <v>36</v>
      </c>
      <c r="G975" s="9">
        <v>5</v>
      </c>
      <c r="H975" s="9">
        <v>84219999</v>
      </c>
      <c r="I975" s="11" t="s">
        <v>37</v>
      </c>
      <c r="J975" s="12">
        <v>1.6500000000000001E-2</v>
      </c>
      <c r="K975" s="12">
        <v>7.5999999999999998E-2</v>
      </c>
      <c r="L975" s="12">
        <v>5.1999999999999998E-2</v>
      </c>
      <c r="M975" s="13">
        <v>8003453139183</v>
      </c>
      <c r="N975" s="14">
        <v>0.253</v>
      </c>
      <c r="O975" s="14">
        <v>0.34399999999999997</v>
      </c>
      <c r="P975" s="15" t="s">
        <v>35</v>
      </c>
      <c r="Q975" s="16" t="s">
        <v>6082</v>
      </c>
      <c r="R975" s="17">
        <v>13717601868</v>
      </c>
      <c r="S975" s="17" t="s">
        <v>6083</v>
      </c>
      <c r="T975" s="17" t="s">
        <v>6084</v>
      </c>
      <c r="U975" s="17" t="s">
        <v>6085</v>
      </c>
      <c r="V975" s="17" t="s">
        <v>35</v>
      </c>
      <c r="W975" s="17" t="s">
        <v>35</v>
      </c>
      <c r="X975" s="17" t="s">
        <v>6086</v>
      </c>
      <c r="Y975" s="17" t="s">
        <v>6087</v>
      </c>
      <c r="Z975" s="17" t="s">
        <v>35</v>
      </c>
      <c r="AA975" s="17" t="s">
        <v>35</v>
      </c>
      <c r="AB975" s="17" t="s">
        <v>35</v>
      </c>
      <c r="AC975" s="17" t="s">
        <v>9539</v>
      </c>
      <c r="AD975" s="42">
        <v>53</v>
      </c>
      <c r="AE975" s="42">
        <v>55.76</v>
      </c>
      <c r="AF975" s="48"/>
      <c r="AG975" s="44"/>
      <c r="AH975" s="7">
        <f t="shared" si="15"/>
        <v>0</v>
      </c>
      <c r="AI975" s="18"/>
      <c r="AJ975" s="18"/>
    </row>
    <row r="976" spans="1:38" ht="26.65" customHeight="1" x14ac:dyDescent="0.25">
      <c r="A976" s="10" t="s">
        <v>6088</v>
      </c>
      <c r="B976" s="9" t="s">
        <v>3030</v>
      </c>
      <c r="C976" s="9" t="s">
        <v>43</v>
      </c>
      <c r="D976" s="9" t="s">
        <v>3031</v>
      </c>
      <c r="E976" s="9" t="s">
        <v>35</v>
      </c>
      <c r="F976" s="9" t="s">
        <v>36</v>
      </c>
      <c r="G976" s="9">
        <v>5</v>
      </c>
      <c r="H976" s="9">
        <v>84219999</v>
      </c>
      <c r="I976" s="11" t="s">
        <v>37</v>
      </c>
      <c r="J976" s="12">
        <v>1.6500000000000001E-2</v>
      </c>
      <c r="K976" s="12">
        <v>7.5999999999999998E-2</v>
      </c>
      <c r="L976" s="12">
        <v>5.1999999999999998E-2</v>
      </c>
      <c r="M976" s="13">
        <v>8003453139206</v>
      </c>
      <c r="N976" s="14">
        <v>0.28299999999999997</v>
      </c>
      <c r="O976" s="14">
        <v>0.34399999999999997</v>
      </c>
      <c r="P976" s="15" t="s">
        <v>35</v>
      </c>
      <c r="Q976" s="16" t="s">
        <v>6089</v>
      </c>
      <c r="R976" s="17" t="s">
        <v>35</v>
      </c>
      <c r="S976" s="17" t="s">
        <v>6090</v>
      </c>
      <c r="T976" s="17" t="s">
        <v>6091</v>
      </c>
      <c r="U976" s="17" t="s">
        <v>6092</v>
      </c>
      <c r="V976" s="17" t="s">
        <v>35</v>
      </c>
      <c r="W976" s="17" t="s">
        <v>35</v>
      </c>
      <c r="X976" s="17" t="s">
        <v>6093</v>
      </c>
      <c r="Y976" s="17" t="s">
        <v>6094</v>
      </c>
      <c r="Z976" s="17" t="s">
        <v>35</v>
      </c>
      <c r="AA976" s="17" t="s">
        <v>35</v>
      </c>
      <c r="AB976" s="17" t="s">
        <v>35</v>
      </c>
      <c r="AC976" s="17" t="s">
        <v>9539</v>
      </c>
      <c r="AD976" s="42">
        <v>29.61</v>
      </c>
      <c r="AE976" s="42">
        <v>31.15</v>
      </c>
      <c r="AF976" s="48"/>
      <c r="AG976" s="44"/>
      <c r="AH976" s="7">
        <f t="shared" si="15"/>
        <v>0</v>
      </c>
      <c r="AI976" s="18"/>
      <c r="AJ976" s="18"/>
    </row>
    <row r="977" spans="1:38" ht="26.65" customHeight="1" x14ac:dyDescent="0.25">
      <c r="A977" s="10" t="s">
        <v>6095</v>
      </c>
      <c r="B977" s="9" t="s">
        <v>3030</v>
      </c>
      <c r="C977" s="9" t="s">
        <v>43</v>
      </c>
      <c r="D977" s="9" t="s">
        <v>3031</v>
      </c>
      <c r="E977" s="9" t="s">
        <v>35</v>
      </c>
      <c r="F977" s="9" t="s">
        <v>36</v>
      </c>
      <c r="G977" s="9">
        <v>5</v>
      </c>
      <c r="H977" s="9">
        <v>84219999</v>
      </c>
      <c r="I977" s="11" t="s">
        <v>37</v>
      </c>
      <c r="J977" s="12">
        <v>1.6500000000000001E-2</v>
      </c>
      <c r="K977" s="12">
        <v>7.5999999999999998E-2</v>
      </c>
      <c r="L977" s="12">
        <v>5.1999999999999998E-2</v>
      </c>
      <c r="M977" s="13">
        <v>8003453139213</v>
      </c>
      <c r="N977" s="14">
        <v>6.8000000000000005E-2</v>
      </c>
      <c r="O977" s="14">
        <v>0.11899999999999999</v>
      </c>
      <c r="P977" s="15">
        <v>44774</v>
      </c>
      <c r="Q977" s="16" t="s">
        <v>6096</v>
      </c>
      <c r="R977" s="17" t="s">
        <v>6097</v>
      </c>
      <c r="S977" s="17" t="s">
        <v>6098</v>
      </c>
      <c r="T977" s="17" t="s">
        <v>6099</v>
      </c>
      <c r="U977" s="17" t="s">
        <v>6100</v>
      </c>
      <c r="V977" s="17" t="s">
        <v>6101</v>
      </c>
      <c r="W977" s="17" t="s">
        <v>6102</v>
      </c>
      <c r="X977" s="17" t="s">
        <v>6103</v>
      </c>
      <c r="Y977" s="17" t="s">
        <v>6104</v>
      </c>
      <c r="Z977" s="17" t="s">
        <v>35</v>
      </c>
      <c r="AA977" s="17" t="s">
        <v>35</v>
      </c>
      <c r="AB977" s="17" t="s">
        <v>35</v>
      </c>
      <c r="AC977" s="17" t="s">
        <v>9539</v>
      </c>
      <c r="AD977" s="41">
        <v>19.350000000000001</v>
      </c>
      <c r="AE977" s="41">
        <v>20.36</v>
      </c>
      <c r="AF977" s="48"/>
      <c r="AG977" s="44"/>
      <c r="AH977" s="7">
        <f t="shared" si="15"/>
        <v>0</v>
      </c>
      <c r="AI977" s="18"/>
      <c r="AJ977" s="18"/>
      <c r="AL977" s="18"/>
    </row>
    <row r="978" spans="1:38" ht="26.65" customHeight="1" x14ac:dyDescent="0.25">
      <c r="A978" s="10" t="s">
        <v>6105</v>
      </c>
      <c r="B978" s="9" t="s">
        <v>3030</v>
      </c>
      <c r="C978" s="9" t="s">
        <v>43</v>
      </c>
      <c r="D978" s="9" t="s">
        <v>3031</v>
      </c>
      <c r="E978" s="9" t="s">
        <v>35</v>
      </c>
      <c r="F978" s="9" t="s">
        <v>36</v>
      </c>
      <c r="G978" s="9">
        <v>5</v>
      </c>
      <c r="H978" s="9">
        <v>84219999</v>
      </c>
      <c r="I978" s="11" t="s">
        <v>37</v>
      </c>
      <c r="J978" s="12">
        <v>1.6500000000000001E-2</v>
      </c>
      <c r="K978" s="12">
        <v>7.5999999999999998E-2</v>
      </c>
      <c r="L978" s="12">
        <v>5.1999999999999998E-2</v>
      </c>
      <c r="M978" s="13">
        <v>8003453139725</v>
      </c>
      <c r="N978" s="14">
        <v>0.17100000000000001</v>
      </c>
      <c r="O978" s="14">
        <v>0.24299999999999999</v>
      </c>
      <c r="P978" s="15" t="s">
        <v>35</v>
      </c>
      <c r="Q978" s="16" t="s">
        <v>6106</v>
      </c>
      <c r="R978" s="17" t="s">
        <v>35</v>
      </c>
      <c r="S978" s="17" t="s">
        <v>6107</v>
      </c>
      <c r="T978" s="17" t="s">
        <v>6108</v>
      </c>
      <c r="U978" s="17" t="s">
        <v>35</v>
      </c>
      <c r="V978" s="17" t="s">
        <v>6109</v>
      </c>
      <c r="W978" s="17" t="s">
        <v>6110</v>
      </c>
      <c r="X978" s="17" t="s">
        <v>6111</v>
      </c>
      <c r="Y978" s="17" t="s">
        <v>6112</v>
      </c>
      <c r="Z978" s="17" t="s">
        <v>35</v>
      </c>
      <c r="AA978" s="17" t="s">
        <v>35</v>
      </c>
      <c r="AB978" s="17" t="s">
        <v>35</v>
      </c>
      <c r="AC978" s="17" t="s">
        <v>9539</v>
      </c>
      <c r="AD978" s="41">
        <v>28.12</v>
      </c>
      <c r="AE978" s="41">
        <v>29.58</v>
      </c>
      <c r="AF978" s="48"/>
      <c r="AG978" s="44"/>
      <c r="AH978" s="7">
        <f t="shared" si="15"/>
        <v>0</v>
      </c>
      <c r="AI978" s="18"/>
      <c r="AJ978" s="18"/>
      <c r="AL978" s="18"/>
    </row>
    <row r="979" spans="1:38" ht="26.65" customHeight="1" x14ac:dyDescent="0.25">
      <c r="A979" s="10" t="s">
        <v>6113</v>
      </c>
      <c r="B979" s="9" t="s">
        <v>3030</v>
      </c>
      <c r="C979" s="9" t="s">
        <v>43</v>
      </c>
      <c r="D979" s="9" t="s">
        <v>3031</v>
      </c>
      <c r="E979" s="9" t="s">
        <v>35</v>
      </c>
      <c r="F979" s="9" t="s">
        <v>36</v>
      </c>
      <c r="G979" s="9">
        <v>5</v>
      </c>
      <c r="H979" s="9">
        <v>84219999</v>
      </c>
      <c r="I979" s="11" t="s">
        <v>37</v>
      </c>
      <c r="J979" s="12">
        <v>1.6500000000000001E-2</v>
      </c>
      <c r="K979" s="12">
        <v>7.5999999999999998E-2</v>
      </c>
      <c r="L979" s="12">
        <v>5.1999999999999998E-2</v>
      </c>
      <c r="M979" s="13">
        <v>8003453139251</v>
      </c>
      <c r="N979" s="14">
        <v>0.17299999999999999</v>
      </c>
      <c r="O979" s="14">
        <v>0.23400000000000001</v>
      </c>
      <c r="P979" s="15" t="s">
        <v>35</v>
      </c>
      <c r="Q979" s="16" t="s">
        <v>6114</v>
      </c>
      <c r="R979" s="17" t="s">
        <v>35</v>
      </c>
      <c r="S979" s="17" t="s">
        <v>6115</v>
      </c>
      <c r="T979" s="17" t="s">
        <v>6116</v>
      </c>
      <c r="U979" s="17" t="s">
        <v>6117</v>
      </c>
      <c r="V979" s="17" t="s">
        <v>35</v>
      </c>
      <c r="W979" s="17" t="s">
        <v>35</v>
      </c>
      <c r="X979" s="17" t="s">
        <v>6118</v>
      </c>
      <c r="Y979" s="17" t="s">
        <v>6119</v>
      </c>
      <c r="Z979" s="17" t="s">
        <v>35</v>
      </c>
      <c r="AA979" s="17" t="s">
        <v>35</v>
      </c>
      <c r="AB979" s="17" t="s">
        <v>35</v>
      </c>
      <c r="AC979" s="17" t="s">
        <v>9539</v>
      </c>
      <c r="AD979" s="41">
        <v>24.46</v>
      </c>
      <c r="AE979" s="41">
        <v>25.73</v>
      </c>
      <c r="AF979" s="48"/>
      <c r="AG979" s="44"/>
      <c r="AH979" s="7">
        <f t="shared" si="15"/>
        <v>0</v>
      </c>
      <c r="AI979" s="18"/>
      <c r="AJ979" s="18"/>
      <c r="AL979" s="18"/>
    </row>
    <row r="980" spans="1:38" ht="26.65" customHeight="1" x14ac:dyDescent="0.25">
      <c r="A980" s="10" t="s">
        <v>6120</v>
      </c>
      <c r="B980" s="9" t="s">
        <v>3030</v>
      </c>
      <c r="C980" s="9" t="s">
        <v>43</v>
      </c>
      <c r="D980" s="9" t="s">
        <v>3031</v>
      </c>
      <c r="E980" s="9" t="s">
        <v>35</v>
      </c>
      <c r="F980" s="9" t="s">
        <v>36</v>
      </c>
      <c r="G980" s="9">
        <v>5</v>
      </c>
      <c r="H980" s="9">
        <v>84219999</v>
      </c>
      <c r="I980" s="11" t="s">
        <v>37</v>
      </c>
      <c r="J980" s="12">
        <v>1.6500000000000001E-2</v>
      </c>
      <c r="K980" s="12">
        <v>7.5999999999999998E-2</v>
      </c>
      <c r="L980" s="12">
        <v>5.1999999999999998E-2</v>
      </c>
      <c r="M980" s="13">
        <v>8003453139275</v>
      </c>
      <c r="N980" s="14">
        <v>0.26200000000000001</v>
      </c>
      <c r="O980" s="14">
        <v>0.32500000000000001</v>
      </c>
      <c r="P980" s="15" t="s">
        <v>35</v>
      </c>
      <c r="Q980" s="16" t="s">
        <v>6121</v>
      </c>
      <c r="R980" s="17" t="s">
        <v>6122</v>
      </c>
      <c r="S980" s="17" t="s">
        <v>6123</v>
      </c>
      <c r="T980" s="17" t="s">
        <v>6124</v>
      </c>
      <c r="U980" s="17" t="s">
        <v>35</v>
      </c>
      <c r="V980" s="17" t="s">
        <v>6125</v>
      </c>
      <c r="W980" s="17" t="s">
        <v>6126</v>
      </c>
      <c r="X980" s="17" t="s">
        <v>6127</v>
      </c>
      <c r="Y980" s="17" t="s">
        <v>6128</v>
      </c>
      <c r="Z980" s="17" t="s">
        <v>35</v>
      </c>
      <c r="AA980" s="17" t="s">
        <v>35</v>
      </c>
      <c r="AB980" s="17" t="s">
        <v>35</v>
      </c>
      <c r="AC980" s="17" t="s">
        <v>9539</v>
      </c>
      <c r="AD980" s="41">
        <v>26.22</v>
      </c>
      <c r="AE980" s="41">
        <v>27.58</v>
      </c>
      <c r="AF980" s="48"/>
      <c r="AG980" s="44"/>
      <c r="AH980" s="7">
        <f t="shared" si="15"/>
        <v>0</v>
      </c>
      <c r="AI980" s="18"/>
      <c r="AJ980" s="18"/>
      <c r="AL980" s="18"/>
    </row>
    <row r="981" spans="1:38" ht="26.65" customHeight="1" x14ac:dyDescent="0.25">
      <c r="A981" s="10" t="s">
        <v>6129</v>
      </c>
      <c r="B981" s="9" t="s">
        <v>3030</v>
      </c>
      <c r="C981" s="9" t="s">
        <v>43</v>
      </c>
      <c r="D981" s="9" t="s">
        <v>3031</v>
      </c>
      <c r="E981" s="9" t="s">
        <v>35</v>
      </c>
      <c r="F981" s="9" t="s">
        <v>36</v>
      </c>
      <c r="G981" s="9">
        <v>5</v>
      </c>
      <c r="H981" s="9">
        <v>84219999</v>
      </c>
      <c r="I981" s="11" t="s">
        <v>37</v>
      </c>
      <c r="J981" s="12">
        <v>1.6500000000000001E-2</v>
      </c>
      <c r="K981" s="12">
        <v>7.5999999999999998E-2</v>
      </c>
      <c r="L981" s="12">
        <v>5.1999999999999998E-2</v>
      </c>
      <c r="M981" s="13">
        <v>8003453139305</v>
      </c>
      <c r="N981" s="14">
        <v>0.26600000000000001</v>
      </c>
      <c r="O981" s="14">
        <v>0.34899999999999998</v>
      </c>
      <c r="P981" s="15" t="s">
        <v>35</v>
      </c>
      <c r="Q981" s="16" t="s">
        <v>6130</v>
      </c>
      <c r="R981" s="17" t="s">
        <v>35</v>
      </c>
      <c r="S981" s="17" t="s">
        <v>6131</v>
      </c>
      <c r="T981" s="17" t="s">
        <v>6132</v>
      </c>
      <c r="U981" s="17" t="s">
        <v>6133</v>
      </c>
      <c r="V981" s="17" t="s">
        <v>6134</v>
      </c>
      <c r="W981" s="17" t="s">
        <v>35</v>
      </c>
      <c r="X981" s="17" t="s">
        <v>6135</v>
      </c>
      <c r="Y981" s="17" t="s">
        <v>6136</v>
      </c>
      <c r="Z981" s="17" t="s">
        <v>35</v>
      </c>
      <c r="AA981" s="17" t="s">
        <v>35</v>
      </c>
      <c r="AB981" s="17" t="s">
        <v>35</v>
      </c>
      <c r="AC981" s="17" t="s">
        <v>9539</v>
      </c>
      <c r="AD981" s="41">
        <v>58.18</v>
      </c>
      <c r="AE981" s="41">
        <v>61.21</v>
      </c>
      <c r="AF981" s="48"/>
      <c r="AG981" s="44"/>
      <c r="AH981" s="7">
        <f t="shared" si="15"/>
        <v>0</v>
      </c>
      <c r="AI981" s="18"/>
      <c r="AJ981" s="18"/>
      <c r="AL981" s="18"/>
    </row>
    <row r="982" spans="1:38" ht="26.65" customHeight="1" x14ac:dyDescent="0.25">
      <c r="A982" s="10" t="s">
        <v>6137</v>
      </c>
      <c r="B982" s="9" t="s">
        <v>3030</v>
      </c>
      <c r="C982" s="9" t="s">
        <v>43</v>
      </c>
      <c r="D982" s="9" t="s">
        <v>3306</v>
      </c>
      <c r="E982" s="9" t="s">
        <v>35</v>
      </c>
      <c r="F982" s="9" t="s">
        <v>36</v>
      </c>
      <c r="G982" s="9">
        <v>5</v>
      </c>
      <c r="H982" s="9">
        <v>84219999</v>
      </c>
      <c r="I982" s="11" t="s">
        <v>37</v>
      </c>
      <c r="J982" s="12">
        <v>1.6500000000000001E-2</v>
      </c>
      <c r="K982" s="12">
        <v>7.5999999999999998E-2</v>
      </c>
      <c r="L982" s="12">
        <v>5.1999999999999998E-2</v>
      </c>
      <c r="M982" s="13">
        <v>8003453139312</v>
      </c>
      <c r="N982" s="14">
        <v>0.32500000000000001</v>
      </c>
      <c r="O982" s="14">
        <v>0.41599999999999998</v>
      </c>
      <c r="P982" s="15">
        <v>44531</v>
      </c>
      <c r="Q982" s="16" t="s">
        <v>6138</v>
      </c>
      <c r="R982" s="17" t="s">
        <v>6139</v>
      </c>
      <c r="S982" s="17" t="s">
        <v>6140</v>
      </c>
      <c r="T982" s="17" t="s">
        <v>6132</v>
      </c>
      <c r="U982" s="17" t="s">
        <v>35</v>
      </c>
      <c r="V982" s="17" t="s">
        <v>6134</v>
      </c>
      <c r="W982" s="17" t="s">
        <v>6141</v>
      </c>
      <c r="X982" s="17" t="s">
        <v>35</v>
      </c>
      <c r="Y982" s="17" t="s">
        <v>6136</v>
      </c>
      <c r="Z982" s="17" t="s">
        <v>35</v>
      </c>
      <c r="AA982" s="17" t="s">
        <v>35</v>
      </c>
      <c r="AB982" s="17" t="s">
        <v>35</v>
      </c>
      <c r="AC982" s="17" t="s">
        <v>9539</v>
      </c>
      <c r="AD982" s="42">
        <v>67.7</v>
      </c>
      <c r="AE982" s="42">
        <v>71.22</v>
      </c>
      <c r="AF982" s="48"/>
      <c r="AG982" s="44"/>
      <c r="AH982" s="7">
        <f t="shared" si="15"/>
        <v>0</v>
      </c>
      <c r="AI982" s="18"/>
      <c r="AJ982" s="18"/>
    </row>
    <row r="983" spans="1:38" ht="26.65" customHeight="1" x14ac:dyDescent="0.25">
      <c r="A983" s="10" t="s">
        <v>10618</v>
      </c>
      <c r="B983" s="9" t="s">
        <v>3030</v>
      </c>
      <c r="C983" s="9" t="s">
        <v>43</v>
      </c>
      <c r="D983" s="9" t="s">
        <v>3306</v>
      </c>
      <c r="E983" s="9" t="s">
        <v>35</v>
      </c>
      <c r="F983" s="9" t="s">
        <v>36</v>
      </c>
      <c r="G983" s="9">
        <v>6</v>
      </c>
      <c r="H983" s="9">
        <v>84219999</v>
      </c>
      <c r="I983" s="11" t="s">
        <v>37</v>
      </c>
      <c r="J983" s="12">
        <v>1.6500000000000001E-2</v>
      </c>
      <c r="K983" s="12">
        <v>7.5999999999999998E-2</v>
      </c>
      <c r="L983" s="12">
        <v>5.1999999999999998E-2</v>
      </c>
      <c r="M983" s="13">
        <v>8003453139367</v>
      </c>
      <c r="N983" s="14">
        <v>0.52600000000000002</v>
      </c>
      <c r="O983" s="14">
        <v>0.71599999999999997</v>
      </c>
      <c r="P983" s="15">
        <v>45597</v>
      </c>
      <c r="Q983" s="16" t="s">
        <v>10619</v>
      </c>
      <c r="R983" s="17">
        <v>5801317096</v>
      </c>
      <c r="S983" s="17" t="s">
        <v>10620</v>
      </c>
      <c r="T983" s="17" t="s">
        <v>10621</v>
      </c>
      <c r="U983" s="17" t="s">
        <v>10622</v>
      </c>
      <c r="V983" s="17" t="s">
        <v>10623</v>
      </c>
      <c r="W983" s="17" t="s">
        <v>35</v>
      </c>
      <c r="X983" s="17" t="s">
        <v>10624</v>
      </c>
      <c r="Y983" s="17" t="s">
        <v>10625</v>
      </c>
      <c r="Z983" s="17" t="s">
        <v>35</v>
      </c>
      <c r="AA983" s="17" t="s">
        <v>35</v>
      </c>
      <c r="AB983" s="17" t="s">
        <v>35</v>
      </c>
      <c r="AC983" s="17" t="s">
        <v>9539</v>
      </c>
      <c r="AD983" s="41">
        <v>135.19</v>
      </c>
      <c r="AE983" s="41">
        <v>142.22</v>
      </c>
      <c r="AF983" s="48"/>
      <c r="AG983" s="44"/>
      <c r="AH983" s="7">
        <f t="shared" si="15"/>
        <v>0</v>
      </c>
      <c r="AI983" s="18"/>
      <c r="AJ983" s="18"/>
    </row>
    <row r="984" spans="1:38" ht="26.65" customHeight="1" x14ac:dyDescent="0.25">
      <c r="A984" s="10" t="s">
        <v>6142</v>
      </c>
      <c r="B984" s="9" t="s">
        <v>3030</v>
      </c>
      <c r="C984" s="9" t="s">
        <v>43</v>
      </c>
      <c r="D984" s="9" t="s">
        <v>3031</v>
      </c>
      <c r="E984" s="9" t="s">
        <v>35</v>
      </c>
      <c r="F984" s="9" t="s">
        <v>36</v>
      </c>
      <c r="G984" s="9">
        <v>5</v>
      </c>
      <c r="H984" s="9">
        <v>84219999</v>
      </c>
      <c r="I984" s="11" t="s">
        <v>37</v>
      </c>
      <c r="J984" s="12">
        <v>1.6500000000000001E-2</v>
      </c>
      <c r="K984" s="12">
        <v>7.5999999999999998E-2</v>
      </c>
      <c r="L984" s="12">
        <v>5.1999999999999998E-2</v>
      </c>
      <c r="M984" s="13">
        <v>8003453139374</v>
      </c>
      <c r="N984" s="14">
        <v>0.61</v>
      </c>
      <c r="O984" s="14">
        <v>0.8</v>
      </c>
      <c r="P984" s="15">
        <v>44805</v>
      </c>
      <c r="Q984" s="16" t="s">
        <v>6143</v>
      </c>
      <c r="R984" s="17" t="s">
        <v>6144</v>
      </c>
      <c r="S984" s="17" t="s">
        <v>6145</v>
      </c>
      <c r="T984" s="17" t="s">
        <v>6146</v>
      </c>
      <c r="U984" s="17" t="s">
        <v>35</v>
      </c>
      <c r="V984" s="17" t="s">
        <v>35</v>
      </c>
      <c r="W984" s="17" t="s">
        <v>35</v>
      </c>
      <c r="X984" s="17" t="s">
        <v>6147</v>
      </c>
      <c r="Y984" s="17" t="s">
        <v>6148</v>
      </c>
      <c r="Z984" s="17" t="s">
        <v>35</v>
      </c>
      <c r="AA984" s="17" t="s">
        <v>35</v>
      </c>
      <c r="AB984" s="17" t="s">
        <v>35</v>
      </c>
      <c r="AC984" s="17" t="s">
        <v>9539</v>
      </c>
      <c r="AD984" s="41">
        <v>81.209999999999994</v>
      </c>
      <c r="AE984" s="41">
        <v>85.43</v>
      </c>
      <c r="AF984" s="48"/>
      <c r="AG984" s="44"/>
      <c r="AH984" s="7">
        <f t="shared" si="15"/>
        <v>0</v>
      </c>
      <c r="AI984" s="18"/>
      <c r="AJ984" s="18"/>
    </row>
    <row r="985" spans="1:38" ht="26.65" customHeight="1" x14ac:dyDescent="0.25">
      <c r="A985" s="10" t="s">
        <v>6149</v>
      </c>
      <c r="B985" s="9" t="s">
        <v>3030</v>
      </c>
      <c r="C985" s="9" t="s">
        <v>43</v>
      </c>
      <c r="D985" s="9" t="s">
        <v>3031</v>
      </c>
      <c r="E985" s="9" t="s">
        <v>35</v>
      </c>
      <c r="F985" s="9" t="s">
        <v>36</v>
      </c>
      <c r="G985" s="9">
        <v>5</v>
      </c>
      <c r="H985" s="9">
        <v>84219999</v>
      </c>
      <c r="I985" s="11" t="s">
        <v>37</v>
      </c>
      <c r="J985" s="12">
        <v>1.6500000000000001E-2</v>
      </c>
      <c r="K985" s="12">
        <v>7.5999999999999998E-2</v>
      </c>
      <c r="L985" s="12">
        <v>5.1999999999999998E-2</v>
      </c>
      <c r="M985" s="13">
        <v>8003453139398</v>
      </c>
      <c r="N985" s="14">
        <v>0.13600000000000001</v>
      </c>
      <c r="O985" s="14">
        <v>0.17599999999999999</v>
      </c>
      <c r="P985" s="15" t="s">
        <v>35</v>
      </c>
      <c r="Q985" s="16" t="s">
        <v>6150</v>
      </c>
      <c r="R985" s="17" t="s">
        <v>6151</v>
      </c>
      <c r="S985" s="17" t="s">
        <v>6152</v>
      </c>
      <c r="T985" s="17" t="s">
        <v>6153</v>
      </c>
      <c r="U985" s="17" t="s">
        <v>35</v>
      </c>
      <c r="V985" s="17" t="s">
        <v>6154</v>
      </c>
      <c r="W985" s="17" t="s">
        <v>6155</v>
      </c>
      <c r="X985" s="17" t="s">
        <v>6156</v>
      </c>
      <c r="Y985" s="17" t="s">
        <v>6157</v>
      </c>
      <c r="Z985" s="17" t="s">
        <v>35</v>
      </c>
      <c r="AA985" s="17" t="s">
        <v>35</v>
      </c>
      <c r="AB985" s="17" t="s">
        <v>35</v>
      </c>
      <c r="AC985" s="17" t="s">
        <v>9539</v>
      </c>
      <c r="AD985" s="42">
        <v>15.99</v>
      </c>
      <c r="AE985" s="42">
        <v>16.82</v>
      </c>
      <c r="AF985" s="48"/>
      <c r="AG985" s="44"/>
      <c r="AH985" s="7">
        <f t="shared" si="15"/>
        <v>0</v>
      </c>
      <c r="AI985" s="18"/>
      <c r="AJ985" s="18"/>
    </row>
    <row r="986" spans="1:38" ht="26.65" customHeight="1" x14ac:dyDescent="0.25">
      <c r="A986" s="10" t="s">
        <v>6158</v>
      </c>
      <c r="B986" s="9" t="s">
        <v>3030</v>
      </c>
      <c r="C986" s="9" t="s">
        <v>43</v>
      </c>
      <c r="D986" s="9" t="s">
        <v>3031</v>
      </c>
      <c r="E986" s="9" t="s">
        <v>35</v>
      </c>
      <c r="F986" s="9" t="s">
        <v>36</v>
      </c>
      <c r="G986" s="9">
        <v>5</v>
      </c>
      <c r="H986" s="9">
        <v>84219999</v>
      </c>
      <c r="I986" s="11" t="s">
        <v>37</v>
      </c>
      <c r="J986" s="12">
        <v>1.6500000000000001E-2</v>
      </c>
      <c r="K986" s="12">
        <v>7.5999999999999998E-2</v>
      </c>
      <c r="L986" s="12">
        <v>5.1999999999999998E-2</v>
      </c>
      <c r="M986" s="13">
        <v>8003453139428</v>
      </c>
      <c r="N986" s="14">
        <v>0.25</v>
      </c>
      <c r="O986" s="14">
        <v>0.312</v>
      </c>
      <c r="P986" s="15" t="s">
        <v>35</v>
      </c>
      <c r="Q986" s="16" t="s">
        <v>6159</v>
      </c>
      <c r="R986" s="17" t="s">
        <v>6160</v>
      </c>
      <c r="S986" s="17" t="s">
        <v>6161</v>
      </c>
      <c r="T986" s="17" t="s">
        <v>6060</v>
      </c>
      <c r="U986" s="17" t="s">
        <v>35</v>
      </c>
      <c r="V986" s="17" t="s">
        <v>6162</v>
      </c>
      <c r="W986" s="17" t="s">
        <v>6163</v>
      </c>
      <c r="X986" s="17" t="s">
        <v>6063</v>
      </c>
      <c r="Y986" s="17" t="s">
        <v>6164</v>
      </c>
      <c r="Z986" s="17" t="s">
        <v>35</v>
      </c>
      <c r="AA986" s="17" t="s">
        <v>35</v>
      </c>
      <c r="AB986" s="17" t="s">
        <v>35</v>
      </c>
      <c r="AC986" s="17" t="s">
        <v>9539</v>
      </c>
      <c r="AD986" s="42">
        <v>22.37</v>
      </c>
      <c r="AE986" s="42">
        <v>23.53</v>
      </c>
      <c r="AF986" s="48"/>
      <c r="AG986" s="44"/>
      <c r="AH986" s="7">
        <f t="shared" si="15"/>
        <v>0</v>
      </c>
      <c r="AI986" s="18"/>
      <c r="AJ986" s="18"/>
    </row>
    <row r="987" spans="1:38" ht="26.65" customHeight="1" x14ac:dyDescent="0.25">
      <c r="A987" s="38" t="s">
        <v>6165</v>
      </c>
      <c r="B987" s="9" t="s">
        <v>3030</v>
      </c>
      <c r="C987" s="9" t="s">
        <v>43</v>
      </c>
      <c r="D987" s="9" t="s">
        <v>3031</v>
      </c>
      <c r="E987" s="9" t="s">
        <v>35</v>
      </c>
      <c r="F987" s="9" t="s">
        <v>36</v>
      </c>
      <c r="G987" s="9">
        <v>5</v>
      </c>
      <c r="H987" s="9">
        <v>84219999</v>
      </c>
      <c r="I987" s="11" t="s">
        <v>37</v>
      </c>
      <c r="J987" s="12">
        <v>1.6500000000000001E-2</v>
      </c>
      <c r="K987" s="12">
        <v>7.5999999999999998E-2</v>
      </c>
      <c r="L987" s="12">
        <v>5.1999999999999998E-2</v>
      </c>
      <c r="M987" s="13">
        <v>8003453139497</v>
      </c>
      <c r="N987" s="14">
        <v>0.14799999999999999</v>
      </c>
      <c r="O987" s="14">
        <v>0.22900000000000001</v>
      </c>
      <c r="P987" s="15" t="s">
        <v>35</v>
      </c>
      <c r="Q987" s="16" t="s">
        <v>2371</v>
      </c>
      <c r="R987" s="17" t="s">
        <v>35</v>
      </c>
      <c r="S987" s="17" t="s">
        <v>6166</v>
      </c>
      <c r="T987" s="17" t="s">
        <v>6167</v>
      </c>
      <c r="U987" s="17" t="s">
        <v>6168</v>
      </c>
      <c r="V987" s="17" t="s">
        <v>35</v>
      </c>
      <c r="W987" s="17" t="s">
        <v>35</v>
      </c>
      <c r="X987" s="17" t="s">
        <v>6169</v>
      </c>
      <c r="Y987" s="17" t="s">
        <v>6170</v>
      </c>
      <c r="Z987" s="17" t="s">
        <v>35</v>
      </c>
      <c r="AA987" s="17" t="s">
        <v>35</v>
      </c>
      <c r="AB987" s="17" t="s">
        <v>35</v>
      </c>
      <c r="AC987" s="17" t="s">
        <v>9538</v>
      </c>
      <c r="AD987" s="41">
        <v>15.87</v>
      </c>
      <c r="AE987" s="41">
        <v>16.7</v>
      </c>
      <c r="AF987" s="48"/>
      <c r="AG987" s="44"/>
      <c r="AH987" s="7">
        <f t="shared" si="15"/>
        <v>0</v>
      </c>
      <c r="AI987" s="18"/>
      <c r="AJ987" s="18"/>
      <c r="AL987" s="18"/>
    </row>
    <row r="988" spans="1:38" ht="26.65" customHeight="1" x14ac:dyDescent="0.25">
      <c r="A988" s="10" t="s">
        <v>6171</v>
      </c>
      <c r="B988" s="9" t="s">
        <v>3030</v>
      </c>
      <c r="C988" s="9" t="s">
        <v>43</v>
      </c>
      <c r="D988" s="9" t="s">
        <v>3031</v>
      </c>
      <c r="E988" s="9" t="s">
        <v>35</v>
      </c>
      <c r="F988" s="9" t="s">
        <v>36</v>
      </c>
      <c r="G988" s="9">
        <v>5</v>
      </c>
      <c r="H988" s="9">
        <v>84219999</v>
      </c>
      <c r="I988" s="11" t="s">
        <v>37</v>
      </c>
      <c r="J988" s="12">
        <v>1.6500000000000001E-2</v>
      </c>
      <c r="K988" s="12">
        <v>7.5999999999999998E-2</v>
      </c>
      <c r="L988" s="12">
        <v>5.1999999999999998E-2</v>
      </c>
      <c r="M988" s="13">
        <v>8003453139534</v>
      </c>
      <c r="N988" s="14">
        <v>0.51500000000000001</v>
      </c>
      <c r="O988" s="14">
        <v>0.60299999999999998</v>
      </c>
      <c r="P988" s="15" t="s">
        <v>35</v>
      </c>
      <c r="Q988" s="16" t="s">
        <v>6172</v>
      </c>
      <c r="R988" s="17" t="s">
        <v>35</v>
      </c>
      <c r="S988" s="17" t="s">
        <v>6173</v>
      </c>
      <c r="T988" s="17" t="s">
        <v>6174</v>
      </c>
      <c r="U988" s="17" t="s">
        <v>6175</v>
      </c>
      <c r="V988" s="17" t="s">
        <v>35</v>
      </c>
      <c r="W988" s="17" t="s">
        <v>35</v>
      </c>
      <c r="X988" s="17" t="s">
        <v>6176</v>
      </c>
      <c r="Y988" s="17" t="s">
        <v>6177</v>
      </c>
      <c r="Z988" s="17" t="s">
        <v>35</v>
      </c>
      <c r="AA988" s="17" t="s">
        <v>35</v>
      </c>
      <c r="AB988" s="17" t="s">
        <v>35</v>
      </c>
      <c r="AC988" s="17" t="s">
        <v>9539</v>
      </c>
      <c r="AD988" s="42">
        <v>100.4</v>
      </c>
      <c r="AE988" s="42">
        <v>105.62</v>
      </c>
      <c r="AF988" s="48"/>
      <c r="AG988" s="44"/>
      <c r="AH988" s="7">
        <f t="shared" si="15"/>
        <v>0</v>
      </c>
      <c r="AI988" s="18"/>
      <c r="AJ988" s="18"/>
    </row>
    <row r="989" spans="1:38" ht="26.65" customHeight="1" x14ac:dyDescent="0.25">
      <c r="A989" s="10" t="s">
        <v>6178</v>
      </c>
      <c r="B989" s="9" t="s">
        <v>3030</v>
      </c>
      <c r="C989" s="9" t="s">
        <v>43</v>
      </c>
      <c r="D989" s="9" t="s">
        <v>3031</v>
      </c>
      <c r="E989" s="9" t="s">
        <v>35</v>
      </c>
      <c r="F989" s="9" t="s">
        <v>36</v>
      </c>
      <c r="G989" s="9">
        <v>5</v>
      </c>
      <c r="H989" s="9">
        <v>84219999</v>
      </c>
      <c r="I989" s="11" t="s">
        <v>37</v>
      </c>
      <c r="J989" s="12">
        <v>1.6500000000000001E-2</v>
      </c>
      <c r="K989" s="12">
        <v>7.5999999999999998E-2</v>
      </c>
      <c r="L989" s="12">
        <v>5.1999999999999998E-2</v>
      </c>
      <c r="M989" s="13">
        <v>8003453139558</v>
      </c>
      <c r="N989" s="14">
        <v>0.23499999999999999</v>
      </c>
      <c r="O989" s="14">
        <v>0.32</v>
      </c>
      <c r="P989" s="15" t="s">
        <v>35</v>
      </c>
      <c r="Q989" s="16" t="s">
        <v>6179</v>
      </c>
      <c r="R989" s="17" t="s">
        <v>35</v>
      </c>
      <c r="S989" s="17" t="s">
        <v>6180</v>
      </c>
      <c r="T989" s="17" t="s">
        <v>6181</v>
      </c>
      <c r="U989" s="17" t="s">
        <v>6182</v>
      </c>
      <c r="V989" s="17" t="s">
        <v>35</v>
      </c>
      <c r="W989" s="17" t="s">
        <v>35</v>
      </c>
      <c r="X989" s="17" t="s">
        <v>35</v>
      </c>
      <c r="Y989" s="17" t="s">
        <v>6183</v>
      </c>
      <c r="Z989" s="17" t="s">
        <v>35</v>
      </c>
      <c r="AA989" s="17" t="s">
        <v>35</v>
      </c>
      <c r="AB989" s="17" t="s">
        <v>35</v>
      </c>
      <c r="AC989" s="17" t="s">
        <v>9539</v>
      </c>
      <c r="AD989" s="41">
        <v>87.92</v>
      </c>
      <c r="AE989" s="41">
        <v>92.49</v>
      </c>
      <c r="AF989" s="48"/>
      <c r="AG989" s="44"/>
      <c r="AH989" s="7">
        <f t="shared" si="15"/>
        <v>0</v>
      </c>
      <c r="AI989" s="18"/>
      <c r="AJ989" s="18"/>
      <c r="AL989" s="18"/>
    </row>
    <row r="990" spans="1:38" ht="26.65" customHeight="1" x14ac:dyDescent="0.25">
      <c r="A990" s="10" t="s">
        <v>6184</v>
      </c>
      <c r="B990" s="9" t="s">
        <v>3030</v>
      </c>
      <c r="C990" s="9" t="s">
        <v>43</v>
      </c>
      <c r="D990" s="9" t="s">
        <v>3031</v>
      </c>
      <c r="E990" s="9" t="s">
        <v>35</v>
      </c>
      <c r="F990" s="9" t="s">
        <v>36</v>
      </c>
      <c r="G990" s="9">
        <v>5</v>
      </c>
      <c r="H990" s="9">
        <v>84219999</v>
      </c>
      <c r="I990" s="11" t="s">
        <v>37</v>
      </c>
      <c r="J990" s="12">
        <v>1.6500000000000001E-2</v>
      </c>
      <c r="K990" s="12">
        <v>7.5999999999999998E-2</v>
      </c>
      <c r="L990" s="12">
        <v>5.1999999999999998E-2</v>
      </c>
      <c r="M990" s="13">
        <v>8003453139640</v>
      </c>
      <c r="N990" s="14">
        <v>0.21</v>
      </c>
      <c r="O990" s="14">
        <v>0.35799999999999998</v>
      </c>
      <c r="P990" s="15" t="s">
        <v>35</v>
      </c>
      <c r="Q990" s="16" t="s">
        <v>6185</v>
      </c>
      <c r="R990" s="17" t="s">
        <v>35</v>
      </c>
      <c r="S990" s="17" t="s">
        <v>6186</v>
      </c>
      <c r="T990" s="17" t="s">
        <v>6187</v>
      </c>
      <c r="U990" s="17" t="s">
        <v>35</v>
      </c>
      <c r="V990" s="17" t="s">
        <v>6188</v>
      </c>
      <c r="W990" s="17" t="s">
        <v>6189</v>
      </c>
      <c r="X990" s="17" t="s">
        <v>35</v>
      </c>
      <c r="Y990" s="17" t="s">
        <v>6190</v>
      </c>
      <c r="Z990" s="17" t="s">
        <v>35</v>
      </c>
      <c r="AA990" s="17" t="s">
        <v>35</v>
      </c>
      <c r="AB990" s="17" t="s">
        <v>35</v>
      </c>
      <c r="AC990" s="17" t="s">
        <v>9539</v>
      </c>
      <c r="AD990" s="42">
        <v>21.71</v>
      </c>
      <c r="AE990" s="42">
        <v>22.84</v>
      </c>
      <c r="AF990" s="48"/>
      <c r="AG990" s="44"/>
      <c r="AH990" s="7">
        <f t="shared" si="15"/>
        <v>0</v>
      </c>
      <c r="AI990" s="18"/>
      <c r="AJ990" s="18"/>
    </row>
    <row r="991" spans="1:38" ht="26.65" customHeight="1" x14ac:dyDescent="0.25">
      <c r="A991" s="10" t="s">
        <v>6191</v>
      </c>
      <c r="B991" s="9" t="s">
        <v>3030</v>
      </c>
      <c r="C991" s="9" t="s">
        <v>43</v>
      </c>
      <c r="D991" s="9" t="s">
        <v>3306</v>
      </c>
      <c r="E991" s="9" t="s">
        <v>35</v>
      </c>
      <c r="F991" s="9" t="s">
        <v>36</v>
      </c>
      <c r="G991" s="9">
        <v>5</v>
      </c>
      <c r="H991" s="9">
        <v>84219999</v>
      </c>
      <c r="I991" s="11" t="s">
        <v>37</v>
      </c>
      <c r="J991" s="12">
        <v>1.6500000000000001E-2</v>
      </c>
      <c r="K991" s="12">
        <v>7.5999999999999998E-2</v>
      </c>
      <c r="L991" s="12">
        <v>5.1999999999999998E-2</v>
      </c>
      <c r="M991" s="13">
        <v>8003453139664</v>
      </c>
      <c r="N991" s="14">
        <v>0.27</v>
      </c>
      <c r="O991" s="14">
        <v>0.35699999999999998</v>
      </c>
      <c r="P991" s="15">
        <v>44531</v>
      </c>
      <c r="Q991" s="16" t="s">
        <v>6192</v>
      </c>
      <c r="R991" s="17">
        <v>30745344</v>
      </c>
      <c r="S991" s="17" t="s">
        <v>35</v>
      </c>
      <c r="T991" s="17" t="s">
        <v>6193</v>
      </c>
      <c r="U991" s="17" t="s">
        <v>6194</v>
      </c>
      <c r="V991" s="17" t="s">
        <v>6195</v>
      </c>
      <c r="W991" s="17" t="s">
        <v>35</v>
      </c>
      <c r="X991" s="17" t="s">
        <v>6196</v>
      </c>
      <c r="Y991" s="17" t="s">
        <v>6197</v>
      </c>
      <c r="Z991" s="17" t="s">
        <v>35</v>
      </c>
      <c r="AA991" s="17" t="s">
        <v>35</v>
      </c>
      <c r="AB991" s="17" t="s">
        <v>35</v>
      </c>
      <c r="AC991" s="17" t="s">
        <v>9539</v>
      </c>
      <c r="AD991" s="42">
        <v>70.349999999999994</v>
      </c>
      <c r="AE991" s="42">
        <v>74.010000000000005</v>
      </c>
      <c r="AF991" s="48"/>
      <c r="AG991" s="44"/>
      <c r="AH991" s="7">
        <f t="shared" si="15"/>
        <v>0</v>
      </c>
      <c r="AI991" s="18"/>
      <c r="AJ991" s="18"/>
    </row>
    <row r="992" spans="1:38" ht="26.65" customHeight="1" x14ac:dyDescent="0.25">
      <c r="A992" s="10" t="s">
        <v>6198</v>
      </c>
      <c r="B992" s="9" t="s">
        <v>3030</v>
      </c>
      <c r="C992" s="9" t="s">
        <v>43</v>
      </c>
      <c r="D992" s="9" t="s">
        <v>3031</v>
      </c>
      <c r="E992" s="9" t="s">
        <v>35</v>
      </c>
      <c r="F992" s="9" t="s">
        <v>36</v>
      </c>
      <c r="G992" s="9">
        <v>5</v>
      </c>
      <c r="H992" s="9">
        <v>84219999</v>
      </c>
      <c r="I992" s="11" t="s">
        <v>37</v>
      </c>
      <c r="J992" s="12">
        <v>1.6500000000000001E-2</v>
      </c>
      <c r="K992" s="12">
        <v>7.5999999999999998E-2</v>
      </c>
      <c r="L992" s="12">
        <v>5.1999999999999998E-2</v>
      </c>
      <c r="M992" s="13">
        <v>8003453139671</v>
      </c>
      <c r="N992" s="14">
        <v>0.18</v>
      </c>
      <c r="O992" s="14">
        <v>0.26200000000000001</v>
      </c>
      <c r="P992" s="15" t="s">
        <v>35</v>
      </c>
      <c r="Q992" s="16" t="s">
        <v>5851</v>
      </c>
      <c r="R992" s="17">
        <v>7701071327</v>
      </c>
      <c r="S992" s="17" t="s">
        <v>6199</v>
      </c>
      <c r="T992" s="17" t="s">
        <v>6200</v>
      </c>
      <c r="U992" s="17" t="s">
        <v>35</v>
      </c>
      <c r="V992" s="17" t="s">
        <v>6201</v>
      </c>
      <c r="W992" s="17" t="s">
        <v>6202</v>
      </c>
      <c r="X992" s="17" t="s">
        <v>6203</v>
      </c>
      <c r="Y992" s="17" t="s">
        <v>6204</v>
      </c>
      <c r="Z992" s="17" t="s">
        <v>35</v>
      </c>
      <c r="AA992" s="17" t="s">
        <v>35</v>
      </c>
      <c r="AB992" s="17" t="s">
        <v>35</v>
      </c>
      <c r="AC992" s="17" t="s">
        <v>9539</v>
      </c>
      <c r="AD992" s="42">
        <v>21.34</v>
      </c>
      <c r="AE992" s="42">
        <v>22.45</v>
      </c>
      <c r="AF992" s="48"/>
      <c r="AG992" s="44"/>
      <c r="AH992" s="7">
        <f t="shared" si="15"/>
        <v>0</v>
      </c>
      <c r="AI992" s="18"/>
      <c r="AJ992" s="18"/>
    </row>
    <row r="993" spans="1:38" ht="26.65" customHeight="1" x14ac:dyDescent="0.25">
      <c r="A993" s="10" t="s">
        <v>9256</v>
      </c>
      <c r="B993" s="9" t="s">
        <v>3056</v>
      </c>
      <c r="C993" s="9" t="s">
        <v>43</v>
      </c>
      <c r="D993" s="9" t="s">
        <v>3031</v>
      </c>
      <c r="E993" s="9" t="s">
        <v>35</v>
      </c>
      <c r="F993" s="9" t="s">
        <v>36</v>
      </c>
      <c r="G993" s="9">
        <v>5</v>
      </c>
      <c r="H993" s="9">
        <v>84219999</v>
      </c>
      <c r="I993" s="11" t="s">
        <v>37</v>
      </c>
      <c r="J993" s="12">
        <v>1.6500000000000001E-2</v>
      </c>
      <c r="K993" s="12">
        <v>7.5999999999999998E-2</v>
      </c>
      <c r="L993" s="12">
        <v>5.1999999999999998E-2</v>
      </c>
      <c r="M993" s="13">
        <v>8003453139909</v>
      </c>
      <c r="N993" s="14">
        <v>9.240000000000001E-2</v>
      </c>
      <c r="O993" s="14">
        <v>0.1157</v>
      </c>
      <c r="P993" s="15">
        <v>45413</v>
      </c>
      <c r="Q993" s="16" t="s">
        <v>9257</v>
      </c>
      <c r="R993" s="17" t="s">
        <v>9258</v>
      </c>
      <c r="S993" s="17" t="s">
        <v>35</v>
      </c>
      <c r="T993" s="17" t="s">
        <v>35</v>
      </c>
      <c r="U993" s="17" t="s">
        <v>35</v>
      </c>
      <c r="V993" s="17" t="s">
        <v>35</v>
      </c>
      <c r="W993" s="17" t="s">
        <v>35</v>
      </c>
      <c r="X993" s="17" t="s">
        <v>9259</v>
      </c>
      <c r="Y993" s="17" t="s">
        <v>35</v>
      </c>
      <c r="Z993" s="17" t="s">
        <v>35</v>
      </c>
      <c r="AA993" s="17" t="s">
        <v>35</v>
      </c>
      <c r="AB993" s="17" t="s">
        <v>35</v>
      </c>
      <c r="AC993" s="17" t="s">
        <v>9539</v>
      </c>
      <c r="AD993" s="42">
        <v>77.099999999999994</v>
      </c>
      <c r="AE993" s="42">
        <v>81.11</v>
      </c>
      <c r="AF993" s="48"/>
      <c r="AG993" s="44"/>
      <c r="AH993" s="7">
        <f t="shared" si="15"/>
        <v>0</v>
      </c>
      <c r="AI993" s="18"/>
      <c r="AJ993" s="18"/>
    </row>
    <row r="994" spans="1:38" ht="26.65" customHeight="1" x14ac:dyDescent="0.25">
      <c r="A994" s="10" t="s">
        <v>9260</v>
      </c>
      <c r="B994" s="9" t="s">
        <v>3056</v>
      </c>
      <c r="C994" s="9" t="s">
        <v>43</v>
      </c>
      <c r="D994" s="9" t="s">
        <v>3031</v>
      </c>
      <c r="E994" s="9" t="s">
        <v>35</v>
      </c>
      <c r="F994" s="9" t="s">
        <v>36</v>
      </c>
      <c r="G994" s="9">
        <v>5</v>
      </c>
      <c r="H994" s="9">
        <v>84219999</v>
      </c>
      <c r="I994" s="11" t="s">
        <v>37</v>
      </c>
      <c r="J994" s="12">
        <v>1.6500000000000001E-2</v>
      </c>
      <c r="K994" s="12">
        <v>7.5999999999999998E-2</v>
      </c>
      <c r="L994" s="12">
        <v>5.1999999999999998E-2</v>
      </c>
      <c r="M994" s="13">
        <v>8003453139916</v>
      </c>
      <c r="N994" s="14">
        <v>9.240000000000001E-2</v>
      </c>
      <c r="O994" s="14">
        <v>0.1157</v>
      </c>
      <c r="P994" s="15">
        <v>45413</v>
      </c>
      <c r="Q994" s="16" t="s">
        <v>9257</v>
      </c>
      <c r="R994" s="17" t="s">
        <v>9261</v>
      </c>
      <c r="S994" s="17" t="s">
        <v>35</v>
      </c>
      <c r="T994" s="17" t="s">
        <v>35</v>
      </c>
      <c r="U994" s="17" t="s">
        <v>35</v>
      </c>
      <c r="V994" s="17" t="s">
        <v>35</v>
      </c>
      <c r="W994" s="17" t="s">
        <v>35</v>
      </c>
      <c r="X994" s="17" t="s">
        <v>35</v>
      </c>
      <c r="Y994" s="17" t="s">
        <v>35</v>
      </c>
      <c r="Z994" s="17" t="s">
        <v>35</v>
      </c>
      <c r="AA994" s="17" t="s">
        <v>35</v>
      </c>
      <c r="AB994" s="17" t="s">
        <v>35</v>
      </c>
      <c r="AC994" s="17" t="s">
        <v>9539</v>
      </c>
      <c r="AD994" s="42">
        <v>77.099999999999994</v>
      </c>
      <c r="AE994" s="42">
        <v>81.11</v>
      </c>
      <c r="AF994" s="48"/>
      <c r="AG994" s="44"/>
      <c r="AH994" s="7">
        <f t="shared" si="15"/>
        <v>0</v>
      </c>
      <c r="AI994" s="18"/>
      <c r="AJ994" s="18"/>
    </row>
    <row r="995" spans="1:38" ht="26.65" customHeight="1" x14ac:dyDescent="0.25">
      <c r="A995" s="10" t="s">
        <v>6205</v>
      </c>
      <c r="B995" s="9" t="s">
        <v>3030</v>
      </c>
      <c r="C995" s="9" t="s">
        <v>43</v>
      </c>
      <c r="D995" s="9" t="s">
        <v>3306</v>
      </c>
      <c r="E995" s="9" t="s">
        <v>35</v>
      </c>
      <c r="F995" s="9" t="s">
        <v>36</v>
      </c>
      <c r="G995" s="9">
        <v>5</v>
      </c>
      <c r="H995" s="9">
        <v>84219999</v>
      </c>
      <c r="I995" s="11" t="s">
        <v>37</v>
      </c>
      <c r="J995" s="12">
        <v>1.6500000000000001E-2</v>
      </c>
      <c r="K995" s="12">
        <v>7.5999999999999998E-2</v>
      </c>
      <c r="L995" s="12">
        <v>5.1999999999999998E-2</v>
      </c>
      <c r="M995" s="13">
        <v>8003453139732</v>
      </c>
      <c r="N995" s="14">
        <v>0.114</v>
      </c>
      <c r="O995" s="14">
        <v>0.188</v>
      </c>
      <c r="P995" s="15">
        <v>44501</v>
      </c>
      <c r="Q995" s="16" t="s">
        <v>6206</v>
      </c>
      <c r="R995" s="17" t="s">
        <v>6207</v>
      </c>
      <c r="S995" s="17" t="s">
        <v>6208</v>
      </c>
      <c r="T995" s="17" t="s">
        <v>6209</v>
      </c>
      <c r="U995" s="17" t="s">
        <v>35</v>
      </c>
      <c r="V995" s="17" t="s">
        <v>6210</v>
      </c>
      <c r="W995" s="17" t="s">
        <v>35</v>
      </c>
      <c r="X995" s="17" t="s">
        <v>35</v>
      </c>
      <c r="Y995" s="17" t="s">
        <v>6211</v>
      </c>
      <c r="Z995" s="17" t="s">
        <v>35</v>
      </c>
      <c r="AA995" s="17" t="s">
        <v>35</v>
      </c>
      <c r="AB995" s="17" t="s">
        <v>35</v>
      </c>
      <c r="AC995" s="17" t="s">
        <v>9539</v>
      </c>
      <c r="AD995" s="42">
        <v>33.36</v>
      </c>
      <c r="AE995" s="42">
        <v>35.090000000000003</v>
      </c>
      <c r="AF995" s="48"/>
      <c r="AG995" s="44"/>
      <c r="AH995" s="7">
        <f t="shared" si="15"/>
        <v>0</v>
      </c>
      <c r="AI995" s="18"/>
      <c r="AJ995" s="18"/>
    </row>
    <row r="996" spans="1:38" ht="26.65" customHeight="1" x14ac:dyDescent="0.25">
      <c r="A996" s="10" t="s">
        <v>6212</v>
      </c>
      <c r="B996" s="9" t="s">
        <v>3030</v>
      </c>
      <c r="C996" s="9" t="s">
        <v>43</v>
      </c>
      <c r="D996" s="9" t="s">
        <v>3031</v>
      </c>
      <c r="E996" s="9" t="s">
        <v>35</v>
      </c>
      <c r="F996" s="9" t="s">
        <v>36</v>
      </c>
      <c r="G996" s="9">
        <v>5</v>
      </c>
      <c r="H996" s="9">
        <v>84219999</v>
      </c>
      <c r="I996" s="11" t="s">
        <v>37</v>
      </c>
      <c r="J996" s="12">
        <v>1.6500000000000001E-2</v>
      </c>
      <c r="K996" s="12">
        <v>7.5999999999999998E-2</v>
      </c>
      <c r="L996" s="12">
        <v>5.1999999999999998E-2</v>
      </c>
      <c r="M996" s="13">
        <v>8003453139756</v>
      </c>
      <c r="N996" s="14">
        <v>0.2</v>
      </c>
      <c r="O996" s="14">
        <v>0.32100000000000001</v>
      </c>
      <c r="P996" s="15" t="s">
        <v>35</v>
      </c>
      <c r="Q996" s="16" t="s">
        <v>6213</v>
      </c>
      <c r="R996" s="17" t="s">
        <v>35</v>
      </c>
      <c r="S996" s="17" t="s">
        <v>6214</v>
      </c>
      <c r="T996" s="17" t="s">
        <v>6215</v>
      </c>
      <c r="U996" s="17" t="s">
        <v>6216</v>
      </c>
      <c r="V996" s="17" t="s">
        <v>6217</v>
      </c>
      <c r="W996" s="17" t="s">
        <v>35</v>
      </c>
      <c r="X996" s="17" t="s">
        <v>6218</v>
      </c>
      <c r="Y996" s="17" t="s">
        <v>6219</v>
      </c>
      <c r="Z996" s="17" t="s">
        <v>35</v>
      </c>
      <c r="AA996" s="17" t="s">
        <v>35</v>
      </c>
      <c r="AB996" s="17" t="s">
        <v>35</v>
      </c>
      <c r="AC996" s="17" t="s">
        <v>9539</v>
      </c>
      <c r="AD996" s="42">
        <v>39.26</v>
      </c>
      <c r="AE996" s="42">
        <v>41.3</v>
      </c>
      <c r="AF996" s="48"/>
      <c r="AG996" s="44"/>
      <c r="AH996" s="7">
        <f t="shared" si="15"/>
        <v>0</v>
      </c>
      <c r="AI996" s="18"/>
      <c r="AJ996" s="18"/>
    </row>
    <row r="997" spans="1:38" ht="26.65" customHeight="1" x14ac:dyDescent="0.25">
      <c r="A997" s="10" t="s">
        <v>6220</v>
      </c>
      <c r="B997" s="9" t="s">
        <v>3030</v>
      </c>
      <c r="C997" s="9" t="s">
        <v>43</v>
      </c>
      <c r="D997" s="9" t="s">
        <v>3031</v>
      </c>
      <c r="E997" s="9" t="s">
        <v>35</v>
      </c>
      <c r="F997" s="9" t="s">
        <v>36</v>
      </c>
      <c r="G997" s="9">
        <v>5</v>
      </c>
      <c r="H997" s="9">
        <v>84219999</v>
      </c>
      <c r="I997" s="11" t="s">
        <v>37</v>
      </c>
      <c r="J997" s="12">
        <v>1.6500000000000001E-2</v>
      </c>
      <c r="K997" s="12">
        <v>7.5999999999999998E-2</v>
      </c>
      <c r="L997" s="12">
        <v>5.1999999999999998E-2</v>
      </c>
      <c r="M997" s="13">
        <v>8003453139770</v>
      </c>
      <c r="N997" s="14">
        <v>0.107</v>
      </c>
      <c r="O997" s="14">
        <v>0.16600000000000001</v>
      </c>
      <c r="P997" s="15" t="s">
        <v>35</v>
      </c>
      <c r="Q997" s="16" t="s">
        <v>6221</v>
      </c>
      <c r="R997" s="17" t="s">
        <v>35</v>
      </c>
      <c r="S997" s="17" t="s">
        <v>6222</v>
      </c>
      <c r="T997" s="17" t="s">
        <v>6223</v>
      </c>
      <c r="U997" s="17" t="s">
        <v>6224</v>
      </c>
      <c r="V997" s="17" t="s">
        <v>6225</v>
      </c>
      <c r="W997" s="17" t="s">
        <v>6226</v>
      </c>
      <c r="X997" s="17" t="s">
        <v>6227</v>
      </c>
      <c r="Y997" s="17" t="s">
        <v>6228</v>
      </c>
      <c r="Z997" s="17" t="s">
        <v>35</v>
      </c>
      <c r="AA997" s="17" t="s">
        <v>35</v>
      </c>
      <c r="AB997" s="17" t="s">
        <v>35</v>
      </c>
      <c r="AC997" s="17" t="s">
        <v>9539</v>
      </c>
      <c r="AD997" s="42">
        <v>10.59</v>
      </c>
      <c r="AE997" s="42">
        <v>11.14</v>
      </c>
      <c r="AF997" s="48"/>
      <c r="AG997" s="44"/>
      <c r="AH997" s="7">
        <f t="shared" si="15"/>
        <v>0</v>
      </c>
      <c r="AI997" s="18"/>
      <c r="AJ997" s="18"/>
    </row>
    <row r="998" spans="1:38" ht="26.65" customHeight="1" x14ac:dyDescent="0.25">
      <c r="A998" s="10" t="s">
        <v>6229</v>
      </c>
      <c r="B998" s="9" t="s">
        <v>3030</v>
      </c>
      <c r="C998" s="9" t="s">
        <v>43</v>
      </c>
      <c r="D998" s="9" t="s">
        <v>3031</v>
      </c>
      <c r="E998" s="9" t="s">
        <v>35</v>
      </c>
      <c r="F998" s="9" t="s">
        <v>36</v>
      </c>
      <c r="G998" s="9">
        <v>5</v>
      </c>
      <c r="H998" s="9">
        <v>84219999</v>
      </c>
      <c r="I998" s="11" t="s">
        <v>37</v>
      </c>
      <c r="J998" s="12">
        <v>1.6500000000000001E-2</v>
      </c>
      <c r="K998" s="12">
        <v>7.5999999999999998E-2</v>
      </c>
      <c r="L998" s="12">
        <v>5.1999999999999998E-2</v>
      </c>
      <c r="M998" s="13">
        <v>8003453139855</v>
      </c>
      <c r="N998" s="14">
        <v>0.315</v>
      </c>
      <c r="O998" s="14">
        <v>0.42599999999999999</v>
      </c>
      <c r="P998" s="15">
        <v>44868</v>
      </c>
      <c r="Q998" s="16" t="s">
        <v>6230</v>
      </c>
      <c r="R998" s="17" t="s">
        <v>6231</v>
      </c>
      <c r="S998" s="17" t="s">
        <v>6232</v>
      </c>
      <c r="T998" s="17" t="s">
        <v>6233</v>
      </c>
      <c r="U998" s="17" t="s">
        <v>6234</v>
      </c>
      <c r="V998" s="17" t="s">
        <v>6235</v>
      </c>
      <c r="W998" s="17" t="s">
        <v>6236</v>
      </c>
      <c r="X998" s="17" t="s">
        <v>6237</v>
      </c>
      <c r="Y998" s="17" t="s">
        <v>6238</v>
      </c>
      <c r="Z998" s="17" t="s">
        <v>35</v>
      </c>
      <c r="AA998" s="17" t="s">
        <v>35</v>
      </c>
      <c r="AB998" s="17" t="s">
        <v>35</v>
      </c>
      <c r="AC998" s="17" t="s">
        <v>9539</v>
      </c>
      <c r="AD998" s="42">
        <v>32.08</v>
      </c>
      <c r="AE998" s="42">
        <v>33.75</v>
      </c>
      <c r="AF998" s="48"/>
      <c r="AG998" s="44"/>
      <c r="AH998" s="7">
        <f t="shared" si="15"/>
        <v>0</v>
      </c>
      <c r="AI998" s="18"/>
      <c r="AJ998" s="18"/>
    </row>
    <row r="999" spans="1:38" ht="26.65" customHeight="1" x14ac:dyDescent="0.25">
      <c r="A999" s="10" t="s">
        <v>9865</v>
      </c>
      <c r="B999" s="9" t="s">
        <v>3056</v>
      </c>
      <c r="C999" s="9" t="s">
        <v>43</v>
      </c>
      <c r="D999" s="9" t="s">
        <v>3306</v>
      </c>
      <c r="E999" s="9" t="s">
        <v>35</v>
      </c>
      <c r="F999" s="9" t="s">
        <v>36</v>
      </c>
      <c r="G999" s="9">
        <v>5</v>
      </c>
      <c r="H999" s="9">
        <v>84219999</v>
      </c>
      <c r="I999" s="11" t="s">
        <v>37</v>
      </c>
      <c r="J999" s="12">
        <v>1.6500000000000001E-2</v>
      </c>
      <c r="K999" s="12">
        <v>7.5999999999999998E-2</v>
      </c>
      <c r="L999" s="12">
        <v>5.1999999999999998E-2</v>
      </c>
      <c r="M999" s="13">
        <v>8003453810952</v>
      </c>
      <c r="N999" s="14">
        <v>0.18</v>
      </c>
      <c r="O999" s="14">
        <v>0.23499999999999999</v>
      </c>
      <c r="P999" s="15">
        <v>45536</v>
      </c>
      <c r="Q999" s="16" t="s">
        <v>9866</v>
      </c>
      <c r="R999" s="17" t="s">
        <v>9867</v>
      </c>
      <c r="S999" s="17" t="s">
        <v>9868</v>
      </c>
      <c r="T999" s="17" t="s">
        <v>9869</v>
      </c>
      <c r="U999" s="17" t="s">
        <v>9870</v>
      </c>
      <c r="V999" s="17" t="s">
        <v>9871</v>
      </c>
      <c r="W999" s="17" t="s">
        <v>35</v>
      </c>
      <c r="X999" s="17" t="s">
        <v>9872</v>
      </c>
      <c r="Y999" s="17" t="s">
        <v>9873</v>
      </c>
      <c r="Z999" s="17" t="s">
        <v>35</v>
      </c>
      <c r="AA999" s="17" t="s">
        <v>35</v>
      </c>
      <c r="AB999" s="17" t="s">
        <v>35</v>
      </c>
      <c r="AC999" s="17" t="s">
        <v>9539</v>
      </c>
      <c r="AD999" s="42">
        <v>21.95</v>
      </c>
      <c r="AE999" s="42">
        <v>23.09</v>
      </c>
      <c r="AF999" s="48"/>
      <c r="AG999" s="44"/>
      <c r="AH999" s="7">
        <f t="shared" si="15"/>
        <v>0</v>
      </c>
      <c r="AI999" s="18"/>
      <c r="AJ999" s="18"/>
    </row>
    <row r="1000" spans="1:38" ht="26.65" customHeight="1" x14ac:dyDescent="0.25">
      <c r="A1000" s="10" t="s">
        <v>6239</v>
      </c>
      <c r="B1000" s="9" t="s">
        <v>3030</v>
      </c>
      <c r="C1000" s="9" t="s">
        <v>43</v>
      </c>
      <c r="D1000" s="9" t="s">
        <v>3031</v>
      </c>
      <c r="E1000" s="9" t="s">
        <v>35</v>
      </c>
      <c r="F1000" s="9" t="s">
        <v>36</v>
      </c>
      <c r="G1000" s="9">
        <v>5</v>
      </c>
      <c r="H1000" s="9">
        <v>84219999</v>
      </c>
      <c r="I1000" s="11" t="s">
        <v>37</v>
      </c>
      <c r="J1000" s="12">
        <v>1.6500000000000001E-2</v>
      </c>
      <c r="K1000" s="12">
        <v>7.5999999999999998E-2</v>
      </c>
      <c r="L1000" s="12">
        <v>5.1999999999999998E-2</v>
      </c>
      <c r="M1000" s="13">
        <v>8003453139947</v>
      </c>
      <c r="N1000" s="14">
        <v>0.21099999999999999</v>
      </c>
      <c r="O1000" s="14">
        <v>0.29299999999999998</v>
      </c>
      <c r="P1000" s="15">
        <v>44774</v>
      </c>
      <c r="Q1000" s="16" t="s">
        <v>6240</v>
      </c>
      <c r="R1000" s="17" t="s">
        <v>6241</v>
      </c>
      <c r="S1000" s="17" t="s">
        <v>6242</v>
      </c>
      <c r="T1000" s="17" t="s">
        <v>35</v>
      </c>
      <c r="U1000" s="17" t="s">
        <v>35</v>
      </c>
      <c r="V1000" s="17" t="s">
        <v>6243</v>
      </c>
      <c r="W1000" s="17" t="s">
        <v>35</v>
      </c>
      <c r="X1000" s="17" t="s">
        <v>6244</v>
      </c>
      <c r="Y1000" s="17" t="s">
        <v>6245</v>
      </c>
      <c r="Z1000" s="17" t="s">
        <v>35</v>
      </c>
      <c r="AA1000" s="17" t="s">
        <v>35</v>
      </c>
      <c r="AB1000" s="17" t="s">
        <v>35</v>
      </c>
      <c r="AC1000" s="17" t="s">
        <v>9539</v>
      </c>
      <c r="AD1000" s="41">
        <v>18.63</v>
      </c>
      <c r="AE1000" s="41">
        <v>19.600000000000001</v>
      </c>
      <c r="AF1000" s="48"/>
      <c r="AG1000" s="44"/>
      <c r="AH1000" s="7">
        <f t="shared" si="15"/>
        <v>0</v>
      </c>
      <c r="AI1000" s="18"/>
      <c r="AJ1000" s="18"/>
      <c r="AL1000" s="18"/>
    </row>
    <row r="1001" spans="1:38" ht="26.65" customHeight="1" x14ac:dyDescent="0.25">
      <c r="A1001" s="10" t="s">
        <v>6246</v>
      </c>
      <c r="B1001" s="9" t="s">
        <v>3030</v>
      </c>
      <c r="C1001" s="9" t="s">
        <v>43</v>
      </c>
      <c r="D1001" s="9" t="s">
        <v>3031</v>
      </c>
      <c r="E1001" s="9" t="s">
        <v>35</v>
      </c>
      <c r="F1001" s="9" t="s">
        <v>36</v>
      </c>
      <c r="G1001" s="9">
        <v>5</v>
      </c>
      <c r="H1001" s="9">
        <v>84219999</v>
      </c>
      <c r="I1001" s="11" t="s">
        <v>37</v>
      </c>
      <c r="J1001" s="12">
        <v>1.6500000000000001E-2</v>
      </c>
      <c r="K1001" s="12">
        <v>7.5999999999999998E-2</v>
      </c>
      <c r="L1001" s="12">
        <v>5.1999999999999998E-2</v>
      </c>
      <c r="M1001" s="13">
        <v>8003453139978</v>
      </c>
      <c r="N1001" s="14">
        <v>0.159</v>
      </c>
      <c r="O1001" s="14">
        <v>0.20699999999999999</v>
      </c>
      <c r="P1001" s="15" t="s">
        <v>35</v>
      </c>
      <c r="Q1001" s="16" t="s">
        <v>6247</v>
      </c>
      <c r="R1001" s="17" t="s">
        <v>35</v>
      </c>
      <c r="S1001" s="17" t="s">
        <v>6248</v>
      </c>
      <c r="T1001" s="17" t="s">
        <v>35</v>
      </c>
      <c r="U1001" s="17" t="s">
        <v>35</v>
      </c>
      <c r="V1001" s="17" t="s">
        <v>6249</v>
      </c>
      <c r="W1001" s="17" t="s">
        <v>6250</v>
      </c>
      <c r="X1001" s="17" t="s">
        <v>35</v>
      </c>
      <c r="Y1001" s="17" t="s">
        <v>6251</v>
      </c>
      <c r="Z1001" s="17" t="s">
        <v>35</v>
      </c>
      <c r="AA1001" s="17" t="s">
        <v>35</v>
      </c>
      <c r="AB1001" s="17" t="s">
        <v>35</v>
      </c>
      <c r="AC1001" s="17" t="s">
        <v>9539</v>
      </c>
      <c r="AD1001" s="42">
        <v>16.54</v>
      </c>
      <c r="AE1001" s="42">
        <v>17.399999999999999</v>
      </c>
      <c r="AF1001" s="48"/>
      <c r="AG1001" s="44"/>
      <c r="AH1001" s="7">
        <f t="shared" si="15"/>
        <v>0</v>
      </c>
      <c r="AI1001" s="18"/>
      <c r="AJ1001" s="18"/>
    </row>
    <row r="1002" spans="1:38" ht="26.65" customHeight="1" x14ac:dyDescent="0.25">
      <c r="A1002" s="10" t="s">
        <v>9193</v>
      </c>
      <c r="B1002" s="9" t="s">
        <v>3056</v>
      </c>
      <c r="C1002" s="9" t="s">
        <v>43</v>
      </c>
      <c r="D1002" s="9" t="s">
        <v>3031</v>
      </c>
      <c r="E1002" s="9" t="s">
        <v>35</v>
      </c>
      <c r="F1002" s="9" t="s">
        <v>36</v>
      </c>
      <c r="G1002" s="9">
        <v>5</v>
      </c>
      <c r="H1002" s="9">
        <v>84219999</v>
      </c>
      <c r="I1002" s="11" t="s">
        <v>37</v>
      </c>
      <c r="J1002" s="12">
        <v>1.6500000000000001E-2</v>
      </c>
      <c r="K1002" s="12">
        <v>7.5999999999999998E-2</v>
      </c>
      <c r="L1002" s="12">
        <v>5.1999999999999998E-2</v>
      </c>
      <c r="M1002" s="13">
        <v>8003453139992</v>
      </c>
      <c r="N1002" s="14">
        <v>0.77700000000000002</v>
      </c>
      <c r="O1002" s="14">
        <v>0.89700000000000002</v>
      </c>
      <c r="P1002" s="15">
        <v>45383</v>
      </c>
      <c r="Q1002" s="16" t="s">
        <v>9194</v>
      </c>
      <c r="R1002" s="17" t="s">
        <v>35</v>
      </c>
      <c r="S1002" s="17" t="s">
        <v>35</v>
      </c>
      <c r="T1002" s="17" t="s">
        <v>9195</v>
      </c>
      <c r="U1002" s="17" t="s">
        <v>35</v>
      </c>
      <c r="V1002" s="17" t="s">
        <v>35</v>
      </c>
      <c r="W1002" s="17" t="s">
        <v>35</v>
      </c>
      <c r="X1002" s="17" t="s">
        <v>9196</v>
      </c>
      <c r="Y1002" s="17" t="s">
        <v>35</v>
      </c>
      <c r="Z1002" s="17" t="s">
        <v>35</v>
      </c>
      <c r="AA1002" s="17" t="s">
        <v>35</v>
      </c>
      <c r="AB1002" s="17" t="s">
        <v>9197</v>
      </c>
      <c r="AC1002" s="17" t="s">
        <v>9539</v>
      </c>
      <c r="AD1002" s="42">
        <v>68.95</v>
      </c>
      <c r="AE1002" s="42">
        <v>72.540000000000006</v>
      </c>
      <c r="AF1002" s="48"/>
      <c r="AG1002" s="44"/>
      <c r="AH1002" s="7">
        <f t="shared" si="15"/>
        <v>0</v>
      </c>
      <c r="AI1002" s="18"/>
      <c r="AJ1002" s="18"/>
    </row>
    <row r="1003" spans="1:38" ht="26.65" customHeight="1" x14ac:dyDescent="0.25">
      <c r="A1003" s="10" t="s">
        <v>6252</v>
      </c>
      <c r="B1003" s="9" t="s">
        <v>3030</v>
      </c>
      <c r="C1003" s="9" t="s">
        <v>43</v>
      </c>
      <c r="D1003" s="9" t="s">
        <v>3306</v>
      </c>
      <c r="E1003" s="9" t="s">
        <v>35</v>
      </c>
      <c r="F1003" s="9" t="s">
        <v>36</v>
      </c>
      <c r="G1003" s="9">
        <v>5</v>
      </c>
      <c r="H1003" s="9">
        <v>84219999</v>
      </c>
      <c r="I1003" s="11" t="s">
        <v>37</v>
      </c>
      <c r="J1003" s="12">
        <v>1.6500000000000001E-2</v>
      </c>
      <c r="K1003" s="12">
        <v>7.5999999999999998E-2</v>
      </c>
      <c r="L1003" s="12">
        <v>5.1999999999999998E-2</v>
      </c>
      <c r="M1003" s="13">
        <v>8003453140028</v>
      </c>
      <c r="N1003" s="14">
        <v>0.129</v>
      </c>
      <c r="O1003" s="14">
        <v>0.21199999999999999</v>
      </c>
      <c r="P1003" s="15">
        <v>44531</v>
      </c>
      <c r="Q1003" s="16" t="s">
        <v>6253</v>
      </c>
      <c r="R1003" s="17">
        <v>1780120040</v>
      </c>
      <c r="S1003" s="17" t="s">
        <v>6254</v>
      </c>
      <c r="T1003" s="17" t="s">
        <v>6255</v>
      </c>
      <c r="U1003" s="17" t="s">
        <v>6256</v>
      </c>
      <c r="V1003" s="17" t="s">
        <v>35</v>
      </c>
      <c r="W1003" s="17" t="s">
        <v>35</v>
      </c>
      <c r="X1003" s="17" t="s">
        <v>6257</v>
      </c>
      <c r="Y1003" s="17" t="s">
        <v>6258</v>
      </c>
      <c r="Z1003" s="17" t="s">
        <v>35</v>
      </c>
      <c r="AA1003" s="17" t="s">
        <v>35</v>
      </c>
      <c r="AB1003" s="17" t="s">
        <v>35</v>
      </c>
      <c r="AC1003" s="17" t="s">
        <v>9539</v>
      </c>
      <c r="AD1003" s="41">
        <v>18.07</v>
      </c>
      <c r="AE1003" s="41">
        <v>19.010000000000002</v>
      </c>
      <c r="AF1003" s="48"/>
      <c r="AG1003" s="44"/>
      <c r="AH1003" s="7">
        <f t="shared" si="15"/>
        <v>0</v>
      </c>
      <c r="AI1003" s="18"/>
      <c r="AJ1003" s="18"/>
      <c r="AL1003" s="18"/>
    </row>
    <row r="1004" spans="1:38" ht="26.65" customHeight="1" x14ac:dyDescent="0.25">
      <c r="A1004" s="10" t="s">
        <v>6259</v>
      </c>
      <c r="B1004" s="9" t="s">
        <v>3030</v>
      </c>
      <c r="C1004" s="9" t="s">
        <v>43</v>
      </c>
      <c r="D1004" s="9" t="s">
        <v>3031</v>
      </c>
      <c r="E1004" s="9" t="s">
        <v>35</v>
      </c>
      <c r="F1004" s="9" t="s">
        <v>36</v>
      </c>
      <c r="G1004" s="9">
        <v>5</v>
      </c>
      <c r="H1004" s="9">
        <v>84219999</v>
      </c>
      <c r="I1004" s="11" t="s">
        <v>37</v>
      </c>
      <c r="J1004" s="12">
        <v>1.6500000000000001E-2</v>
      </c>
      <c r="K1004" s="12">
        <v>7.5999999999999998E-2</v>
      </c>
      <c r="L1004" s="12">
        <v>5.1999999999999998E-2</v>
      </c>
      <c r="M1004" s="13">
        <v>8003453133044</v>
      </c>
      <c r="N1004" s="14">
        <v>0.24399999999999999</v>
      </c>
      <c r="O1004" s="14">
        <v>0.31</v>
      </c>
      <c r="P1004" s="15" t="s">
        <v>35</v>
      </c>
      <c r="Q1004" s="16" t="s">
        <v>6260</v>
      </c>
      <c r="R1004" s="17" t="s">
        <v>6261</v>
      </c>
      <c r="S1004" s="17" t="s">
        <v>6262</v>
      </c>
      <c r="T1004" s="17" t="s">
        <v>6263</v>
      </c>
      <c r="U1004" s="17" t="s">
        <v>6264</v>
      </c>
      <c r="V1004" s="17" t="s">
        <v>35</v>
      </c>
      <c r="W1004" s="17" t="s">
        <v>35</v>
      </c>
      <c r="X1004" s="17" t="s">
        <v>6265</v>
      </c>
      <c r="Y1004" s="17" t="s">
        <v>6266</v>
      </c>
      <c r="Z1004" s="17" t="s">
        <v>35</v>
      </c>
      <c r="AA1004" s="17" t="s">
        <v>35</v>
      </c>
      <c r="AB1004" s="17" t="s">
        <v>35</v>
      </c>
      <c r="AC1004" s="17" t="s">
        <v>9539</v>
      </c>
      <c r="AD1004" s="42">
        <v>19.63</v>
      </c>
      <c r="AE1004" s="42">
        <v>20.65</v>
      </c>
      <c r="AF1004" s="48"/>
      <c r="AG1004" s="44"/>
      <c r="AH1004" s="7">
        <f t="shared" si="15"/>
        <v>0</v>
      </c>
      <c r="AI1004" s="18"/>
      <c r="AJ1004" s="18"/>
    </row>
    <row r="1005" spans="1:38" ht="26.65" customHeight="1" x14ac:dyDescent="0.25">
      <c r="A1005" s="10" t="s">
        <v>6267</v>
      </c>
      <c r="B1005" s="9" t="s">
        <v>3030</v>
      </c>
      <c r="C1005" s="9" t="s">
        <v>43</v>
      </c>
      <c r="D1005" s="9" t="s">
        <v>3306</v>
      </c>
      <c r="E1005" s="9" t="s">
        <v>35</v>
      </c>
      <c r="F1005" s="9" t="s">
        <v>36</v>
      </c>
      <c r="G1005" s="9">
        <v>5</v>
      </c>
      <c r="H1005" s="9">
        <v>84219999</v>
      </c>
      <c r="I1005" s="11" t="s">
        <v>37</v>
      </c>
      <c r="J1005" s="12">
        <v>1.6500000000000001E-2</v>
      </c>
      <c r="K1005" s="12">
        <v>7.5999999999999998E-2</v>
      </c>
      <c r="L1005" s="12">
        <v>5.1999999999999998E-2</v>
      </c>
      <c r="M1005" s="13">
        <v>8003453133075</v>
      </c>
      <c r="N1005" s="14">
        <v>0.28699999999999998</v>
      </c>
      <c r="O1005" s="14">
        <v>0.36699999999999999</v>
      </c>
      <c r="P1005" s="15">
        <v>44531</v>
      </c>
      <c r="Q1005" s="16" t="s">
        <v>6268</v>
      </c>
      <c r="R1005" s="17">
        <v>118006</v>
      </c>
      <c r="S1005" s="17" t="s">
        <v>35</v>
      </c>
      <c r="T1005" s="17" t="s">
        <v>35</v>
      </c>
      <c r="U1005" s="17" t="s">
        <v>35</v>
      </c>
      <c r="V1005" s="17" t="s">
        <v>35</v>
      </c>
      <c r="W1005" s="17" t="s">
        <v>35</v>
      </c>
      <c r="X1005" s="17" t="s">
        <v>35</v>
      </c>
      <c r="Y1005" s="17" t="s">
        <v>35</v>
      </c>
      <c r="Z1005" s="17" t="s">
        <v>35</v>
      </c>
      <c r="AA1005" s="17" t="s">
        <v>35</v>
      </c>
      <c r="AB1005" s="17" t="s">
        <v>35</v>
      </c>
      <c r="AC1005" s="17" t="s">
        <v>9539</v>
      </c>
      <c r="AD1005" s="41">
        <v>22.14</v>
      </c>
      <c r="AE1005" s="41">
        <v>23.29</v>
      </c>
      <c r="AF1005" s="48"/>
      <c r="AG1005" s="44"/>
      <c r="AH1005" s="7">
        <f t="shared" si="15"/>
        <v>0</v>
      </c>
      <c r="AI1005" s="18"/>
      <c r="AJ1005" s="18"/>
      <c r="AL1005" s="18"/>
    </row>
    <row r="1006" spans="1:38" ht="26.65" customHeight="1" x14ac:dyDescent="0.25">
      <c r="A1006" s="10" t="s">
        <v>8700</v>
      </c>
      <c r="B1006" s="9" t="s">
        <v>3056</v>
      </c>
      <c r="C1006" s="9" t="s">
        <v>43</v>
      </c>
      <c r="D1006" s="9" t="s">
        <v>3306</v>
      </c>
      <c r="E1006" s="9" t="s">
        <v>122</v>
      </c>
      <c r="F1006" s="9" t="s">
        <v>36</v>
      </c>
      <c r="G1006" s="9">
        <v>4</v>
      </c>
      <c r="H1006" s="9">
        <v>84219999</v>
      </c>
      <c r="I1006" s="11" t="s">
        <v>37</v>
      </c>
      <c r="J1006" s="12">
        <v>1.6500000000000001E-2</v>
      </c>
      <c r="K1006" s="12">
        <v>7.5999999999999998E-2</v>
      </c>
      <c r="L1006" s="12">
        <v>5.1999999999999998E-2</v>
      </c>
      <c r="M1006" s="13">
        <v>8003453135055</v>
      </c>
      <c r="N1006" s="14">
        <v>0.38500000000000001</v>
      </c>
      <c r="O1006" s="14">
        <v>0.51500000000000001</v>
      </c>
      <c r="P1006" s="15">
        <v>45292</v>
      </c>
      <c r="Q1006" s="16" t="s">
        <v>8701</v>
      </c>
      <c r="R1006" s="17" t="s">
        <v>8702</v>
      </c>
      <c r="S1006" s="17" t="s">
        <v>35</v>
      </c>
      <c r="T1006" s="17" t="s">
        <v>35</v>
      </c>
      <c r="U1006" s="17" t="s">
        <v>35</v>
      </c>
      <c r="V1006" s="17" t="s">
        <v>35</v>
      </c>
      <c r="W1006" s="17" t="s">
        <v>35</v>
      </c>
      <c r="X1006" s="17" t="s">
        <v>35</v>
      </c>
      <c r="Y1006" s="17" t="s">
        <v>35</v>
      </c>
      <c r="Z1006" s="17" t="s">
        <v>35</v>
      </c>
      <c r="AA1006" s="17" t="s">
        <v>35</v>
      </c>
      <c r="AB1006" s="17" t="s">
        <v>35</v>
      </c>
      <c r="AC1006" s="17" t="s">
        <v>9539</v>
      </c>
      <c r="AD1006" s="42">
        <v>63.2</v>
      </c>
      <c r="AE1006" s="42">
        <v>66.489999999999995</v>
      </c>
      <c r="AF1006" s="48"/>
      <c r="AG1006" s="44"/>
      <c r="AH1006" s="7">
        <f t="shared" si="15"/>
        <v>0</v>
      </c>
      <c r="AI1006" s="18"/>
      <c r="AJ1006" s="18"/>
    </row>
    <row r="1007" spans="1:38" ht="26.65" customHeight="1" x14ac:dyDescent="0.25">
      <c r="A1007" s="10" t="s">
        <v>6269</v>
      </c>
      <c r="B1007" s="9" t="s">
        <v>3030</v>
      </c>
      <c r="C1007" s="9" t="s">
        <v>43</v>
      </c>
      <c r="D1007" s="9" t="s">
        <v>3031</v>
      </c>
      <c r="E1007" s="9" t="s">
        <v>35</v>
      </c>
      <c r="F1007" s="9" t="s">
        <v>36</v>
      </c>
      <c r="G1007" s="9">
        <v>5</v>
      </c>
      <c r="H1007" s="9">
        <v>84219999</v>
      </c>
      <c r="I1007" s="11" t="s">
        <v>37</v>
      </c>
      <c r="J1007" s="12">
        <v>1.6500000000000001E-2</v>
      </c>
      <c r="K1007" s="12">
        <v>7.5999999999999998E-2</v>
      </c>
      <c r="L1007" s="12">
        <v>5.1999999999999998E-2</v>
      </c>
      <c r="M1007" s="13">
        <v>8003453133556</v>
      </c>
      <c r="N1007" s="14">
        <v>0.127</v>
      </c>
      <c r="O1007" s="14">
        <v>0.22900000000000001</v>
      </c>
      <c r="P1007" s="15" t="s">
        <v>35</v>
      </c>
      <c r="Q1007" s="16" t="s">
        <v>6270</v>
      </c>
      <c r="R1007" s="17" t="s">
        <v>35</v>
      </c>
      <c r="S1007" s="17" t="s">
        <v>6271</v>
      </c>
      <c r="T1007" s="17" t="s">
        <v>6272</v>
      </c>
      <c r="U1007" s="17" t="s">
        <v>6273</v>
      </c>
      <c r="V1007" s="17" t="s">
        <v>35</v>
      </c>
      <c r="W1007" s="17" t="s">
        <v>35</v>
      </c>
      <c r="X1007" s="17" t="s">
        <v>6274</v>
      </c>
      <c r="Y1007" s="17" t="s">
        <v>6275</v>
      </c>
      <c r="Z1007" s="17" t="s">
        <v>35</v>
      </c>
      <c r="AA1007" s="17" t="s">
        <v>35</v>
      </c>
      <c r="AB1007" s="17" t="s">
        <v>35</v>
      </c>
      <c r="AC1007" s="17" t="s">
        <v>9539</v>
      </c>
      <c r="AD1007" s="41">
        <v>16.98</v>
      </c>
      <c r="AE1007" s="41">
        <v>17.86</v>
      </c>
      <c r="AF1007" s="48"/>
      <c r="AG1007" s="44"/>
      <c r="AH1007" s="7">
        <f t="shared" si="15"/>
        <v>0</v>
      </c>
      <c r="AI1007" s="18"/>
      <c r="AJ1007" s="18"/>
      <c r="AL1007" s="18"/>
    </row>
    <row r="1008" spans="1:38" ht="26.65" customHeight="1" x14ac:dyDescent="0.25">
      <c r="A1008" s="10" t="s">
        <v>6276</v>
      </c>
      <c r="B1008" s="9" t="s">
        <v>3030</v>
      </c>
      <c r="C1008" s="9" t="s">
        <v>43</v>
      </c>
      <c r="D1008" s="9" t="s">
        <v>3031</v>
      </c>
      <c r="E1008" s="9" t="s">
        <v>35</v>
      </c>
      <c r="F1008" s="9" t="s">
        <v>36</v>
      </c>
      <c r="G1008" s="9">
        <v>5</v>
      </c>
      <c r="H1008" s="9">
        <v>84219999</v>
      </c>
      <c r="I1008" s="11" t="s">
        <v>37</v>
      </c>
      <c r="J1008" s="12">
        <v>1.6500000000000001E-2</v>
      </c>
      <c r="K1008" s="12">
        <v>7.5999999999999998E-2</v>
      </c>
      <c r="L1008" s="12">
        <v>5.1999999999999998E-2</v>
      </c>
      <c r="M1008" s="13">
        <v>8003453133754</v>
      </c>
      <c r="N1008" s="14">
        <v>0.28000000000000003</v>
      </c>
      <c r="O1008" s="14">
        <v>0.39300000000000002</v>
      </c>
      <c r="P1008" s="15" t="s">
        <v>35</v>
      </c>
      <c r="Q1008" s="16" t="s">
        <v>6277</v>
      </c>
      <c r="R1008" s="17" t="s">
        <v>35</v>
      </c>
      <c r="S1008" s="17" t="s">
        <v>6278</v>
      </c>
      <c r="T1008" s="17" t="s">
        <v>6279</v>
      </c>
      <c r="U1008" s="17" t="s">
        <v>6280</v>
      </c>
      <c r="V1008" s="17" t="s">
        <v>6281</v>
      </c>
      <c r="W1008" s="17" t="s">
        <v>6282</v>
      </c>
      <c r="X1008" s="17" t="s">
        <v>6283</v>
      </c>
      <c r="Y1008" s="17" t="s">
        <v>6284</v>
      </c>
      <c r="Z1008" s="17" t="s">
        <v>35</v>
      </c>
      <c r="AA1008" s="17" t="s">
        <v>35</v>
      </c>
      <c r="AB1008" s="17" t="s">
        <v>35</v>
      </c>
      <c r="AC1008" s="17" t="s">
        <v>9539</v>
      </c>
      <c r="AD1008" s="41">
        <v>17.309999999999999</v>
      </c>
      <c r="AE1008" s="41">
        <v>18.21</v>
      </c>
      <c r="AF1008" s="48"/>
      <c r="AG1008" s="44"/>
      <c r="AH1008" s="7">
        <f t="shared" si="15"/>
        <v>0</v>
      </c>
      <c r="AI1008" s="18"/>
      <c r="AJ1008" s="18"/>
      <c r="AL1008" s="18"/>
    </row>
    <row r="1009" spans="1:38" ht="26.65" customHeight="1" x14ac:dyDescent="0.25">
      <c r="A1009" s="10" t="s">
        <v>6285</v>
      </c>
      <c r="B1009" s="9" t="s">
        <v>3030</v>
      </c>
      <c r="C1009" s="9" t="s">
        <v>34</v>
      </c>
      <c r="D1009" s="9" t="s">
        <v>3306</v>
      </c>
      <c r="E1009" s="9" t="s">
        <v>35</v>
      </c>
      <c r="F1009" s="9" t="s">
        <v>36</v>
      </c>
      <c r="G1009" s="9">
        <v>6</v>
      </c>
      <c r="H1009" s="9">
        <v>84219999</v>
      </c>
      <c r="I1009" s="11" t="s">
        <v>37</v>
      </c>
      <c r="J1009" s="12">
        <v>1.6500000000000001E-2</v>
      </c>
      <c r="K1009" s="12">
        <v>7.5999999999999998E-2</v>
      </c>
      <c r="L1009" s="12">
        <v>5.1999999999999998E-2</v>
      </c>
      <c r="M1009" s="13">
        <v>8003453133778</v>
      </c>
      <c r="N1009" s="14">
        <v>0.17599999999999999</v>
      </c>
      <c r="O1009" s="14">
        <v>0.22900000000000001</v>
      </c>
      <c r="P1009" s="15" t="s">
        <v>35</v>
      </c>
      <c r="Q1009" s="16" t="s">
        <v>6286</v>
      </c>
      <c r="R1009" s="17" t="s">
        <v>35</v>
      </c>
      <c r="S1009" s="17" t="s">
        <v>6287</v>
      </c>
      <c r="T1009" s="17" t="s">
        <v>35</v>
      </c>
      <c r="U1009" s="17" t="s">
        <v>6288</v>
      </c>
      <c r="V1009" s="17" t="s">
        <v>6289</v>
      </c>
      <c r="W1009" s="17" t="s">
        <v>6290</v>
      </c>
      <c r="X1009" s="17" t="s">
        <v>6291</v>
      </c>
      <c r="Y1009" s="17" t="s">
        <v>6292</v>
      </c>
      <c r="Z1009" s="17" t="s">
        <v>35</v>
      </c>
      <c r="AA1009" s="17" t="s">
        <v>35</v>
      </c>
      <c r="AB1009" s="17" t="s">
        <v>35</v>
      </c>
      <c r="AC1009" s="17" t="s">
        <v>9539</v>
      </c>
      <c r="AD1009" s="42">
        <v>33.08</v>
      </c>
      <c r="AE1009" s="42">
        <v>34.799999999999997</v>
      </c>
      <c r="AF1009" s="48"/>
      <c r="AG1009" s="44"/>
      <c r="AH1009" s="7">
        <f t="shared" si="15"/>
        <v>0</v>
      </c>
      <c r="AI1009" s="18"/>
      <c r="AJ1009" s="18"/>
    </row>
    <row r="1010" spans="1:38" ht="26.65" customHeight="1" x14ac:dyDescent="0.25">
      <c r="A1010" s="10" t="s">
        <v>6293</v>
      </c>
      <c r="B1010" s="9" t="s">
        <v>3030</v>
      </c>
      <c r="C1010" s="9" t="s">
        <v>43</v>
      </c>
      <c r="D1010" s="9" t="s">
        <v>3031</v>
      </c>
      <c r="E1010" s="9" t="s">
        <v>122</v>
      </c>
      <c r="F1010" s="9" t="s">
        <v>36</v>
      </c>
      <c r="G1010" s="9">
        <v>2</v>
      </c>
      <c r="H1010" s="9">
        <v>84219999</v>
      </c>
      <c r="I1010" s="11" t="s">
        <v>37</v>
      </c>
      <c r="J1010" s="12">
        <v>1.6500000000000001E-2</v>
      </c>
      <c r="K1010" s="12">
        <v>7.5999999999999998E-2</v>
      </c>
      <c r="L1010" s="12">
        <v>5.1999999999999998E-2</v>
      </c>
      <c r="M1010" s="13">
        <v>8003453133846</v>
      </c>
      <c r="N1010" s="14">
        <v>0.36</v>
      </c>
      <c r="O1010" s="14">
        <v>0.40400000000000003</v>
      </c>
      <c r="P1010" s="15" t="s">
        <v>35</v>
      </c>
      <c r="Q1010" s="16" t="s">
        <v>6294</v>
      </c>
      <c r="R1010" s="17" t="s">
        <v>6295</v>
      </c>
      <c r="S1010" s="17" t="s">
        <v>35</v>
      </c>
      <c r="T1010" s="17" t="s">
        <v>35</v>
      </c>
      <c r="U1010" s="17" t="s">
        <v>35</v>
      </c>
      <c r="V1010" s="17" t="s">
        <v>35</v>
      </c>
      <c r="W1010" s="17" t="s">
        <v>35</v>
      </c>
      <c r="X1010" s="17" t="s">
        <v>35</v>
      </c>
      <c r="Y1010" s="17" t="s">
        <v>35</v>
      </c>
      <c r="Z1010" s="17" t="s">
        <v>35</v>
      </c>
      <c r="AA1010" s="17" t="s">
        <v>35</v>
      </c>
      <c r="AB1010" s="17" t="s">
        <v>35</v>
      </c>
      <c r="AC1010" s="17" t="s">
        <v>9539</v>
      </c>
      <c r="AD1010" s="41">
        <v>86.05</v>
      </c>
      <c r="AE1010" s="41">
        <v>90.52</v>
      </c>
      <c r="AF1010" s="48"/>
      <c r="AG1010" s="44"/>
      <c r="AH1010" s="7">
        <f t="shared" si="15"/>
        <v>0</v>
      </c>
      <c r="AI1010" s="18"/>
      <c r="AJ1010" s="18"/>
    </row>
    <row r="1011" spans="1:38" ht="26.65" customHeight="1" x14ac:dyDescent="0.25">
      <c r="A1011" s="10" t="s">
        <v>6296</v>
      </c>
      <c r="B1011" s="9" t="s">
        <v>3030</v>
      </c>
      <c r="C1011" s="9" t="s">
        <v>43</v>
      </c>
      <c r="D1011" s="9" t="s">
        <v>3031</v>
      </c>
      <c r="E1011" s="9" t="s">
        <v>35</v>
      </c>
      <c r="F1011" s="9" t="s">
        <v>36</v>
      </c>
      <c r="G1011" s="9">
        <v>5</v>
      </c>
      <c r="H1011" s="9">
        <v>84219999</v>
      </c>
      <c r="I1011" s="11" t="s">
        <v>37</v>
      </c>
      <c r="J1011" s="12">
        <v>1.6500000000000001E-2</v>
      </c>
      <c r="K1011" s="12">
        <v>7.5999999999999998E-2</v>
      </c>
      <c r="L1011" s="12">
        <v>5.1999999999999998E-2</v>
      </c>
      <c r="M1011" s="13">
        <v>8003453133891</v>
      </c>
      <c r="N1011" s="14">
        <v>0.30599999999999999</v>
      </c>
      <c r="O1011" s="14">
        <v>0.38100000000000001</v>
      </c>
      <c r="P1011" s="15" t="s">
        <v>35</v>
      </c>
      <c r="Q1011" s="16" t="s">
        <v>6297</v>
      </c>
      <c r="R1011" s="17" t="s">
        <v>35</v>
      </c>
      <c r="S1011" s="17" t="s">
        <v>6298</v>
      </c>
      <c r="T1011" s="17" t="s">
        <v>6299</v>
      </c>
      <c r="U1011" s="17" t="s">
        <v>6300</v>
      </c>
      <c r="V1011" s="17" t="s">
        <v>35</v>
      </c>
      <c r="W1011" s="17" t="s">
        <v>35</v>
      </c>
      <c r="X1011" s="17" t="s">
        <v>6301</v>
      </c>
      <c r="Y1011" s="17" t="s">
        <v>6302</v>
      </c>
      <c r="Z1011" s="17" t="s">
        <v>35</v>
      </c>
      <c r="AA1011" s="17" t="s">
        <v>35</v>
      </c>
      <c r="AB1011" s="17" t="s">
        <v>35</v>
      </c>
      <c r="AC1011" s="17" t="s">
        <v>9539</v>
      </c>
      <c r="AD1011" s="42">
        <v>29.07</v>
      </c>
      <c r="AE1011" s="42">
        <v>30.58</v>
      </c>
      <c r="AF1011" s="48"/>
      <c r="AG1011" s="44"/>
      <c r="AH1011" s="7">
        <f t="shared" si="15"/>
        <v>0</v>
      </c>
      <c r="AI1011" s="18"/>
      <c r="AJ1011" s="18"/>
    </row>
    <row r="1012" spans="1:38" ht="26.65" customHeight="1" x14ac:dyDescent="0.25">
      <c r="A1012" s="10" t="s">
        <v>6303</v>
      </c>
      <c r="B1012" s="9" t="s">
        <v>3030</v>
      </c>
      <c r="C1012" s="9" t="s">
        <v>43</v>
      </c>
      <c r="D1012" s="9" t="s">
        <v>3031</v>
      </c>
      <c r="E1012" s="9" t="s">
        <v>35</v>
      </c>
      <c r="F1012" s="9" t="s">
        <v>36</v>
      </c>
      <c r="G1012" s="9">
        <v>5</v>
      </c>
      <c r="H1012" s="9">
        <v>84219999</v>
      </c>
      <c r="I1012" s="11" t="s">
        <v>37</v>
      </c>
      <c r="J1012" s="12">
        <v>1.6500000000000001E-2</v>
      </c>
      <c r="K1012" s="12">
        <v>7.5999999999999998E-2</v>
      </c>
      <c r="L1012" s="12">
        <v>5.1999999999999998E-2</v>
      </c>
      <c r="M1012" s="13">
        <v>8003453134164</v>
      </c>
      <c r="N1012" s="14">
        <v>0.26200000000000001</v>
      </c>
      <c r="O1012" s="14">
        <v>0.32300000000000001</v>
      </c>
      <c r="P1012" s="15" t="s">
        <v>35</v>
      </c>
      <c r="Q1012" s="16" t="s">
        <v>6304</v>
      </c>
      <c r="R1012" s="17" t="s">
        <v>35</v>
      </c>
      <c r="S1012" s="17" t="s">
        <v>6305</v>
      </c>
      <c r="T1012" s="17" t="s">
        <v>6306</v>
      </c>
      <c r="U1012" s="17" t="s">
        <v>35</v>
      </c>
      <c r="V1012" s="17" t="s">
        <v>6307</v>
      </c>
      <c r="W1012" s="17" t="s">
        <v>6308</v>
      </c>
      <c r="X1012" s="17" t="s">
        <v>6309</v>
      </c>
      <c r="Y1012" s="17" t="s">
        <v>6310</v>
      </c>
      <c r="Z1012" s="17" t="s">
        <v>6311</v>
      </c>
      <c r="AA1012" s="17" t="s">
        <v>35</v>
      </c>
      <c r="AB1012" s="17" t="s">
        <v>6312</v>
      </c>
      <c r="AC1012" s="17" t="s">
        <v>9539</v>
      </c>
      <c r="AD1012" s="41">
        <v>14.31</v>
      </c>
      <c r="AE1012" s="41">
        <v>15.05</v>
      </c>
      <c r="AF1012" s="48"/>
      <c r="AG1012" s="44"/>
      <c r="AH1012" s="7">
        <f t="shared" si="15"/>
        <v>0</v>
      </c>
      <c r="AI1012" s="18"/>
      <c r="AJ1012" s="18"/>
      <c r="AL1012" s="18"/>
    </row>
    <row r="1013" spans="1:38" ht="26.65" customHeight="1" x14ac:dyDescent="0.25">
      <c r="A1013" s="10" t="s">
        <v>6313</v>
      </c>
      <c r="B1013" s="9" t="s">
        <v>3030</v>
      </c>
      <c r="C1013" s="9" t="s">
        <v>43</v>
      </c>
      <c r="D1013" s="9" t="s">
        <v>3031</v>
      </c>
      <c r="E1013" s="9" t="s">
        <v>122</v>
      </c>
      <c r="F1013" s="9" t="s">
        <v>36</v>
      </c>
      <c r="G1013" s="9">
        <v>5</v>
      </c>
      <c r="H1013" s="9">
        <v>84219999</v>
      </c>
      <c r="I1013" s="11" t="s">
        <v>37</v>
      </c>
      <c r="J1013" s="12">
        <v>1.6500000000000001E-2</v>
      </c>
      <c r="K1013" s="12">
        <v>7.5999999999999998E-2</v>
      </c>
      <c r="L1013" s="12">
        <v>5.1999999999999998E-2</v>
      </c>
      <c r="M1013" s="13">
        <v>8003453134232</v>
      </c>
      <c r="N1013" s="14">
        <v>0.36299999999999999</v>
      </c>
      <c r="O1013" s="14">
        <v>0.45600000000000002</v>
      </c>
      <c r="P1013" s="15" t="s">
        <v>35</v>
      </c>
      <c r="Q1013" s="16" t="s">
        <v>6314</v>
      </c>
      <c r="R1013" s="17" t="s">
        <v>6315</v>
      </c>
      <c r="S1013" s="17" t="s">
        <v>35</v>
      </c>
      <c r="T1013" s="17" t="s">
        <v>35</v>
      </c>
      <c r="U1013" s="17" t="s">
        <v>35</v>
      </c>
      <c r="V1013" s="17" t="s">
        <v>35</v>
      </c>
      <c r="W1013" s="17" t="s">
        <v>35</v>
      </c>
      <c r="X1013" s="17" t="s">
        <v>35</v>
      </c>
      <c r="Y1013" s="17" t="s">
        <v>35</v>
      </c>
      <c r="Z1013" s="17" t="s">
        <v>35</v>
      </c>
      <c r="AA1013" s="17" t="s">
        <v>35</v>
      </c>
      <c r="AB1013" s="17" t="s">
        <v>35</v>
      </c>
      <c r="AC1013" s="17" t="s">
        <v>9539</v>
      </c>
      <c r="AD1013" s="41">
        <v>74.040000000000006</v>
      </c>
      <c r="AE1013" s="41">
        <v>77.89</v>
      </c>
      <c r="AF1013" s="48"/>
      <c r="AG1013" s="44"/>
      <c r="AH1013" s="7">
        <f t="shared" si="15"/>
        <v>0</v>
      </c>
      <c r="AI1013" s="18"/>
      <c r="AJ1013" s="18"/>
      <c r="AL1013" s="18"/>
    </row>
    <row r="1014" spans="1:38" ht="26.65" customHeight="1" x14ac:dyDescent="0.25">
      <c r="A1014" s="10" t="s">
        <v>6316</v>
      </c>
      <c r="B1014" s="9" t="s">
        <v>3030</v>
      </c>
      <c r="C1014" s="9" t="s">
        <v>43</v>
      </c>
      <c r="D1014" s="9" t="s">
        <v>3031</v>
      </c>
      <c r="E1014" s="9" t="s">
        <v>35</v>
      </c>
      <c r="F1014" s="9" t="s">
        <v>36</v>
      </c>
      <c r="G1014" s="9">
        <v>5</v>
      </c>
      <c r="H1014" s="9">
        <v>84219999</v>
      </c>
      <c r="I1014" s="11" t="s">
        <v>37</v>
      </c>
      <c r="J1014" s="12">
        <v>1.6500000000000001E-2</v>
      </c>
      <c r="K1014" s="12">
        <v>7.5999999999999998E-2</v>
      </c>
      <c r="L1014" s="12">
        <v>5.1999999999999998E-2</v>
      </c>
      <c r="M1014" s="13">
        <v>8003453134355</v>
      </c>
      <c r="N1014" s="14">
        <v>0.217</v>
      </c>
      <c r="O1014" s="14">
        <v>0.29199999999999998</v>
      </c>
      <c r="P1014" s="15" t="s">
        <v>35</v>
      </c>
      <c r="Q1014" s="16" t="s">
        <v>6317</v>
      </c>
      <c r="R1014" s="17">
        <v>13721730946</v>
      </c>
      <c r="S1014" s="17" t="s">
        <v>6318</v>
      </c>
      <c r="T1014" s="17" t="s">
        <v>6319</v>
      </c>
      <c r="U1014" s="17" t="s">
        <v>6320</v>
      </c>
      <c r="V1014" s="17" t="s">
        <v>6321</v>
      </c>
      <c r="W1014" s="17" t="s">
        <v>35</v>
      </c>
      <c r="X1014" s="17" t="s">
        <v>6322</v>
      </c>
      <c r="Y1014" s="17" t="s">
        <v>6323</v>
      </c>
      <c r="Z1014" s="17" t="s">
        <v>35</v>
      </c>
      <c r="AA1014" s="17" t="s">
        <v>35</v>
      </c>
      <c r="AB1014" s="17" t="s">
        <v>35</v>
      </c>
      <c r="AC1014" s="17" t="s">
        <v>9539</v>
      </c>
      <c r="AD1014" s="42">
        <v>19.850000000000001</v>
      </c>
      <c r="AE1014" s="42">
        <v>20.88</v>
      </c>
      <c r="AF1014" s="48"/>
      <c r="AG1014" s="44"/>
      <c r="AH1014" s="7">
        <f t="shared" si="15"/>
        <v>0</v>
      </c>
      <c r="AI1014" s="18"/>
      <c r="AJ1014" s="18"/>
    </row>
    <row r="1015" spans="1:38" ht="26.65" customHeight="1" x14ac:dyDescent="0.25">
      <c r="A1015" s="10" t="s">
        <v>6324</v>
      </c>
      <c r="B1015" s="9" t="s">
        <v>3030</v>
      </c>
      <c r="C1015" s="9" t="s">
        <v>43</v>
      </c>
      <c r="D1015" s="9" t="s">
        <v>3306</v>
      </c>
      <c r="E1015" s="9" t="s">
        <v>35</v>
      </c>
      <c r="F1015" s="9" t="s">
        <v>36</v>
      </c>
      <c r="G1015" s="9">
        <v>5</v>
      </c>
      <c r="H1015" s="9">
        <v>84219999</v>
      </c>
      <c r="I1015" s="11" t="s">
        <v>37</v>
      </c>
      <c r="J1015" s="12">
        <v>1.6500000000000001E-2</v>
      </c>
      <c r="K1015" s="12">
        <v>7.5999999999999998E-2</v>
      </c>
      <c r="L1015" s="12">
        <v>5.1999999999999998E-2</v>
      </c>
      <c r="M1015" s="13">
        <v>8003453140189</v>
      </c>
      <c r="N1015" s="14">
        <v>0.18099999999999999</v>
      </c>
      <c r="O1015" s="14">
        <v>0.25</v>
      </c>
      <c r="P1015" s="15" t="s">
        <v>35</v>
      </c>
      <c r="Q1015" s="16" t="s">
        <v>6325</v>
      </c>
      <c r="R1015" s="17" t="s">
        <v>35</v>
      </c>
      <c r="S1015" s="17" t="s">
        <v>6326</v>
      </c>
      <c r="T1015" s="17" t="s">
        <v>6327</v>
      </c>
      <c r="U1015" s="17" t="s">
        <v>6328</v>
      </c>
      <c r="V1015" s="17" t="s">
        <v>35</v>
      </c>
      <c r="W1015" s="17" t="s">
        <v>35</v>
      </c>
      <c r="X1015" s="17" t="s">
        <v>6329</v>
      </c>
      <c r="Y1015" s="17" t="s">
        <v>6330</v>
      </c>
      <c r="Z1015" s="17" t="s">
        <v>35</v>
      </c>
      <c r="AA1015" s="17" t="s">
        <v>35</v>
      </c>
      <c r="AB1015" s="17" t="s">
        <v>35</v>
      </c>
      <c r="AC1015" s="17" t="s">
        <v>9539</v>
      </c>
      <c r="AD1015" s="41">
        <v>43.4</v>
      </c>
      <c r="AE1015" s="41">
        <v>45.66</v>
      </c>
      <c r="AF1015" s="48"/>
      <c r="AG1015" s="44"/>
      <c r="AH1015" s="7">
        <f t="shared" si="15"/>
        <v>0</v>
      </c>
      <c r="AI1015" s="18"/>
      <c r="AJ1015" s="18"/>
      <c r="AL1015" s="18"/>
    </row>
    <row r="1016" spans="1:38" ht="26.65" customHeight="1" x14ac:dyDescent="0.25">
      <c r="A1016" s="10" t="s">
        <v>6331</v>
      </c>
      <c r="B1016" s="9" t="s">
        <v>3030</v>
      </c>
      <c r="C1016" s="9" t="s">
        <v>43</v>
      </c>
      <c r="D1016" s="9" t="s">
        <v>3031</v>
      </c>
      <c r="E1016" s="9" t="s">
        <v>35</v>
      </c>
      <c r="F1016" s="9" t="s">
        <v>36</v>
      </c>
      <c r="G1016" s="9">
        <v>5</v>
      </c>
      <c r="H1016" s="9">
        <v>84219999</v>
      </c>
      <c r="I1016" s="11" t="s">
        <v>37</v>
      </c>
      <c r="J1016" s="12">
        <v>1.6500000000000001E-2</v>
      </c>
      <c r="K1016" s="12">
        <v>7.5999999999999998E-2</v>
      </c>
      <c r="L1016" s="12">
        <v>5.1999999999999998E-2</v>
      </c>
      <c r="M1016" s="13">
        <v>8003453140233</v>
      </c>
      <c r="N1016" s="14">
        <v>0.32</v>
      </c>
      <c r="O1016" s="14">
        <v>0.48</v>
      </c>
      <c r="P1016" s="15">
        <v>45170</v>
      </c>
      <c r="Q1016" s="16" t="s">
        <v>6332</v>
      </c>
      <c r="R1016" s="17" t="s">
        <v>6333</v>
      </c>
      <c r="S1016" s="17" t="s">
        <v>6334</v>
      </c>
      <c r="T1016" s="17" t="s">
        <v>6335</v>
      </c>
      <c r="U1016" s="17" t="s">
        <v>35</v>
      </c>
      <c r="V1016" s="17" t="s">
        <v>6336</v>
      </c>
      <c r="W1016" s="17" t="s">
        <v>35</v>
      </c>
      <c r="X1016" s="17" t="s">
        <v>6337</v>
      </c>
      <c r="Y1016" s="17" t="s">
        <v>6338</v>
      </c>
      <c r="Z1016" s="17" t="s">
        <v>35</v>
      </c>
      <c r="AA1016" s="17" t="s">
        <v>35</v>
      </c>
      <c r="AB1016" s="17" t="s">
        <v>35</v>
      </c>
      <c r="AC1016" s="17" t="s">
        <v>9539</v>
      </c>
      <c r="AD1016" s="42">
        <v>85.48</v>
      </c>
      <c r="AE1016" s="42">
        <v>89.92</v>
      </c>
      <c r="AF1016" s="48"/>
      <c r="AG1016" s="44"/>
      <c r="AH1016" s="7">
        <f t="shared" si="15"/>
        <v>0</v>
      </c>
      <c r="AI1016" s="18"/>
      <c r="AJ1016" s="18"/>
    </row>
    <row r="1017" spans="1:38" ht="26.65" customHeight="1" x14ac:dyDescent="0.25">
      <c r="A1017" s="10" t="s">
        <v>6339</v>
      </c>
      <c r="B1017" s="9" t="s">
        <v>5197</v>
      </c>
      <c r="C1017" s="9" t="s">
        <v>43</v>
      </c>
      <c r="D1017" s="9" t="s">
        <v>3031</v>
      </c>
      <c r="E1017" s="9" t="s">
        <v>35</v>
      </c>
      <c r="F1017" s="9" t="s">
        <v>36</v>
      </c>
      <c r="G1017" s="9">
        <v>5</v>
      </c>
      <c r="H1017" s="9">
        <v>84219999</v>
      </c>
      <c r="I1017" s="11" t="s">
        <v>37</v>
      </c>
      <c r="J1017" s="12">
        <v>1.6500000000000001E-2</v>
      </c>
      <c r="K1017" s="12">
        <v>7.5999999999999998E-2</v>
      </c>
      <c r="L1017" s="12">
        <v>5.1999999999999998E-2</v>
      </c>
      <c r="M1017" s="13">
        <v>8003453140318</v>
      </c>
      <c r="N1017" s="14">
        <v>0.24399999999999999</v>
      </c>
      <c r="O1017" s="14">
        <v>0.32300000000000001</v>
      </c>
      <c r="P1017" s="15">
        <v>45231</v>
      </c>
      <c r="Q1017" s="16" t="s">
        <v>6340</v>
      </c>
      <c r="R1017" s="17" t="s">
        <v>6341</v>
      </c>
      <c r="S1017" s="17" t="s">
        <v>6342</v>
      </c>
      <c r="T1017" s="17" t="s">
        <v>6343</v>
      </c>
      <c r="U1017" s="17" t="s">
        <v>6344</v>
      </c>
      <c r="V1017" s="17" t="s">
        <v>6345</v>
      </c>
      <c r="W1017" s="17" t="s">
        <v>35</v>
      </c>
      <c r="X1017" s="17" t="s">
        <v>6346</v>
      </c>
      <c r="Y1017" s="17" t="s">
        <v>6347</v>
      </c>
      <c r="Z1017" s="17" t="s">
        <v>35</v>
      </c>
      <c r="AA1017" s="17" t="s">
        <v>35</v>
      </c>
      <c r="AB1017" s="17" t="s">
        <v>35</v>
      </c>
      <c r="AC1017" s="17" t="s">
        <v>9539</v>
      </c>
      <c r="AD1017" s="42">
        <v>19.100000000000001</v>
      </c>
      <c r="AE1017" s="42">
        <v>20.09</v>
      </c>
      <c r="AF1017" s="48"/>
      <c r="AG1017" s="44"/>
      <c r="AH1017" s="7">
        <f t="shared" si="15"/>
        <v>0</v>
      </c>
      <c r="AI1017" s="18"/>
      <c r="AJ1017" s="18"/>
    </row>
    <row r="1018" spans="1:38" ht="26.65" customHeight="1" x14ac:dyDescent="0.25">
      <c r="A1018" s="10" t="s">
        <v>6348</v>
      </c>
      <c r="B1018" s="9" t="s">
        <v>5197</v>
      </c>
      <c r="C1018" s="9" t="s">
        <v>43</v>
      </c>
      <c r="D1018" s="9" t="s">
        <v>3306</v>
      </c>
      <c r="E1018" s="9" t="s">
        <v>35</v>
      </c>
      <c r="F1018" s="9" t="s">
        <v>36</v>
      </c>
      <c r="G1018" s="9">
        <v>5</v>
      </c>
      <c r="H1018" s="9">
        <v>84219999</v>
      </c>
      <c r="I1018" s="11" t="s">
        <v>37</v>
      </c>
      <c r="J1018" s="12">
        <v>1.6500000000000001E-2</v>
      </c>
      <c r="K1018" s="12">
        <v>7.5999999999999998E-2</v>
      </c>
      <c r="L1018" s="12">
        <v>5.1999999999999998E-2</v>
      </c>
      <c r="M1018" s="13">
        <v>8003453140370</v>
      </c>
      <c r="N1018" s="14">
        <v>0.19600000000000001</v>
      </c>
      <c r="O1018" s="14">
        <v>0.26700000000000002</v>
      </c>
      <c r="P1018" s="15">
        <v>45047</v>
      </c>
      <c r="Q1018" s="16" t="s">
        <v>6349</v>
      </c>
      <c r="R1018" s="17" t="s">
        <v>6350</v>
      </c>
      <c r="S1018" s="17" t="s">
        <v>6351</v>
      </c>
      <c r="T1018" s="17" t="s">
        <v>6352</v>
      </c>
      <c r="U1018" s="17" t="s">
        <v>35</v>
      </c>
      <c r="V1018" s="17" t="s">
        <v>6353</v>
      </c>
      <c r="W1018" s="17" t="s">
        <v>6354</v>
      </c>
      <c r="X1018" s="17" t="s">
        <v>35</v>
      </c>
      <c r="Y1018" s="17" t="s">
        <v>6355</v>
      </c>
      <c r="Z1018" s="17" t="s">
        <v>35</v>
      </c>
      <c r="AA1018" s="17" t="s">
        <v>35</v>
      </c>
      <c r="AB1018" s="17" t="s">
        <v>35</v>
      </c>
      <c r="AC1018" s="17" t="s">
        <v>9539</v>
      </c>
      <c r="AD1018" s="41">
        <v>34.909999999999997</v>
      </c>
      <c r="AE1018" s="41">
        <v>36.729999999999997</v>
      </c>
      <c r="AF1018" s="48"/>
      <c r="AG1018" s="44"/>
      <c r="AH1018" s="7">
        <f t="shared" si="15"/>
        <v>0</v>
      </c>
      <c r="AI1018" s="18"/>
      <c r="AJ1018" s="18"/>
      <c r="AL1018" s="18"/>
    </row>
    <row r="1019" spans="1:38" ht="26.65" customHeight="1" x14ac:dyDescent="0.25">
      <c r="A1019" s="10" t="s">
        <v>6356</v>
      </c>
      <c r="B1019" s="9" t="s">
        <v>3030</v>
      </c>
      <c r="C1019" s="9" t="s">
        <v>43</v>
      </c>
      <c r="D1019" s="9" t="s">
        <v>3306</v>
      </c>
      <c r="E1019" s="9" t="s">
        <v>35</v>
      </c>
      <c r="F1019" s="9" t="s">
        <v>36</v>
      </c>
      <c r="G1019" s="9">
        <v>5</v>
      </c>
      <c r="H1019" s="9">
        <v>84219999</v>
      </c>
      <c r="I1019" s="11" t="s">
        <v>37</v>
      </c>
      <c r="J1019" s="12">
        <v>1.6500000000000001E-2</v>
      </c>
      <c r="K1019" s="12">
        <v>7.5999999999999998E-2</v>
      </c>
      <c r="L1019" s="12">
        <v>5.1999999999999998E-2</v>
      </c>
      <c r="M1019" s="13">
        <v>8003453140387</v>
      </c>
      <c r="N1019" s="14">
        <v>0.246</v>
      </c>
      <c r="O1019" s="14">
        <v>0.315</v>
      </c>
      <c r="P1019" s="15" t="s">
        <v>35</v>
      </c>
      <c r="Q1019" s="16" t="s">
        <v>6357</v>
      </c>
      <c r="R1019" s="17" t="s">
        <v>35</v>
      </c>
      <c r="S1019" s="17" t="s">
        <v>6358</v>
      </c>
      <c r="T1019" s="17" t="s">
        <v>6359</v>
      </c>
      <c r="U1019" s="17" t="s">
        <v>6360</v>
      </c>
      <c r="V1019" s="17" t="s">
        <v>35</v>
      </c>
      <c r="W1019" s="17" t="s">
        <v>35</v>
      </c>
      <c r="X1019" s="17" t="s">
        <v>6361</v>
      </c>
      <c r="Y1019" s="17" t="s">
        <v>6362</v>
      </c>
      <c r="Z1019" s="17" t="s">
        <v>35</v>
      </c>
      <c r="AA1019" s="17" t="s">
        <v>35</v>
      </c>
      <c r="AB1019" s="17" t="s">
        <v>35</v>
      </c>
      <c r="AC1019" s="17" t="s">
        <v>9539</v>
      </c>
      <c r="AD1019" s="41">
        <v>43.41</v>
      </c>
      <c r="AE1019" s="41">
        <v>45.67</v>
      </c>
      <c r="AF1019" s="48"/>
      <c r="AG1019" s="44"/>
      <c r="AH1019" s="7">
        <f t="shared" si="15"/>
        <v>0</v>
      </c>
      <c r="AI1019" s="18"/>
      <c r="AJ1019" s="18"/>
      <c r="AL1019" s="18"/>
    </row>
    <row r="1020" spans="1:38" ht="26.65" customHeight="1" x14ac:dyDescent="0.25">
      <c r="A1020" s="10" t="s">
        <v>6363</v>
      </c>
      <c r="B1020" s="9" t="s">
        <v>3030</v>
      </c>
      <c r="C1020" s="9" t="s">
        <v>43</v>
      </c>
      <c r="D1020" s="9" t="s">
        <v>3306</v>
      </c>
      <c r="E1020" s="9" t="s">
        <v>35</v>
      </c>
      <c r="F1020" s="9" t="s">
        <v>36</v>
      </c>
      <c r="G1020" s="9">
        <v>5</v>
      </c>
      <c r="H1020" s="9">
        <v>84219999</v>
      </c>
      <c r="I1020" s="11" t="s">
        <v>37</v>
      </c>
      <c r="J1020" s="12">
        <v>1.6500000000000001E-2</v>
      </c>
      <c r="K1020" s="12">
        <v>7.5999999999999998E-2</v>
      </c>
      <c r="L1020" s="12">
        <v>5.1999999999999998E-2</v>
      </c>
      <c r="M1020" s="13">
        <v>8003453140394</v>
      </c>
      <c r="N1020" s="14">
        <v>0.20100000000000001</v>
      </c>
      <c r="O1020" s="14">
        <v>0.26900000000000002</v>
      </c>
      <c r="P1020" s="15" t="s">
        <v>35</v>
      </c>
      <c r="Q1020" s="16" t="s">
        <v>6364</v>
      </c>
      <c r="R1020" s="17" t="s">
        <v>35</v>
      </c>
      <c r="S1020" s="17" t="s">
        <v>6365</v>
      </c>
      <c r="T1020" s="17" t="s">
        <v>6366</v>
      </c>
      <c r="U1020" s="17" t="s">
        <v>6367</v>
      </c>
      <c r="V1020" s="17" t="s">
        <v>6368</v>
      </c>
      <c r="W1020" s="17" t="s">
        <v>35</v>
      </c>
      <c r="X1020" s="17" t="s">
        <v>6369</v>
      </c>
      <c r="Y1020" s="17" t="s">
        <v>6370</v>
      </c>
      <c r="Z1020" s="17" t="s">
        <v>35</v>
      </c>
      <c r="AA1020" s="17" t="s">
        <v>35</v>
      </c>
      <c r="AB1020" s="17" t="s">
        <v>35</v>
      </c>
      <c r="AC1020" s="17" t="s">
        <v>9539</v>
      </c>
      <c r="AD1020" s="41">
        <v>44.26</v>
      </c>
      <c r="AE1020" s="41">
        <v>46.56</v>
      </c>
      <c r="AF1020" s="48"/>
      <c r="AG1020" s="44"/>
      <c r="AH1020" s="7">
        <f t="shared" si="15"/>
        <v>0</v>
      </c>
      <c r="AI1020" s="18"/>
      <c r="AJ1020" s="18"/>
      <c r="AL1020" s="18"/>
    </row>
    <row r="1021" spans="1:38" ht="26.65" customHeight="1" x14ac:dyDescent="0.25">
      <c r="A1021" s="10" t="s">
        <v>6371</v>
      </c>
      <c r="B1021" s="9" t="s">
        <v>3030</v>
      </c>
      <c r="C1021" s="9" t="s">
        <v>43</v>
      </c>
      <c r="D1021" s="9" t="s">
        <v>3031</v>
      </c>
      <c r="E1021" s="9" t="s">
        <v>35</v>
      </c>
      <c r="F1021" s="9" t="s">
        <v>36</v>
      </c>
      <c r="G1021" s="9">
        <v>5</v>
      </c>
      <c r="H1021" s="9">
        <v>84219999</v>
      </c>
      <c r="I1021" s="11" t="s">
        <v>37</v>
      </c>
      <c r="J1021" s="12">
        <v>1.6500000000000001E-2</v>
      </c>
      <c r="K1021" s="12">
        <v>7.5999999999999998E-2</v>
      </c>
      <c r="L1021" s="12">
        <v>5.1999999999999998E-2</v>
      </c>
      <c r="M1021" s="13">
        <v>8003453140417</v>
      </c>
      <c r="N1021" s="14">
        <v>0.24399999999999999</v>
      </c>
      <c r="O1021" s="14">
        <v>0.315</v>
      </c>
      <c r="P1021" s="15">
        <v>44774</v>
      </c>
      <c r="Q1021" s="16" t="s">
        <v>6372</v>
      </c>
      <c r="R1021" s="17" t="s">
        <v>6373</v>
      </c>
      <c r="S1021" s="17" t="s">
        <v>6374</v>
      </c>
      <c r="T1021" s="17" t="s">
        <v>6375</v>
      </c>
      <c r="U1021" s="17" t="s">
        <v>35</v>
      </c>
      <c r="V1021" s="17" t="s">
        <v>6376</v>
      </c>
      <c r="W1021" s="17" t="s">
        <v>35</v>
      </c>
      <c r="X1021" s="17" t="s">
        <v>6377</v>
      </c>
      <c r="Y1021" s="17" t="s">
        <v>6378</v>
      </c>
      <c r="Z1021" s="17" t="s">
        <v>35</v>
      </c>
      <c r="AA1021" s="17" t="s">
        <v>35</v>
      </c>
      <c r="AB1021" s="17" t="s">
        <v>35</v>
      </c>
      <c r="AC1021" s="17" t="s">
        <v>9539</v>
      </c>
      <c r="AD1021" s="41">
        <v>46.1</v>
      </c>
      <c r="AE1021" s="41">
        <v>48.5</v>
      </c>
      <c r="AF1021" s="48"/>
      <c r="AG1021" s="44"/>
      <c r="AH1021" s="7">
        <f t="shared" si="15"/>
        <v>0</v>
      </c>
      <c r="AI1021" s="18"/>
      <c r="AJ1021" s="18"/>
      <c r="AL1021" s="18"/>
    </row>
    <row r="1022" spans="1:38" ht="26.65" customHeight="1" x14ac:dyDescent="0.25">
      <c r="A1022" s="10" t="s">
        <v>6379</v>
      </c>
      <c r="B1022" s="9" t="s">
        <v>3056</v>
      </c>
      <c r="C1022" s="9" t="s">
        <v>43</v>
      </c>
      <c r="D1022" s="9" t="s">
        <v>3306</v>
      </c>
      <c r="E1022" s="9" t="s">
        <v>35</v>
      </c>
      <c r="F1022" s="9" t="s">
        <v>36</v>
      </c>
      <c r="G1022" s="9">
        <v>5</v>
      </c>
      <c r="H1022" s="9">
        <v>84219999</v>
      </c>
      <c r="I1022" s="11" t="s">
        <v>37</v>
      </c>
      <c r="J1022" s="12">
        <v>1.6500000000000001E-2</v>
      </c>
      <c r="K1022" s="12">
        <v>7.5999999999999998E-2</v>
      </c>
      <c r="L1022" s="12">
        <v>5.1999999999999998E-2</v>
      </c>
      <c r="M1022" s="13">
        <v>8003453140448</v>
      </c>
      <c r="N1022" s="14">
        <v>0.251</v>
      </c>
      <c r="O1022" s="14">
        <v>0.35699999999999998</v>
      </c>
      <c r="P1022" s="15">
        <v>45200</v>
      </c>
      <c r="Q1022" s="16" t="s">
        <v>6380</v>
      </c>
      <c r="R1022" s="17" t="s">
        <v>6381</v>
      </c>
      <c r="S1022" s="17" t="s">
        <v>6382</v>
      </c>
      <c r="T1022" s="17" t="s">
        <v>6383</v>
      </c>
      <c r="U1022" s="17" t="s">
        <v>6384</v>
      </c>
      <c r="V1022" s="17" t="s">
        <v>6383</v>
      </c>
      <c r="W1022" s="17" t="s">
        <v>35</v>
      </c>
      <c r="X1022" s="17" t="s">
        <v>6385</v>
      </c>
      <c r="Y1022" s="17" t="s">
        <v>6386</v>
      </c>
      <c r="Z1022" s="17" t="s">
        <v>35</v>
      </c>
      <c r="AA1022" s="17" t="s">
        <v>35</v>
      </c>
      <c r="AB1022" s="17" t="s">
        <v>35</v>
      </c>
      <c r="AC1022" s="17" t="s">
        <v>9539</v>
      </c>
      <c r="AD1022" s="41">
        <v>34.159999999999997</v>
      </c>
      <c r="AE1022" s="41">
        <v>35.94</v>
      </c>
      <c r="AF1022" s="48"/>
      <c r="AG1022" s="44"/>
      <c r="AH1022" s="7">
        <f t="shared" si="15"/>
        <v>0</v>
      </c>
      <c r="AI1022" s="18"/>
      <c r="AJ1022" s="18"/>
      <c r="AL1022" s="18"/>
    </row>
    <row r="1023" spans="1:38" ht="26.65" customHeight="1" x14ac:dyDescent="0.25">
      <c r="A1023" s="10" t="s">
        <v>6387</v>
      </c>
      <c r="B1023" s="9" t="s">
        <v>3030</v>
      </c>
      <c r="C1023" s="9" t="s">
        <v>43</v>
      </c>
      <c r="D1023" s="9" t="s">
        <v>3306</v>
      </c>
      <c r="E1023" s="9" t="s">
        <v>35</v>
      </c>
      <c r="F1023" s="9" t="s">
        <v>36</v>
      </c>
      <c r="G1023" s="9">
        <v>5</v>
      </c>
      <c r="H1023" s="9">
        <v>84219999</v>
      </c>
      <c r="I1023" s="11" t="s">
        <v>37</v>
      </c>
      <c r="J1023" s="12">
        <v>1.6500000000000001E-2</v>
      </c>
      <c r="K1023" s="12">
        <v>7.5999999999999998E-2</v>
      </c>
      <c r="L1023" s="12">
        <v>5.1999999999999998E-2</v>
      </c>
      <c r="M1023" s="13">
        <v>8003453140493</v>
      </c>
      <c r="N1023" s="14">
        <v>0.35399999999999998</v>
      </c>
      <c r="O1023" s="14">
        <v>0.45500000000000002</v>
      </c>
      <c r="P1023" s="15">
        <v>44531</v>
      </c>
      <c r="Q1023" s="16" t="s">
        <v>6388</v>
      </c>
      <c r="R1023" s="17" t="s">
        <v>6389</v>
      </c>
      <c r="S1023" s="17" t="s">
        <v>6390</v>
      </c>
      <c r="T1023" s="17" t="s">
        <v>6391</v>
      </c>
      <c r="U1023" s="17" t="s">
        <v>6392</v>
      </c>
      <c r="V1023" s="17" t="s">
        <v>35</v>
      </c>
      <c r="W1023" s="17" t="s">
        <v>35</v>
      </c>
      <c r="X1023" s="17" t="s">
        <v>6393</v>
      </c>
      <c r="Y1023" s="17" t="s">
        <v>6394</v>
      </c>
      <c r="Z1023" s="17" t="s">
        <v>35</v>
      </c>
      <c r="AA1023" s="17" t="s">
        <v>35</v>
      </c>
      <c r="AB1023" s="17" t="s">
        <v>35</v>
      </c>
      <c r="AC1023" s="17" t="s">
        <v>9539</v>
      </c>
      <c r="AD1023" s="42">
        <v>126.83</v>
      </c>
      <c r="AE1023" s="42">
        <v>133.43</v>
      </c>
      <c r="AF1023" s="48"/>
      <c r="AG1023" s="44"/>
      <c r="AH1023" s="7">
        <f t="shared" si="15"/>
        <v>0</v>
      </c>
      <c r="AI1023" s="18"/>
      <c r="AJ1023" s="18"/>
    </row>
    <row r="1024" spans="1:38" ht="26.65" customHeight="1" x14ac:dyDescent="0.25">
      <c r="A1024" s="10" t="s">
        <v>6395</v>
      </c>
      <c r="B1024" s="9" t="s">
        <v>3030</v>
      </c>
      <c r="C1024" s="9" t="s">
        <v>43</v>
      </c>
      <c r="D1024" s="9" t="s">
        <v>3306</v>
      </c>
      <c r="E1024" s="9" t="s">
        <v>35</v>
      </c>
      <c r="F1024" s="9" t="s">
        <v>36</v>
      </c>
      <c r="G1024" s="9">
        <v>5</v>
      </c>
      <c r="H1024" s="9">
        <v>84219999</v>
      </c>
      <c r="I1024" s="11" t="s">
        <v>37</v>
      </c>
      <c r="J1024" s="12">
        <v>1.6500000000000001E-2</v>
      </c>
      <c r="K1024" s="12">
        <v>7.5999999999999998E-2</v>
      </c>
      <c r="L1024" s="12">
        <v>5.1999999999999998E-2</v>
      </c>
      <c r="M1024" s="13">
        <v>8003453140738</v>
      </c>
      <c r="N1024" s="14">
        <v>0.43</v>
      </c>
      <c r="O1024" s="14">
        <v>0.55800000000000005</v>
      </c>
      <c r="P1024" s="15">
        <v>44531</v>
      </c>
      <c r="Q1024" s="16" t="s">
        <v>6396</v>
      </c>
      <c r="R1024" s="17" t="s">
        <v>6397</v>
      </c>
      <c r="S1024" s="17" t="s">
        <v>6398</v>
      </c>
      <c r="T1024" s="17" t="s">
        <v>35</v>
      </c>
      <c r="U1024" s="17" t="s">
        <v>6399</v>
      </c>
      <c r="V1024" s="17" t="s">
        <v>6400</v>
      </c>
      <c r="W1024" s="17" t="s">
        <v>6401</v>
      </c>
      <c r="X1024" s="17" t="s">
        <v>6402</v>
      </c>
      <c r="Y1024" s="17" t="s">
        <v>6403</v>
      </c>
      <c r="Z1024" s="17" t="s">
        <v>35</v>
      </c>
      <c r="AA1024" s="17" t="s">
        <v>35</v>
      </c>
      <c r="AB1024" s="17" t="s">
        <v>35</v>
      </c>
      <c r="AC1024" s="17" t="s">
        <v>9539</v>
      </c>
      <c r="AD1024" s="42">
        <v>19.48</v>
      </c>
      <c r="AE1024" s="42">
        <v>20.49</v>
      </c>
      <c r="AF1024" s="48"/>
      <c r="AG1024" s="44"/>
      <c r="AH1024" s="7">
        <f t="shared" si="15"/>
        <v>0</v>
      </c>
      <c r="AI1024" s="18"/>
      <c r="AJ1024" s="18"/>
    </row>
    <row r="1025" spans="1:38" ht="26.65" customHeight="1" x14ac:dyDescent="0.25">
      <c r="A1025" s="10" t="s">
        <v>9874</v>
      </c>
      <c r="B1025" s="9" t="s">
        <v>3030</v>
      </c>
      <c r="C1025" s="9" t="s">
        <v>43</v>
      </c>
      <c r="D1025" s="9" t="s">
        <v>3031</v>
      </c>
      <c r="E1025" s="9" t="s">
        <v>35</v>
      </c>
      <c r="F1025" s="9" t="s">
        <v>36</v>
      </c>
      <c r="G1025" s="9">
        <v>5</v>
      </c>
      <c r="H1025" s="9">
        <v>84219999</v>
      </c>
      <c r="I1025" s="11" t="s">
        <v>37</v>
      </c>
      <c r="J1025" s="12">
        <v>1.6500000000000001E-2</v>
      </c>
      <c r="K1025" s="12">
        <v>7.5999999999999998E-2</v>
      </c>
      <c r="L1025" s="12">
        <v>5.1999999999999998E-2</v>
      </c>
      <c r="M1025" s="13">
        <v>8003453140561</v>
      </c>
      <c r="N1025" s="14" t="s">
        <v>35</v>
      </c>
      <c r="O1025" s="14" t="s">
        <v>35</v>
      </c>
      <c r="P1025" s="15">
        <v>45536</v>
      </c>
      <c r="Q1025" s="16" t="s">
        <v>9875</v>
      </c>
      <c r="R1025" s="17" t="s">
        <v>35</v>
      </c>
      <c r="S1025" s="17" t="s">
        <v>9876</v>
      </c>
      <c r="T1025" s="17" t="s">
        <v>9877</v>
      </c>
      <c r="U1025" s="17" t="s">
        <v>9878</v>
      </c>
      <c r="V1025" s="17" t="s">
        <v>35</v>
      </c>
      <c r="W1025" s="17" t="s">
        <v>35</v>
      </c>
      <c r="X1025" s="17" t="s">
        <v>9879</v>
      </c>
      <c r="Y1025" s="17" t="s">
        <v>9880</v>
      </c>
      <c r="Z1025" s="17" t="s">
        <v>35</v>
      </c>
      <c r="AA1025" s="17" t="s">
        <v>35</v>
      </c>
      <c r="AB1025" s="17" t="s">
        <v>35</v>
      </c>
      <c r="AC1025" s="17" t="s">
        <v>9539</v>
      </c>
      <c r="AD1025" s="41">
        <v>38.81</v>
      </c>
      <c r="AE1025" s="41">
        <v>40.83</v>
      </c>
      <c r="AF1025" s="48"/>
      <c r="AG1025" s="44"/>
      <c r="AH1025" s="7">
        <f t="shared" si="15"/>
        <v>0</v>
      </c>
      <c r="AI1025" s="18"/>
      <c r="AJ1025" s="18"/>
    </row>
    <row r="1026" spans="1:38" ht="26.65" customHeight="1" x14ac:dyDescent="0.25">
      <c r="A1026" s="10" t="s">
        <v>6404</v>
      </c>
      <c r="B1026" s="9" t="s">
        <v>3030</v>
      </c>
      <c r="C1026" s="9" t="s">
        <v>43</v>
      </c>
      <c r="D1026" s="9" t="s">
        <v>3306</v>
      </c>
      <c r="E1026" s="9" t="s">
        <v>35</v>
      </c>
      <c r="F1026" s="9" t="s">
        <v>36</v>
      </c>
      <c r="G1026" s="9">
        <v>5</v>
      </c>
      <c r="H1026" s="9">
        <v>84213990</v>
      </c>
      <c r="I1026" s="11" t="s">
        <v>37</v>
      </c>
      <c r="J1026" s="12">
        <v>1.6500000000000001E-2</v>
      </c>
      <c r="K1026" s="12">
        <v>7.5999999999999998E-2</v>
      </c>
      <c r="L1026" s="12">
        <v>0</v>
      </c>
      <c r="M1026" s="13">
        <v>8003453140592</v>
      </c>
      <c r="N1026" s="14">
        <v>0.9</v>
      </c>
      <c r="O1026" s="14">
        <v>1.1000000000000001</v>
      </c>
      <c r="P1026" s="15">
        <v>44958</v>
      </c>
      <c r="Q1026" s="16" t="s">
        <v>6405</v>
      </c>
      <c r="R1026" s="17" t="s">
        <v>6406</v>
      </c>
      <c r="S1026" s="17" t="s">
        <v>6407</v>
      </c>
      <c r="T1026" s="17" t="s">
        <v>6408</v>
      </c>
      <c r="U1026" s="17" t="s">
        <v>6409</v>
      </c>
      <c r="V1026" s="17" t="s">
        <v>35</v>
      </c>
      <c r="W1026" s="17" t="s">
        <v>35</v>
      </c>
      <c r="X1026" s="17" t="s">
        <v>35</v>
      </c>
      <c r="Y1026" s="17" t="s">
        <v>6410</v>
      </c>
      <c r="Z1026" s="17" t="s">
        <v>35</v>
      </c>
      <c r="AA1026" s="17" t="s">
        <v>35</v>
      </c>
      <c r="AB1026" s="17" t="s">
        <v>35</v>
      </c>
      <c r="AC1026" s="17" t="s">
        <v>9539</v>
      </c>
      <c r="AD1026" s="42">
        <v>254.4</v>
      </c>
      <c r="AE1026" s="42">
        <v>254.4</v>
      </c>
      <c r="AF1026" s="48"/>
      <c r="AG1026" s="44"/>
      <c r="AH1026" s="7">
        <f t="shared" si="15"/>
        <v>0</v>
      </c>
      <c r="AI1026" s="18"/>
      <c r="AJ1026" s="18"/>
    </row>
    <row r="1027" spans="1:38" ht="26.65" customHeight="1" x14ac:dyDescent="0.25">
      <c r="A1027" s="10" t="s">
        <v>9881</v>
      </c>
      <c r="B1027" s="9" t="s">
        <v>3030</v>
      </c>
      <c r="C1027" s="9" t="s">
        <v>43</v>
      </c>
      <c r="D1027" s="9" t="s">
        <v>3031</v>
      </c>
      <c r="E1027" s="9" t="s">
        <v>35</v>
      </c>
      <c r="F1027" s="9" t="s">
        <v>36</v>
      </c>
      <c r="G1027" s="9">
        <v>5</v>
      </c>
      <c r="H1027" s="9">
        <v>84219999</v>
      </c>
      <c r="I1027" s="11" t="s">
        <v>37</v>
      </c>
      <c r="J1027" s="12">
        <v>1.6500000000000001E-2</v>
      </c>
      <c r="K1027" s="12">
        <v>7.5999999999999998E-2</v>
      </c>
      <c r="L1027" s="12">
        <v>5.1999999999999998E-2</v>
      </c>
      <c r="M1027" s="13">
        <v>8003453140608</v>
      </c>
      <c r="N1027" s="14" t="s">
        <v>35</v>
      </c>
      <c r="O1027" s="14" t="s">
        <v>35</v>
      </c>
      <c r="P1027" s="15">
        <v>45536</v>
      </c>
      <c r="Q1027" s="16" t="s">
        <v>9882</v>
      </c>
      <c r="R1027" s="17" t="s">
        <v>35</v>
      </c>
      <c r="S1027" s="17" t="s">
        <v>35</v>
      </c>
      <c r="T1027" s="17" t="s">
        <v>35</v>
      </c>
      <c r="U1027" s="17" t="s">
        <v>9883</v>
      </c>
      <c r="V1027" s="17" t="s">
        <v>35</v>
      </c>
      <c r="W1027" s="17" t="s">
        <v>35</v>
      </c>
      <c r="X1027" s="17" t="s">
        <v>35</v>
      </c>
      <c r="Y1027" s="17" t="s">
        <v>35</v>
      </c>
      <c r="Z1027" s="17" t="s">
        <v>35</v>
      </c>
      <c r="AA1027" s="17" t="s">
        <v>35</v>
      </c>
      <c r="AB1027" s="17" t="s">
        <v>35</v>
      </c>
      <c r="AC1027" s="17" t="s">
        <v>9539</v>
      </c>
      <c r="AD1027" s="41">
        <v>72.11</v>
      </c>
      <c r="AE1027" s="41">
        <v>75.86</v>
      </c>
      <c r="AF1027" s="48"/>
      <c r="AG1027" s="44"/>
      <c r="AH1027" s="7">
        <f t="shared" si="15"/>
        <v>0</v>
      </c>
      <c r="AI1027" s="18"/>
      <c r="AJ1027" s="18"/>
    </row>
    <row r="1028" spans="1:38" ht="26.65" customHeight="1" x14ac:dyDescent="0.25">
      <c r="A1028" s="10" t="s">
        <v>6411</v>
      </c>
      <c r="B1028" s="9" t="s">
        <v>3030</v>
      </c>
      <c r="C1028" s="9" t="s">
        <v>43</v>
      </c>
      <c r="D1028" s="9" t="s">
        <v>3306</v>
      </c>
      <c r="E1028" s="9" t="s">
        <v>35</v>
      </c>
      <c r="F1028" s="9" t="s">
        <v>36</v>
      </c>
      <c r="G1028" s="9">
        <v>5</v>
      </c>
      <c r="H1028" s="9">
        <v>84219999</v>
      </c>
      <c r="I1028" s="11" t="s">
        <v>37</v>
      </c>
      <c r="J1028" s="12">
        <v>1.6500000000000001E-2</v>
      </c>
      <c r="K1028" s="12">
        <v>7.5999999999999998E-2</v>
      </c>
      <c r="L1028" s="12">
        <v>5.1999999999999998E-2</v>
      </c>
      <c r="M1028" s="13">
        <v>8003453140745</v>
      </c>
      <c r="N1028" s="14">
        <v>0.2</v>
      </c>
      <c r="O1028" s="14">
        <v>0.25</v>
      </c>
      <c r="P1028" s="15">
        <v>44531</v>
      </c>
      <c r="Q1028" s="16" t="s">
        <v>6412</v>
      </c>
      <c r="R1028" s="17" t="s">
        <v>6413</v>
      </c>
      <c r="S1028" s="17" t="s">
        <v>6414</v>
      </c>
      <c r="T1028" s="17" t="s">
        <v>35</v>
      </c>
      <c r="U1028" s="17" t="s">
        <v>6415</v>
      </c>
      <c r="V1028" s="17" t="s">
        <v>6416</v>
      </c>
      <c r="W1028" s="17" t="s">
        <v>6417</v>
      </c>
      <c r="X1028" s="17" t="s">
        <v>6418</v>
      </c>
      <c r="Y1028" s="17" t="s">
        <v>6419</v>
      </c>
      <c r="Z1028" s="17" t="s">
        <v>35</v>
      </c>
      <c r="AA1028" s="17" t="s">
        <v>35</v>
      </c>
      <c r="AB1028" s="17" t="s">
        <v>35</v>
      </c>
      <c r="AC1028" s="17" t="s">
        <v>9539</v>
      </c>
      <c r="AD1028" s="42">
        <v>16.010000000000002</v>
      </c>
      <c r="AE1028" s="42">
        <v>16.84</v>
      </c>
      <c r="AF1028" s="48"/>
      <c r="AG1028" s="44"/>
      <c r="AH1028" s="7">
        <f t="shared" ref="AH1028:AH1091" si="16">AG1028*AE1028</f>
        <v>0</v>
      </c>
      <c r="AI1028" s="18"/>
      <c r="AJ1028" s="18"/>
    </row>
    <row r="1029" spans="1:38" ht="26.65" customHeight="1" x14ac:dyDescent="0.25">
      <c r="A1029" s="10" t="s">
        <v>6420</v>
      </c>
      <c r="B1029" s="9" t="s">
        <v>3030</v>
      </c>
      <c r="C1029" s="9" t="s">
        <v>43</v>
      </c>
      <c r="D1029" s="9" t="s">
        <v>3306</v>
      </c>
      <c r="E1029" s="9" t="s">
        <v>35</v>
      </c>
      <c r="F1029" s="9" t="s">
        <v>36</v>
      </c>
      <c r="G1029" s="9">
        <v>5</v>
      </c>
      <c r="H1029" s="9">
        <v>84219999</v>
      </c>
      <c r="I1029" s="11" t="s">
        <v>37</v>
      </c>
      <c r="J1029" s="12">
        <v>1.6500000000000001E-2</v>
      </c>
      <c r="K1029" s="12">
        <v>7.5999999999999998E-2</v>
      </c>
      <c r="L1029" s="12">
        <v>5.1999999999999998E-2</v>
      </c>
      <c r="M1029" s="13">
        <v>8003453140769</v>
      </c>
      <c r="N1029" s="14">
        <v>0.439</v>
      </c>
      <c r="O1029" s="14">
        <v>0.53600000000000003</v>
      </c>
      <c r="P1029" s="15">
        <v>44531</v>
      </c>
      <c r="Q1029" s="16" t="s">
        <v>6421</v>
      </c>
      <c r="R1029" s="17" t="s">
        <v>6422</v>
      </c>
      <c r="S1029" s="17" t="s">
        <v>35</v>
      </c>
      <c r="T1029" s="17" t="s">
        <v>35</v>
      </c>
      <c r="U1029" s="17" t="s">
        <v>6423</v>
      </c>
      <c r="V1029" s="17" t="s">
        <v>6424</v>
      </c>
      <c r="W1029" s="17" t="s">
        <v>6425</v>
      </c>
      <c r="X1029" s="17" t="s">
        <v>6426</v>
      </c>
      <c r="Y1029" s="17" t="s">
        <v>6427</v>
      </c>
      <c r="Z1029" s="17" t="s">
        <v>35</v>
      </c>
      <c r="AA1029" s="17" t="s">
        <v>35</v>
      </c>
      <c r="AB1029" s="17" t="s">
        <v>35</v>
      </c>
      <c r="AC1029" s="17" t="s">
        <v>9539</v>
      </c>
      <c r="AD1029" s="42">
        <v>28.49</v>
      </c>
      <c r="AE1029" s="42">
        <v>29.97</v>
      </c>
      <c r="AF1029" s="48"/>
      <c r="AG1029" s="44"/>
      <c r="AH1029" s="7">
        <f t="shared" si="16"/>
        <v>0</v>
      </c>
      <c r="AI1029" s="18"/>
      <c r="AJ1029" s="18"/>
    </row>
    <row r="1030" spans="1:38" ht="26.65" customHeight="1" x14ac:dyDescent="0.25">
      <c r="A1030" s="10" t="s">
        <v>6428</v>
      </c>
      <c r="B1030" s="9" t="s">
        <v>3030</v>
      </c>
      <c r="C1030" s="9" t="s">
        <v>43</v>
      </c>
      <c r="D1030" s="9" t="s">
        <v>3306</v>
      </c>
      <c r="E1030" s="9" t="s">
        <v>35</v>
      </c>
      <c r="F1030" s="9" t="s">
        <v>36</v>
      </c>
      <c r="G1030" s="9">
        <v>5</v>
      </c>
      <c r="H1030" s="9">
        <v>84219999</v>
      </c>
      <c r="I1030" s="11" t="s">
        <v>37</v>
      </c>
      <c r="J1030" s="12">
        <v>1.6500000000000001E-2</v>
      </c>
      <c r="K1030" s="12">
        <v>7.5999999999999998E-2</v>
      </c>
      <c r="L1030" s="12">
        <v>5.1999999999999998E-2</v>
      </c>
      <c r="M1030" s="13">
        <v>8003453140776</v>
      </c>
      <c r="N1030" s="14">
        <v>0.25</v>
      </c>
      <c r="O1030" s="14">
        <v>0.34</v>
      </c>
      <c r="P1030" s="15">
        <v>44378</v>
      </c>
      <c r="Q1030" s="16" t="s">
        <v>6429</v>
      </c>
      <c r="R1030" s="17" t="s">
        <v>6430</v>
      </c>
      <c r="S1030" s="17" t="s">
        <v>6431</v>
      </c>
      <c r="T1030" s="17" t="s">
        <v>35</v>
      </c>
      <c r="U1030" s="17" t="s">
        <v>6432</v>
      </c>
      <c r="V1030" s="17" t="s">
        <v>6433</v>
      </c>
      <c r="W1030" s="17" t="s">
        <v>6434</v>
      </c>
      <c r="X1030" s="17" t="s">
        <v>6435</v>
      </c>
      <c r="Y1030" s="17" t="s">
        <v>6436</v>
      </c>
      <c r="Z1030" s="17" t="s">
        <v>35</v>
      </c>
      <c r="AA1030" s="17" t="s">
        <v>35</v>
      </c>
      <c r="AB1030" s="17" t="s">
        <v>35</v>
      </c>
      <c r="AC1030" s="17" t="s">
        <v>9539</v>
      </c>
      <c r="AD1030" s="42">
        <v>23.9</v>
      </c>
      <c r="AE1030" s="42">
        <v>25.14</v>
      </c>
      <c r="AF1030" s="48"/>
      <c r="AG1030" s="44"/>
      <c r="AH1030" s="7">
        <f t="shared" si="16"/>
        <v>0</v>
      </c>
      <c r="AI1030" s="18"/>
      <c r="AJ1030" s="18"/>
    </row>
    <row r="1031" spans="1:38" ht="26.65" customHeight="1" x14ac:dyDescent="0.25">
      <c r="A1031" s="10" t="s">
        <v>9884</v>
      </c>
      <c r="B1031" s="9" t="s">
        <v>3030</v>
      </c>
      <c r="C1031" s="9" t="s">
        <v>43</v>
      </c>
      <c r="D1031" s="9" t="s">
        <v>3031</v>
      </c>
      <c r="E1031" s="9" t="s">
        <v>35</v>
      </c>
      <c r="F1031" s="9" t="s">
        <v>36</v>
      </c>
      <c r="G1031" s="9">
        <v>5</v>
      </c>
      <c r="H1031" s="9">
        <v>84219999</v>
      </c>
      <c r="I1031" s="11" t="s">
        <v>37</v>
      </c>
      <c r="J1031" s="12">
        <v>1.6500000000000001E-2</v>
      </c>
      <c r="K1031" s="12">
        <v>7.5999999999999998E-2</v>
      </c>
      <c r="L1031" s="12">
        <v>5.1999999999999998E-2</v>
      </c>
      <c r="M1031" s="13">
        <v>8003453140806</v>
      </c>
      <c r="N1031" s="14" t="s">
        <v>35</v>
      </c>
      <c r="O1031" s="14" t="s">
        <v>35</v>
      </c>
      <c r="P1031" s="15">
        <v>45536</v>
      </c>
      <c r="Q1031" s="16" t="s">
        <v>9885</v>
      </c>
      <c r="R1031" s="17" t="s">
        <v>35</v>
      </c>
      <c r="S1031" s="17" t="s">
        <v>9886</v>
      </c>
      <c r="T1031" s="17" t="s">
        <v>9887</v>
      </c>
      <c r="U1031" s="17" t="s">
        <v>9888</v>
      </c>
      <c r="V1031" s="17" t="s">
        <v>35</v>
      </c>
      <c r="W1031" s="17" t="s">
        <v>35</v>
      </c>
      <c r="X1031" s="17" t="s">
        <v>35</v>
      </c>
      <c r="Y1031" s="17" t="s">
        <v>9889</v>
      </c>
      <c r="Z1031" s="17" t="s">
        <v>35</v>
      </c>
      <c r="AA1031" s="17" t="s">
        <v>35</v>
      </c>
      <c r="AB1031" s="17" t="s">
        <v>35</v>
      </c>
      <c r="AC1031" s="17" t="s">
        <v>9539</v>
      </c>
      <c r="AD1031" s="41">
        <v>48.05</v>
      </c>
      <c r="AE1031" s="41">
        <v>50.55</v>
      </c>
      <c r="AF1031" s="48"/>
      <c r="AG1031" s="44"/>
      <c r="AH1031" s="7">
        <f t="shared" si="16"/>
        <v>0</v>
      </c>
      <c r="AI1031" s="18"/>
      <c r="AJ1031" s="18"/>
    </row>
    <row r="1032" spans="1:38" ht="26.65" customHeight="1" x14ac:dyDescent="0.25">
      <c r="A1032" s="10" t="s">
        <v>6437</v>
      </c>
      <c r="B1032" s="9" t="s">
        <v>3030</v>
      </c>
      <c r="C1032" s="9" t="s">
        <v>43</v>
      </c>
      <c r="D1032" s="9" t="s">
        <v>3306</v>
      </c>
      <c r="E1032" s="9" t="s">
        <v>35</v>
      </c>
      <c r="F1032" s="9" t="s">
        <v>36</v>
      </c>
      <c r="G1032" s="9">
        <v>5</v>
      </c>
      <c r="H1032" s="9">
        <v>84219999</v>
      </c>
      <c r="I1032" s="11" t="s">
        <v>37</v>
      </c>
      <c r="J1032" s="12">
        <v>1.6500000000000001E-2</v>
      </c>
      <c r="K1032" s="12">
        <v>7.5999999999999998E-2</v>
      </c>
      <c r="L1032" s="12">
        <v>5.1999999999999998E-2</v>
      </c>
      <c r="M1032" s="13">
        <v>8003453802278</v>
      </c>
      <c r="N1032" s="14">
        <v>0.26</v>
      </c>
      <c r="O1032" s="14">
        <v>0.36799999999999999</v>
      </c>
      <c r="P1032" s="15">
        <v>44531</v>
      </c>
      <c r="Q1032" s="16" t="s">
        <v>6438</v>
      </c>
      <c r="R1032" s="17" t="s">
        <v>6439</v>
      </c>
      <c r="S1032" s="17" t="s">
        <v>6440</v>
      </c>
      <c r="T1032" s="17" t="s">
        <v>35</v>
      </c>
      <c r="U1032" s="17" t="s">
        <v>6441</v>
      </c>
      <c r="V1032" s="17" t="s">
        <v>6442</v>
      </c>
      <c r="W1032" s="17" t="s">
        <v>6443</v>
      </c>
      <c r="X1032" s="17" t="s">
        <v>6444</v>
      </c>
      <c r="Y1032" s="17" t="s">
        <v>6445</v>
      </c>
      <c r="Z1032" s="17" t="s">
        <v>35</v>
      </c>
      <c r="AA1032" s="17" t="s">
        <v>35</v>
      </c>
      <c r="AB1032" s="17" t="s">
        <v>35</v>
      </c>
      <c r="AC1032" s="17" t="s">
        <v>9539</v>
      </c>
      <c r="AD1032" s="42">
        <v>31.97</v>
      </c>
      <c r="AE1032" s="42">
        <v>33.630000000000003</v>
      </c>
      <c r="AF1032" s="48"/>
      <c r="AG1032" s="44"/>
      <c r="AH1032" s="7">
        <f t="shared" si="16"/>
        <v>0</v>
      </c>
      <c r="AI1032" s="18"/>
      <c r="AJ1032" s="18"/>
    </row>
    <row r="1033" spans="1:38" ht="26.65" customHeight="1" x14ac:dyDescent="0.25">
      <c r="A1033" s="10" t="s">
        <v>6446</v>
      </c>
      <c r="B1033" s="9" t="s">
        <v>3030</v>
      </c>
      <c r="C1033" s="9" t="s">
        <v>43</v>
      </c>
      <c r="D1033" s="9" t="s">
        <v>3306</v>
      </c>
      <c r="E1033" s="9" t="s">
        <v>35</v>
      </c>
      <c r="F1033" s="9" t="s">
        <v>36</v>
      </c>
      <c r="G1033" s="9">
        <v>5</v>
      </c>
      <c r="H1033" s="9">
        <v>84219999</v>
      </c>
      <c r="I1033" s="11" t="s">
        <v>37</v>
      </c>
      <c r="J1033" s="12">
        <v>1.6500000000000001E-2</v>
      </c>
      <c r="K1033" s="12">
        <v>7.5999999999999998E-2</v>
      </c>
      <c r="L1033" s="12">
        <v>5.1999999999999998E-2</v>
      </c>
      <c r="M1033" s="13">
        <v>8003453140899</v>
      </c>
      <c r="N1033" s="14">
        <v>0.29599999999999999</v>
      </c>
      <c r="O1033" s="14">
        <v>0.39600000000000002</v>
      </c>
      <c r="P1033" s="15">
        <v>44958</v>
      </c>
      <c r="Q1033" s="16" t="s">
        <v>6447</v>
      </c>
      <c r="R1033" s="17" t="s">
        <v>6448</v>
      </c>
      <c r="S1033" s="17" t="s">
        <v>6449</v>
      </c>
      <c r="T1033" s="17" t="s">
        <v>6450</v>
      </c>
      <c r="U1033" s="17" t="s">
        <v>6451</v>
      </c>
      <c r="V1033" s="17" t="s">
        <v>35</v>
      </c>
      <c r="W1033" s="17" t="s">
        <v>35</v>
      </c>
      <c r="X1033" s="17" t="s">
        <v>6452</v>
      </c>
      <c r="Y1033" s="17" t="s">
        <v>6453</v>
      </c>
      <c r="Z1033" s="17" t="s">
        <v>35</v>
      </c>
      <c r="AA1033" s="17" t="s">
        <v>35</v>
      </c>
      <c r="AB1033" s="17" t="s">
        <v>35</v>
      </c>
      <c r="AC1033" s="17" t="s">
        <v>9539</v>
      </c>
      <c r="AD1033" s="42">
        <v>120.24</v>
      </c>
      <c r="AE1033" s="42">
        <v>126.49</v>
      </c>
      <c r="AF1033" s="48"/>
      <c r="AG1033" s="44"/>
      <c r="AH1033" s="7">
        <f t="shared" si="16"/>
        <v>0</v>
      </c>
      <c r="AI1033" s="18"/>
      <c r="AJ1033" s="18"/>
    </row>
    <row r="1034" spans="1:38" ht="26.65" customHeight="1" x14ac:dyDescent="0.25">
      <c r="A1034" s="10" t="s">
        <v>6454</v>
      </c>
      <c r="B1034" s="9" t="s">
        <v>3030</v>
      </c>
      <c r="C1034" s="9" t="s">
        <v>43</v>
      </c>
      <c r="D1034" s="9" t="s">
        <v>3306</v>
      </c>
      <c r="E1034" s="9" t="s">
        <v>35</v>
      </c>
      <c r="F1034" s="9" t="s">
        <v>36</v>
      </c>
      <c r="G1034" s="9">
        <v>5</v>
      </c>
      <c r="H1034" s="9">
        <v>84219999</v>
      </c>
      <c r="I1034" s="11" t="s">
        <v>37</v>
      </c>
      <c r="J1034" s="12">
        <v>1.6500000000000001E-2</v>
      </c>
      <c r="K1034" s="12">
        <v>7.5999999999999998E-2</v>
      </c>
      <c r="L1034" s="12">
        <v>5.1999999999999998E-2</v>
      </c>
      <c r="M1034" s="13">
        <v>8003453803688</v>
      </c>
      <c r="N1034" s="14">
        <v>0.30099999999999999</v>
      </c>
      <c r="O1034" s="14">
        <v>0.372</v>
      </c>
      <c r="P1034" s="15">
        <v>44531</v>
      </c>
      <c r="Q1034" s="16" t="s">
        <v>6455</v>
      </c>
      <c r="R1034" s="17" t="s">
        <v>6456</v>
      </c>
      <c r="S1034" s="17" t="s">
        <v>6457</v>
      </c>
      <c r="T1034" s="17" t="s">
        <v>35</v>
      </c>
      <c r="U1034" s="17" t="s">
        <v>6458</v>
      </c>
      <c r="V1034" s="17" t="s">
        <v>6459</v>
      </c>
      <c r="W1034" s="17" t="s">
        <v>6460</v>
      </c>
      <c r="X1034" s="17" t="s">
        <v>6461</v>
      </c>
      <c r="Y1034" s="17" t="s">
        <v>6462</v>
      </c>
      <c r="Z1034" s="17" t="s">
        <v>35</v>
      </c>
      <c r="AA1034" s="17" t="s">
        <v>35</v>
      </c>
      <c r="AB1034" s="17" t="s">
        <v>35</v>
      </c>
      <c r="AC1034" s="17" t="s">
        <v>9539</v>
      </c>
      <c r="AD1034" s="41">
        <v>29.65</v>
      </c>
      <c r="AE1034" s="41">
        <v>31.19</v>
      </c>
      <c r="AF1034" s="48"/>
      <c r="AG1034" s="44"/>
      <c r="AH1034" s="7">
        <f t="shared" si="16"/>
        <v>0</v>
      </c>
      <c r="AI1034" s="18"/>
      <c r="AJ1034" s="18"/>
      <c r="AL1034" s="18"/>
    </row>
    <row r="1035" spans="1:38" ht="26.65" customHeight="1" x14ac:dyDescent="0.25">
      <c r="A1035" s="10" t="s">
        <v>6463</v>
      </c>
      <c r="B1035" s="9" t="s">
        <v>3030</v>
      </c>
      <c r="C1035" s="9" t="s">
        <v>43</v>
      </c>
      <c r="D1035" s="9" t="s">
        <v>3306</v>
      </c>
      <c r="E1035" s="9" t="s">
        <v>35</v>
      </c>
      <c r="F1035" s="9" t="s">
        <v>36</v>
      </c>
      <c r="G1035" s="9">
        <v>5</v>
      </c>
      <c r="H1035" s="9">
        <v>84219999</v>
      </c>
      <c r="I1035" s="11" t="s">
        <v>37</v>
      </c>
      <c r="J1035" s="12">
        <v>1.6500000000000001E-2</v>
      </c>
      <c r="K1035" s="12">
        <v>7.5999999999999998E-2</v>
      </c>
      <c r="L1035" s="12">
        <v>5.1999999999999998E-2</v>
      </c>
      <c r="M1035" s="13">
        <v>8003453803695</v>
      </c>
      <c r="N1035" s="14">
        <v>0.46400000000000002</v>
      </c>
      <c r="O1035" s="14">
        <v>0.55800000000000005</v>
      </c>
      <c r="P1035" s="15">
        <v>44531</v>
      </c>
      <c r="Q1035" s="16" t="s">
        <v>6464</v>
      </c>
      <c r="R1035" s="17" t="s">
        <v>6465</v>
      </c>
      <c r="S1035" s="17" t="s">
        <v>6466</v>
      </c>
      <c r="T1035" s="17" t="s">
        <v>35</v>
      </c>
      <c r="U1035" s="17" t="s">
        <v>6467</v>
      </c>
      <c r="V1035" s="17" t="s">
        <v>6468</v>
      </c>
      <c r="W1035" s="17" t="s">
        <v>6469</v>
      </c>
      <c r="X1035" s="17" t="s">
        <v>6470</v>
      </c>
      <c r="Y1035" s="17" t="s">
        <v>6471</v>
      </c>
      <c r="Z1035" s="17" t="s">
        <v>35</v>
      </c>
      <c r="AA1035" s="17" t="s">
        <v>35</v>
      </c>
      <c r="AB1035" s="17" t="s">
        <v>35</v>
      </c>
      <c r="AC1035" s="17" t="s">
        <v>9539</v>
      </c>
      <c r="AD1035" s="42">
        <v>32.56</v>
      </c>
      <c r="AE1035" s="42">
        <v>34.25</v>
      </c>
      <c r="AF1035" s="48"/>
      <c r="AG1035" s="44"/>
      <c r="AH1035" s="7">
        <f t="shared" si="16"/>
        <v>0</v>
      </c>
      <c r="AI1035" s="18"/>
      <c r="AJ1035" s="18"/>
    </row>
    <row r="1036" spans="1:38" ht="26.65" customHeight="1" x14ac:dyDescent="0.25">
      <c r="A1036" s="10" t="s">
        <v>6472</v>
      </c>
      <c r="B1036" s="9" t="s">
        <v>3030</v>
      </c>
      <c r="C1036" s="9" t="s">
        <v>43</v>
      </c>
      <c r="D1036" s="9" t="s">
        <v>3306</v>
      </c>
      <c r="E1036" s="9" t="s">
        <v>35</v>
      </c>
      <c r="F1036" s="9" t="s">
        <v>36</v>
      </c>
      <c r="G1036" s="9">
        <v>5</v>
      </c>
      <c r="H1036" s="9">
        <v>84219999</v>
      </c>
      <c r="I1036" s="11" t="s">
        <v>37</v>
      </c>
      <c r="J1036" s="12">
        <v>1.6500000000000001E-2</v>
      </c>
      <c r="K1036" s="12">
        <v>7.5999999999999998E-2</v>
      </c>
      <c r="L1036" s="12">
        <v>5.1999999999999998E-2</v>
      </c>
      <c r="M1036" s="13">
        <v>8003453803701</v>
      </c>
      <c r="N1036" s="14">
        <v>0.16</v>
      </c>
      <c r="O1036" s="14">
        <v>0.21</v>
      </c>
      <c r="P1036" s="15">
        <v>44531</v>
      </c>
      <c r="Q1036" s="16" t="s">
        <v>6473</v>
      </c>
      <c r="R1036" s="17" t="s">
        <v>6474</v>
      </c>
      <c r="S1036" s="17" t="s">
        <v>6475</v>
      </c>
      <c r="T1036" s="17" t="s">
        <v>35</v>
      </c>
      <c r="U1036" s="17" t="s">
        <v>6476</v>
      </c>
      <c r="V1036" s="17" t="s">
        <v>6477</v>
      </c>
      <c r="W1036" s="17" t="s">
        <v>6478</v>
      </c>
      <c r="X1036" s="17" t="s">
        <v>6479</v>
      </c>
      <c r="Y1036" s="17" t="s">
        <v>6480</v>
      </c>
      <c r="Z1036" s="17" t="s">
        <v>35</v>
      </c>
      <c r="AA1036" s="17" t="s">
        <v>35</v>
      </c>
      <c r="AB1036" s="17" t="s">
        <v>35</v>
      </c>
      <c r="AC1036" s="17" t="s">
        <v>9539</v>
      </c>
      <c r="AD1036" s="42">
        <v>22.87</v>
      </c>
      <c r="AE1036" s="42">
        <v>24.06</v>
      </c>
      <c r="AF1036" s="48"/>
      <c r="AG1036" s="44"/>
      <c r="AH1036" s="7">
        <f t="shared" si="16"/>
        <v>0</v>
      </c>
      <c r="AI1036" s="18"/>
      <c r="AJ1036" s="18"/>
    </row>
    <row r="1037" spans="1:38" ht="26.65" customHeight="1" x14ac:dyDescent="0.25">
      <c r="A1037" s="10" t="s">
        <v>6481</v>
      </c>
      <c r="B1037" s="9" t="s">
        <v>3030</v>
      </c>
      <c r="C1037" s="9" t="s">
        <v>43</v>
      </c>
      <c r="D1037" s="9" t="s">
        <v>3306</v>
      </c>
      <c r="E1037" s="9" t="s">
        <v>35</v>
      </c>
      <c r="F1037" s="9" t="s">
        <v>36</v>
      </c>
      <c r="G1037" s="9">
        <v>5</v>
      </c>
      <c r="H1037" s="9">
        <v>84213990</v>
      </c>
      <c r="I1037" s="11" t="s">
        <v>37</v>
      </c>
      <c r="J1037" s="12">
        <v>1.6500000000000001E-2</v>
      </c>
      <c r="K1037" s="12">
        <v>7.5999999999999998E-2</v>
      </c>
      <c r="L1037" s="12">
        <v>0</v>
      </c>
      <c r="M1037" s="13">
        <v>8003453141001</v>
      </c>
      <c r="N1037" s="14">
        <v>0.43</v>
      </c>
      <c r="O1037" s="14">
        <v>0.61</v>
      </c>
      <c r="P1037" s="15">
        <v>44986</v>
      </c>
      <c r="Q1037" s="16" t="s">
        <v>6482</v>
      </c>
      <c r="R1037" s="17" t="s">
        <v>6483</v>
      </c>
      <c r="S1037" s="17" t="s">
        <v>6484</v>
      </c>
      <c r="T1037" s="17" t="s">
        <v>6485</v>
      </c>
      <c r="U1037" s="17" t="s">
        <v>6486</v>
      </c>
      <c r="V1037" s="17" t="s">
        <v>35</v>
      </c>
      <c r="W1037" s="17" t="s">
        <v>35</v>
      </c>
      <c r="X1037" s="17" t="s">
        <v>35</v>
      </c>
      <c r="Y1037" s="17" t="s">
        <v>6487</v>
      </c>
      <c r="Z1037" s="17" t="s">
        <v>35</v>
      </c>
      <c r="AA1037" s="17" t="s">
        <v>35</v>
      </c>
      <c r="AB1037" s="17" t="s">
        <v>35</v>
      </c>
      <c r="AC1037" s="17" t="s">
        <v>9539</v>
      </c>
      <c r="AD1037" s="42">
        <v>170.7</v>
      </c>
      <c r="AE1037" s="42">
        <v>170.7</v>
      </c>
      <c r="AF1037" s="48"/>
      <c r="AG1037" s="44"/>
      <c r="AH1037" s="7">
        <f t="shared" si="16"/>
        <v>0</v>
      </c>
      <c r="AI1037" s="18"/>
      <c r="AJ1037" s="18"/>
    </row>
    <row r="1038" spans="1:38" ht="26.65" customHeight="1" x14ac:dyDescent="0.25">
      <c r="A1038" s="10" t="s">
        <v>6488</v>
      </c>
      <c r="B1038" s="9" t="s">
        <v>3030</v>
      </c>
      <c r="C1038" s="9" t="s">
        <v>43</v>
      </c>
      <c r="D1038" s="9" t="s">
        <v>3031</v>
      </c>
      <c r="E1038" s="9" t="s">
        <v>35</v>
      </c>
      <c r="F1038" s="9" t="s">
        <v>36</v>
      </c>
      <c r="G1038" s="9">
        <v>5</v>
      </c>
      <c r="H1038" s="9">
        <v>84219999</v>
      </c>
      <c r="I1038" s="11" t="s">
        <v>37</v>
      </c>
      <c r="J1038" s="12">
        <v>1.6500000000000001E-2</v>
      </c>
      <c r="K1038" s="12">
        <v>7.5999999999999998E-2</v>
      </c>
      <c r="L1038" s="12">
        <v>5.1999999999999998E-2</v>
      </c>
      <c r="M1038" s="13">
        <v>8003453141056</v>
      </c>
      <c r="N1038" s="14">
        <v>0.18</v>
      </c>
      <c r="O1038" s="14">
        <v>0.24</v>
      </c>
      <c r="P1038" s="15">
        <v>44774</v>
      </c>
      <c r="Q1038" s="16" t="s">
        <v>6489</v>
      </c>
      <c r="R1038" s="17" t="s">
        <v>6490</v>
      </c>
      <c r="S1038" s="17" t="s">
        <v>6491</v>
      </c>
      <c r="T1038" s="17" t="s">
        <v>35</v>
      </c>
      <c r="U1038" s="17" t="s">
        <v>6492</v>
      </c>
      <c r="V1038" s="17" t="s">
        <v>6493</v>
      </c>
      <c r="W1038" s="17" t="s">
        <v>6494</v>
      </c>
      <c r="X1038" s="17" t="s">
        <v>6495</v>
      </c>
      <c r="Y1038" s="17" t="s">
        <v>6496</v>
      </c>
      <c r="Z1038" s="17" t="s">
        <v>6497</v>
      </c>
      <c r="AA1038" s="17" t="s">
        <v>35</v>
      </c>
      <c r="AB1038" s="17" t="s">
        <v>35</v>
      </c>
      <c r="AC1038" s="17" t="s">
        <v>9539</v>
      </c>
      <c r="AD1038" s="42">
        <v>34.229999999999997</v>
      </c>
      <c r="AE1038" s="42">
        <v>36.01</v>
      </c>
      <c r="AF1038" s="48"/>
      <c r="AG1038" s="44"/>
      <c r="AH1038" s="7">
        <f t="shared" si="16"/>
        <v>0</v>
      </c>
      <c r="AI1038" s="18"/>
      <c r="AJ1038" s="18"/>
    </row>
    <row r="1039" spans="1:38" ht="26.65" customHeight="1" x14ac:dyDescent="0.25">
      <c r="A1039" s="10" t="s">
        <v>6498</v>
      </c>
      <c r="B1039" s="9" t="s">
        <v>5197</v>
      </c>
      <c r="C1039" s="9" t="s">
        <v>43</v>
      </c>
      <c r="D1039" s="9" t="s">
        <v>3031</v>
      </c>
      <c r="E1039" s="9" t="s">
        <v>35</v>
      </c>
      <c r="F1039" s="9" t="s">
        <v>36</v>
      </c>
      <c r="G1039" s="9">
        <v>5</v>
      </c>
      <c r="H1039" s="9">
        <v>84219999</v>
      </c>
      <c r="I1039" s="11" t="s">
        <v>37</v>
      </c>
      <c r="J1039" s="12">
        <v>1.6500000000000001E-2</v>
      </c>
      <c r="K1039" s="12">
        <v>7.5999999999999998E-2</v>
      </c>
      <c r="L1039" s="12">
        <v>5.1999999999999998E-2</v>
      </c>
      <c r="M1039" s="13">
        <v>8003453141261</v>
      </c>
      <c r="N1039" s="14">
        <v>0.30499999999999999</v>
      </c>
      <c r="O1039" s="14">
        <v>0.38600000000000001</v>
      </c>
      <c r="P1039" s="15">
        <v>45047</v>
      </c>
      <c r="Q1039" s="16" t="s">
        <v>6499</v>
      </c>
      <c r="R1039" s="17" t="s">
        <v>6500</v>
      </c>
      <c r="S1039" s="17" t="s">
        <v>6501</v>
      </c>
      <c r="T1039" s="17" t="s">
        <v>6502</v>
      </c>
      <c r="U1039" s="17" t="s">
        <v>6503</v>
      </c>
      <c r="V1039" s="17" t="s">
        <v>6504</v>
      </c>
      <c r="W1039" s="17" t="s">
        <v>35</v>
      </c>
      <c r="X1039" s="17" t="s">
        <v>35</v>
      </c>
      <c r="Y1039" s="17" t="s">
        <v>35</v>
      </c>
      <c r="Z1039" s="17" t="s">
        <v>35</v>
      </c>
      <c r="AA1039" s="17" t="s">
        <v>35</v>
      </c>
      <c r="AB1039" s="17" t="s">
        <v>35</v>
      </c>
      <c r="AC1039" s="17" t="s">
        <v>9539</v>
      </c>
      <c r="AD1039" s="42">
        <v>156.86000000000001</v>
      </c>
      <c r="AE1039" s="42">
        <v>165.02</v>
      </c>
      <c r="AF1039" s="48"/>
      <c r="AG1039" s="44"/>
      <c r="AH1039" s="7">
        <f t="shared" si="16"/>
        <v>0</v>
      </c>
      <c r="AI1039" s="18"/>
      <c r="AJ1039" s="18"/>
    </row>
    <row r="1040" spans="1:38" ht="26.65" customHeight="1" x14ac:dyDescent="0.25">
      <c r="A1040" s="10" t="s">
        <v>6505</v>
      </c>
      <c r="B1040" s="9" t="s">
        <v>3030</v>
      </c>
      <c r="C1040" s="9" t="s">
        <v>43</v>
      </c>
      <c r="D1040" s="9" t="s">
        <v>3306</v>
      </c>
      <c r="E1040" s="9" t="s">
        <v>35</v>
      </c>
      <c r="F1040" s="9" t="s">
        <v>36</v>
      </c>
      <c r="G1040" s="9">
        <v>5</v>
      </c>
      <c r="H1040" s="9">
        <v>84219999</v>
      </c>
      <c r="I1040" s="11" t="s">
        <v>37</v>
      </c>
      <c r="J1040" s="12">
        <v>1.6500000000000001E-2</v>
      </c>
      <c r="K1040" s="12">
        <v>7.5999999999999998E-2</v>
      </c>
      <c r="L1040" s="12">
        <v>5.1999999999999998E-2</v>
      </c>
      <c r="M1040" s="13">
        <v>8003453141612</v>
      </c>
      <c r="N1040" s="14">
        <v>0.109</v>
      </c>
      <c r="O1040" s="14">
        <v>0.186</v>
      </c>
      <c r="P1040" s="15">
        <v>44986</v>
      </c>
      <c r="Q1040" s="16" t="s">
        <v>6506</v>
      </c>
      <c r="R1040" s="17" t="s">
        <v>6507</v>
      </c>
      <c r="S1040" s="17" t="s">
        <v>6508</v>
      </c>
      <c r="T1040" s="17" t="s">
        <v>6509</v>
      </c>
      <c r="U1040" s="17" t="s">
        <v>6510</v>
      </c>
      <c r="V1040" s="17" t="s">
        <v>6511</v>
      </c>
      <c r="W1040" s="17" t="s">
        <v>6512</v>
      </c>
      <c r="X1040" s="17" t="s">
        <v>35</v>
      </c>
      <c r="Y1040" s="17" t="s">
        <v>6513</v>
      </c>
      <c r="Z1040" s="17" t="s">
        <v>35</v>
      </c>
      <c r="AA1040" s="17" t="s">
        <v>35</v>
      </c>
      <c r="AB1040" s="17" t="s">
        <v>35</v>
      </c>
      <c r="AC1040" s="17" t="s">
        <v>9539</v>
      </c>
      <c r="AD1040" s="42">
        <v>25.23</v>
      </c>
      <c r="AE1040" s="42">
        <v>26.54</v>
      </c>
      <c r="AF1040" s="48"/>
      <c r="AG1040" s="44"/>
      <c r="AH1040" s="7">
        <f t="shared" si="16"/>
        <v>0</v>
      </c>
      <c r="AI1040" s="18"/>
      <c r="AJ1040" s="18"/>
    </row>
    <row r="1041" spans="1:38" ht="26.65" customHeight="1" x14ac:dyDescent="0.25">
      <c r="A1041" s="10" t="s">
        <v>6514</v>
      </c>
      <c r="B1041" s="9" t="s">
        <v>3056</v>
      </c>
      <c r="C1041" s="9" t="s">
        <v>43</v>
      </c>
      <c r="D1041" s="9" t="s">
        <v>3306</v>
      </c>
      <c r="E1041" s="9" t="s">
        <v>35</v>
      </c>
      <c r="F1041" s="9" t="s">
        <v>36</v>
      </c>
      <c r="G1041" s="9">
        <v>5</v>
      </c>
      <c r="H1041" s="9">
        <v>84219999</v>
      </c>
      <c r="I1041" s="11" t="s">
        <v>37</v>
      </c>
      <c r="J1041" s="12">
        <v>1.6500000000000001E-2</v>
      </c>
      <c r="K1041" s="12">
        <v>7.5999999999999998E-2</v>
      </c>
      <c r="L1041" s="12">
        <v>5.1999999999999998E-2</v>
      </c>
      <c r="M1041" s="13">
        <v>8003453141124</v>
      </c>
      <c r="N1041" s="14">
        <v>0.29799999999999999</v>
      </c>
      <c r="O1041" s="14">
        <v>0.38200000000000001</v>
      </c>
      <c r="P1041" s="15">
        <v>45200</v>
      </c>
      <c r="Q1041" s="16" t="s">
        <v>6515</v>
      </c>
      <c r="R1041" s="17" t="s">
        <v>6516</v>
      </c>
      <c r="S1041" s="17" t="s">
        <v>6517</v>
      </c>
      <c r="T1041" s="17" t="s">
        <v>35</v>
      </c>
      <c r="U1041" s="17" t="s">
        <v>35</v>
      </c>
      <c r="V1041" s="17" t="s">
        <v>35</v>
      </c>
      <c r="W1041" s="17" t="s">
        <v>35</v>
      </c>
      <c r="X1041" s="17" t="s">
        <v>35</v>
      </c>
      <c r="Y1041" s="17" t="s">
        <v>6518</v>
      </c>
      <c r="Z1041" s="17" t="s">
        <v>35</v>
      </c>
      <c r="AA1041" s="17" t="s">
        <v>35</v>
      </c>
      <c r="AB1041" s="17" t="s">
        <v>35</v>
      </c>
      <c r="AC1041" s="17" t="s">
        <v>9539</v>
      </c>
      <c r="AD1041" s="41">
        <v>125.42</v>
      </c>
      <c r="AE1041" s="41">
        <v>131.94</v>
      </c>
      <c r="AF1041" s="48"/>
      <c r="AG1041" s="44"/>
      <c r="AH1041" s="7">
        <f t="shared" si="16"/>
        <v>0</v>
      </c>
      <c r="AI1041" s="18"/>
      <c r="AJ1041" s="18"/>
    </row>
    <row r="1042" spans="1:38" ht="26.65" customHeight="1" x14ac:dyDescent="0.25">
      <c r="A1042" s="10" t="s">
        <v>6519</v>
      </c>
      <c r="B1042" s="9" t="s">
        <v>3056</v>
      </c>
      <c r="C1042" s="9" t="s">
        <v>43</v>
      </c>
      <c r="D1042" s="9" t="s">
        <v>3306</v>
      </c>
      <c r="E1042" s="9" t="s">
        <v>35</v>
      </c>
      <c r="F1042" s="9" t="s">
        <v>36</v>
      </c>
      <c r="G1042" s="9">
        <v>5</v>
      </c>
      <c r="H1042" s="9">
        <v>84219999</v>
      </c>
      <c r="I1042" s="11" t="s">
        <v>37</v>
      </c>
      <c r="J1042" s="12">
        <v>1.6500000000000001E-2</v>
      </c>
      <c r="K1042" s="12">
        <v>7.5999999999999998E-2</v>
      </c>
      <c r="L1042" s="12">
        <v>5.1999999999999998E-2</v>
      </c>
      <c r="M1042" s="13">
        <v>8003453141254</v>
      </c>
      <c r="N1042" s="14">
        <v>0.36699999999999999</v>
      </c>
      <c r="O1042" s="14">
        <v>0.45</v>
      </c>
      <c r="P1042" s="15">
        <v>45200</v>
      </c>
      <c r="Q1042" s="16" t="s">
        <v>6520</v>
      </c>
      <c r="R1042" s="17" t="s">
        <v>6521</v>
      </c>
      <c r="S1042" s="17" t="s">
        <v>6522</v>
      </c>
      <c r="T1042" s="17" t="s">
        <v>6523</v>
      </c>
      <c r="U1042" s="17" t="s">
        <v>35</v>
      </c>
      <c r="V1042" s="17" t="s">
        <v>35</v>
      </c>
      <c r="W1042" s="17" t="s">
        <v>35</v>
      </c>
      <c r="X1042" s="17" t="s">
        <v>35</v>
      </c>
      <c r="Y1042" s="17" t="s">
        <v>35</v>
      </c>
      <c r="Z1042" s="17" t="s">
        <v>35</v>
      </c>
      <c r="AA1042" s="17" t="s">
        <v>35</v>
      </c>
      <c r="AB1042" s="17" t="s">
        <v>35</v>
      </c>
      <c r="AC1042" s="17" t="s">
        <v>9539</v>
      </c>
      <c r="AD1042" s="42">
        <v>232.79</v>
      </c>
      <c r="AE1042" s="42">
        <v>244.9</v>
      </c>
      <c r="AF1042" s="48"/>
      <c r="AG1042" s="44"/>
      <c r="AH1042" s="7">
        <f t="shared" si="16"/>
        <v>0</v>
      </c>
      <c r="AI1042" s="18"/>
      <c r="AJ1042" s="18"/>
    </row>
    <row r="1043" spans="1:38" ht="26.65" customHeight="1" x14ac:dyDescent="0.25">
      <c r="A1043" s="10" t="s">
        <v>6524</v>
      </c>
      <c r="B1043" s="9" t="s">
        <v>3030</v>
      </c>
      <c r="C1043" s="9" t="s">
        <v>43</v>
      </c>
      <c r="D1043" s="9" t="s">
        <v>3306</v>
      </c>
      <c r="E1043" s="9" t="s">
        <v>35</v>
      </c>
      <c r="F1043" s="9" t="s">
        <v>36</v>
      </c>
      <c r="G1043" s="9">
        <v>5</v>
      </c>
      <c r="H1043" s="9">
        <v>84219999</v>
      </c>
      <c r="I1043" s="11" t="s">
        <v>37</v>
      </c>
      <c r="J1043" s="12">
        <v>1.6500000000000001E-2</v>
      </c>
      <c r="K1043" s="12">
        <v>7.5999999999999998E-2</v>
      </c>
      <c r="L1043" s="12">
        <v>5.1999999999999998E-2</v>
      </c>
      <c r="M1043" s="13">
        <v>8003453141339</v>
      </c>
      <c r="N1043" s="14">
        <v>0.14000000000000001</v>
      </c>
      <c r="O1043" s="14">
        <v>0.19800000000000001</v>
      </c>
      <c r="P1043" s="15">
        <v>44927</v>
      </c>
      <c r="Q1043" s="16" t="s">
        <v>6525</v>
      </c>
      <c r="R1043" s="17" t="s">
        <v>6526</v>
      </c>
      <c r="S1043" s="17" t="s">
        <v>6527</v>
      </c>
      <c r="T1043" s="17" t="s">
        <v>6528</v>
      </c>
      <c r="U1043" s="17" t="s">
        <v>6529</v>
      </c>
      <c r="V1043" s="17" t="s">
        <v>35</v>
      </c>
      <c r="W1043" s="17" t="s">
        <v>35</v>
      </c>
      <c r="X1043" s="17" t="s">
        <v>35</v>
      </c>
      <c r="Y1043" s="17" t="s">
        <v>6530</v>
      </c>
      <c r="Z1043" s="17" t="s">
        <v>35</v>
      </c>
      <c r="AA1043" s="17" t="s">
        <v>35</v>
      </c>
      <c r="AB1043" s="17" t="s">
        <v>35</v>
      </c>
      <c r="AC1043" s="17" t="s">
        <v>9539</v>
      </c>
      <c r="AD1043" s="41">
        <v>104.48</v>
      </c>
      <c r="AE1043" s="41">
        <v>109.91</v>
      </c>
      <c r="AF1043" s="48"/>
      <c r="AG1043" s="44"/>
      <c r="AH1043" s="7">
        <f t="shared" si="16"/>
        <v>0</v>
      </c>
      <c r="AI1043" s="18"/>
      <c r="AJ1043" s="18"/>
      <c r="AL1043" s="18"/>
    </row>
    <row r="1044" spans="1:38" ht="26.65" customHeight="1" x14ac:dyDescent="0.25">
      <c r="A1044" s="10" t="s">
        <v>6531</v>
      </c>
      <c r="B1044" s="9" t="s">
        <v>3030</v>
      </c>
      <c r="C1044" s="9" t="s">
        <v>43</v>
      </c>
      <c r="D1044" s="9" t="s">
        <v>3306</v>
      </c>
      <c r="E1044" s="9" t="s">
        <v>35</v>
      </c>
      <c r="F1044" s="9" t="s">
        <v>36</v>
      </c>
      <c r="G1044" s="9">
        <v>5</v>
      </c>
      <c r="H1044" s="9">
        <v>84219999</v>
      </c>
      <c r="I1044" s="11" t="s">
        <v>37</v>
      </c>
      <c r="J1044" s="12">
        <v>1.6500000000000001E-2</v>
      </c>
      <c r="K1044" s="12">
        <v>7.5999999999999998E-2</v>
      </c>
      <c r="L1044" s="12">
        <v>5.1999999999999998E-2</v>
      </c>
      <c r="M1044" s="13">
        <v>8003453141360</v>
      </c>
      <c r="N1044" s="14">
        <v>0.21</v>
      </c>
      <c r="O1044" s="14">
        <v>0.27</v>
      </c>
      <c r="P1044" s="15">
        <v>44958</v>
      </c>
      <c r="Q1044" s="16" t="s">
        <v>6532</v>
      </c>
      <c r="R1044" s="17" t="s">
        <v>6533</v>
      </c>
      <c r="S1044" s="17" t="s">
        <v>35</v>
      </c>
      <c r="T1044" s="17" t="s">
        <v>35</v>
      </c>
      <c r="U1044" s="17" t="s">
        <v>35</v>
      </c>
      <c r="V1044" s="17" t="s">
        <v>35</v>
      </c>
      <c r="W1044" s="17" t="s">
        <v>35</v>
      </c>
      <c r="X1044" s="17" t="s">
        <v>35</v>
      </c>
      <c r="Y1044" s="17" t="s">
        <v>35</v>
      </c>
      <c r="Z1044" s="17" t="s">
        <v>35</v>
      </c>
      <c r="AA1044" s="17" t="s">
        <v>35</v>
      </c>
      <c r="AB1044" s="17" t="s">
        <v>35</v>
      </c>
      <c r="AC1044" s="17" t="s">
        <v>9539</v>
      </c>
      <c r="AD1044" s="42">
        <v>29.3</v>
      </c>
      <c r="AE1044" s="42">
        <v>30.82</v>
      </c>
      <c r="AF1044" s="48"/>
      <c r="AG1044" s="44"/>
      <c r="AH1044" s="7">
        <f t="shared" si="16"/>
        <v>0</v>
      </c>
      <c r="AI1044" s="18"/>
      <c r="AJ1044" s="18"/>
    </row>
    <row r="1045" spans="1:38" ht="26.65" customHeight="1" x14ac:dyDescent="0.25">
      <c r="A1045" s="10" t="s">
        <v>6534</v>
      </c>
      <c r="B1045" s="9" t="s">
        <v>3030</v>
      </c>
      <c r="C1045" s="9" t="s">
        <v>43</v>
      </c>
      <c r="D1045" s="9" t="s">
        <v>3306</v>
      </c>
      <c r="E1045" s="9" t="s">
        <v>35</v>
      </c>
      <c r="F1045" s="9" t="s">
        <v>36</v>
      </c>
      <c r="G1045" s="9">
        <v>5</v>
      </c>
      <c r="H1045" s="9">
        <v>84219999</v>
      </c>
      <c r="I1045" s="11" t="s">
        <v>37</v>
      </c>
      <c r="J1045" s="12">
        <v>1.6500000000000001E-2</v>
      </c>
      <c r="K1045" s="12">
        <v>7.5999999999999998E-2</v>
      </c>
      <c r="L1045" s="12">
        <v>5.1999999999999998E-2</v>
      </c>
      <c r="M1045" s="13">
        <v>8003453141414</v>
      </c>
      <c r="N1045" s="14">
        <v>0.22900000000000001</v>
      </c>
      <c r="O1045" s="14">
        <v>0.29499999999999998</v>
      </c>
      <c r="P1045" s="15">
        <v>44958</v>
      </c>
      <c r="Q1045" s="16" t="s">
        <v>6535</v>
      </c>
      <c r="R1045" s="17" t="s">
        <v>6536</v>
      </c>
      <c r="S1045" s="17" t="s">
        <v>35</v>
      </c>
      <c r="T1045" s="17" t="s">
        <v>35</v>
      </c>
      <c r="U1045" s="17" t="s">
        <v>35</v>
      </c>
      <c r="V1045" s="17" t="s">
        <v>35</v>
      </c>
      <c r="W1045" s="17" t="s">
        <v>35</v>
      </c>
      <c r="X1045" s="17" t="s">
        <v>6537</v>
      </c>
      <c r="Y1045" s="17" t="s">
        <v>35</v>
      </c>
      <c r="Z1045" s="17" t="s">
        <v>35</v>
      </c>
      <c r="AA1045" s="17" t="s">
        <v>35</v>
      </c>
      <c r="AB1045" s="17" t="s">
        <v>35</v>
      </c>
      <c r="AC1045" s="17" t="s">
        <v>9539</v>
      </c>
      <c r="AD1045" s="42">
        <v>26.07</v>
      </c>
      <c r="AE1045" s="42">
        <v>27.43</v>
      </c>
      <c r="AF1045" s="48"/>
      <c r="AG1045" s="44"/>
      <c r="AH1045" s="7">
        <f t="shared" si="16"/>
        <v>0</v>
      </c>
      <c r="AI1045" s="18"/>
      <c r="AJ1045" s="18"/>
    </row>
    <row r="1046" spans="1:38" ht="26.65" customHeight="1" x14ac:dyDescent="0.25">
      <c r="A1046" s="10" t="s">
        <v>6538</v>
      </c>
      <c r="B1046" s="9" t="s">
        <v>5140</v>
      </c>
      <c r="C1046" s="9" t="s">
        <v>34</v>
      </c>
      <c r="D1046" s="9" t="s">
        <v>7087</v>
      </c>
      <c r="E1046" s="9" t="s">
        <v>35</v>
      </c>
      <c r="F1046" s="9" t="s">
        <v>36</v>
      </c>
      <c r="G1046" s="9">
        <v>5</v>
      </c>
      <c r="H1046" s="9">
        <v>84213990</v>
      </c>
      <c r="I1046" s="11" t="s">
        <v>37</v>
      </c>
      <c r="J1046" s="12">
        <v>1.6500000000000001E-2</v>
      </c>
      <c r="K1046" s="12">
        <v>7.5999999999999998E-2</v>
      </c>
      <c r="L1046" s="12">
        <v>0</v>
      </c>
      <c r="M1046" s="13">
        <v>8003453141582</v>
      </c>
      <c r="N1046" s="14">
        <v>0.66</v>
      </c>
      <c r="O1046" s="14">
        <v>0.77500000000000002</v>
      </c>
      <c r="P1046" s="15">
        <v>45068</v>
      </c>
      <c r="Q1046" s="16" t="s">
        <v>6539</v>
      </c>
      <c r="R1046" s="17" t="s">
        <v>6540</v>
      </c>
      <c r="S1046" s="17" t="s">
        <v>6541</v>
      </c>
      <c r="T1046" s="17" t="s">
        <v>6542</v>
      </c>
      <c r="U1046" s="17" t="s">
        <v>35</v>
      </c>
      <c r="V1046" s="17" t="s">
        <v>6543</v>
      </c>
      <c r="W1046" s="17" t="s">
        <v>35</v>
      </c>
      <c r="X1046" s="17" t="s">
        <v>35</v>
      </c>
      <c r="Y1046" s="17" t="s">
        <v>35</v>
      </c>
      <c r="Z1046" s="17" t="s">
        <v>6544</v>
      </c>
      <c r="AA1046" s="17" t="s">
        <v>35</v>
      </c>
      <c r="AB1046" s="17" t="s">
        <v>6545</v>
      </c>
      <c r="AC1046" s="17" t="s">
        <v>9539</v>
      </c>
      <c r="AD1046" s="42">
        <v>154.25</v>
      </c>
      <c r="AE1046" s="42">
        <v>154.25</v>
      </c>
      <c r="AF1046" s="48"/>
      <c r="AG1046" s="44"/>
      <c r="AH1046" s="7">
        <f t="shared" si="16"/>
        <v>0</v>
      </c>
      <c r="AI1046" s="18"/>
      <c r="AJ1046" s="18"/>
    </row>
    <row r="1047" spans="1:38" ht="26.65" customHeight="1" x14ac:dyDescent="0.25">
      <c r="A1047" s="10" t="s">
        <v>9341</v>
      </c>
      <c r="B1047" s="9" t="s">
        <v>3030</v>
      </c>
      <c r="C1047" s="9" t="s">
        <v>43</v>
      </c>
      <c r="D1047" s="9" t="s">
        <v>3031</v>
      </c>
      <c r="E1047" s="9" t="s">
        <v>35</v>
      </c>
      <c r="F1047" s="9" t="s">
        <v>36</v>
      </c>
      <c r="G1047" s="9">
        <v>6</v>
      </c>
      <c r="H1047" s="9">
        <v>84219999</v>
      </c>
      <c r="I1047" s="11" t="s">
        <v>37</v>
      </c>
      <c r="J1047" s="12">
        <v>1.6500000000000001E-2</v>
      </c>
      <c r="K1047" s="12">
        <v>7.5999999999999998E-2</v>
      </c>
      <c r="L1047" s="12">
        <v>5.1999999999999998E-2</v>
      </c>
      <c r="M1047" s="13" t="s">
        <v>35</v>
      </c>
      <c r="N1047" s="14">
        <v>0</v>
      </c>
      <c r="O1047" s="14">
        <v>0</v>
      </c>
      <c r="P1047" s="15">
        <v>45444</v>
      </c>
      <c r="Q1047" s="16" t="s">
        <v>9342</v>
      </c>
      <c r="R1047" s="17" t="s">
        <v>35</v>
      </c>
      <c r="S1047" s="17" t="s">
        <v>9343</v>
      </c>
      <c r="T1047" s="17" t="s">
        <v>35</v>
      </c>
      <c r="U1047" s="17" t="s">
        <v>9344</v>
      </c>
      <c r="V1047" s="17" t="s">
        <v>35</v>
      </c>
      <c r="W1047" s="17" t="s">
        <v>35</v>
      </c>
      <c r="X1047" s="17" t="s">
        <v>35</v>
      </c>
      <c r="Y1047" s="17" t="s">
        <v>35</v>
      </c>
      <c r="Z1047" s="17" t="s">
        <v>35</v>
      </c>
      <c r="AA1047" s="17" t="s">
        <v>35</v>
      </c>
      <c r="AB1047" s="17" t="s">
        <v>35</v>
      </c>
      <c r="AC1047" s="17" t="s">
        <v>9539</v>
      </c>
      <c r="AD1047" s="42">
        <v>56.03</v>
      </c>
      <c r="AE1047" s="42">
        <v>58.94</v>
      </c>
      <c r="AF1047" s="48"/>
      <c r="AG1047" s="44"/>
      <c r="AH1047" s="7">
        <f t="shared" si="16"/>
        <v>0</v>
      </c>
      <c r="AI1047" s="18"/>
      <c r="AJ1047" s="18"/>
    </row>
    <row r="1048" spans="1:38" ht="26.65" customHeight="1" x14ac:dyDescent="0.25">
      <c r="A1048" s="10" t="s">
        <v>6546</v>
      </c>
      <c r="B1048" s="9" t="s">
        <v>3030</v>
      </c>
      <c r="C1048" s="9" t="s">
        <v>43</v>
      </c>
      <c r="D1048" s="9" t="s">
        <v>3306</v>
      </c>
      <c r="E1048" s="9" t="s">
        <v>35</v>
      </c>
      <c r="F1048" s="9" t="s">
        <v>36</v>
      </c>
      <c r="G1048" s="9">
        <v>5</v>
      </c>
      <c r="H1048" s="9">
        <v>84219999</v>
      </c>
      <c r="I1048" s="11" t="s">
        <v>37</v>
      </c>
      <c r="J1048" s="12">
        <v>1.6500000000000001E-2</v>
      </c>
      <c r="K1048" s="12">
        <v>7.5999999999999998E-2</v>
      </c>
      <c r="L1048" s="12">
        <v>5.1999999999999998E-2</v>
      </c>
      <c r="M1048" s="13">
        <v>8003453141667</v>
      </c>
      <c r="N1048" s="14">
        <v>0.24</v>
      </c>
      <c r="O1048" s="14">
        <v>0.378</v>
      </c>
      <c r="P1048" s="15">
        <v>44958</v>
      </c>
      <c r="Q1048" s="16" t="s">
        <v>6547</v>
      </c>
      <c r="R1048" s="17" t="s">
        <v>6548</v>
      </c>
      <c r="S1048" s="17" t="s">
        <v>6549</v>
      </c>
      <c r="T1048" s="17" t="s">
        <v>35</v>
      </c>
      <c r="U1048" s="17" t="s">
        <v>6550</v>
      </c>
      <c r="V1048" s="17" t="s">
        <v>35</v>
      </c>
      <c r="W1048" s="17" t="s">
        <v>35</v>
      </c>
      <c r="X1048" s="17" t="s">
        <v>35</v>
      </c>
      <c r="Y1048" s="17" t="s">
        <v>35</v>
      </c>
      <c r="Z1048" s="17" t="s">
        <v>35</v>
      </c>
      <c r="AA1048" s="17" t="s">
        <v>35</v>
      </c>
      <c r="AB1048" s="17" t="s">
        <v>35</v>
      </c>
      <c r="AC1048" s="17" t="s">
        <v>9539</v>
      </c>
      <c r="AD1048" s="42">
        <v>56.03</v>
      </c>
      <c r="AE1048" s="42">
        <v>58.94</v>
      </c>
      <c r="AF1048" s="48"/>
      <c r="AG1048" s="44"/>
      <c r="AH1048" s="7">
        <f t="shared" si="16"/>
        <v>0</v>
      </c>
      <c r="AI1048" s="18"/>
      <c r="AJ1048" s="18"/>
    </row>
    <row r="1049" spans="1:38" ht="26.65" customHeight="1" x14ac:dyDescent="0.25">
      <c r="A1049" s="10" t="s">
        <v>8703</v>
      </c>
      <c r="B1049" s="9" t="s">
        <v>3056</v>
      </c>
      <c r="C1049" s="9" t="s">
        <v>43</v>
      </c>
      <c r="D1049" s="9" t="s">
        <v>3306</v>
      </c>
      <c r="E1049" s="9" t="s">
        <v>35</v>
      </c>
      <c r="F1049" s="9" t="s">
        <v>36</v>
      </c>
      <c r="G1049" s="9">
        <v>1</v>
      </c>
      <c r="H1049" s="9">
        <v>84219999</v>
      </c>
      <c r="I1049" s="11" t="s">
        <v>37</v>
      </c>
      <c r="J1049" s="12">
        <v>1.6500000000000001E-2</v>
      </c>
      <c r="K1049" s="12">
        <v>7.5999999999999998E-2</v>
      </c>
      <c r="L1049" s="12">
        <v>5.1999999999999998E-2</v>
      </c>
      <c r="M1049" s="13">
        <v>8003453141681</v>
      </c>
      <c r="N1049" s="14" t="s">
        <v>35</v>
      </c>
      <c r="O1049" s="14" t="s">
        <v>35</v>
      </c>
      <c r="P1049" s="15">
        <v>45292</v>
      </c>
      <c r="Q1049" s="16" t="s">
        <v>8704</v>
      </c>
      <c r="R1049" s="17" t="s">
        <v>35</v>
      </c>
      <c r="S1049" s="17" t="s">
        <v>8705</v>
      </c>
      <c r="T1049" s="17" t="s">
        <v>8706</v>
      </c>
      <c r="U1049" s="17" t="s">
        <v>8707</v>
      </c>
      <c r="V1049" s="17" t="s">
        <v>35</v>
      </c>
      <c r="W1049" s="17" t="s">
        <v>35</v>
      </c>
      <c r="X1049" s="17" t="s">
        <v>35</v>
      </c>
      <c r="Y1049" s="17" t="s">
        <v>35</v>
      </c>
      <c r="Z1049" s="17" t="s">
        <v>35</v>
      </c>
      <c r="AA1049" s="17" t="s">
        <v>35</v>
      </c>
      <c r="AB1049" s="17" t="s">
        <v>35</v>
      </c>
      <c r="AC1049" s="17" t="s">
        <v>9539</v>
      </c>
      <c r="AD1049" s="42">
        <v>34.06</v>
      </c>
      <c r="AE1049" s="42">
        <v>35.83</v>
      </c>
      <c r="AF1049" s="48"/>
      <c r="AG1049" s="44"/>
      <c r="AH1049" s="7">
        <f t="shared" si="16"/>
        <v>0</v>
      </c>
      <c r="AI1049" s="18"/>
      <c r="AJ1049" s="18"/>
    </row>
    <row r="1050" spans="1:38" ht="26.65" customHeight="1" x14ac:dyDescent="0.25">
      <c r="A1050" s="10" t="s">
        <v>6551</v>
      </c>
      <c r="B1050" s="9" t="s">
        <v>3030</v>
      </c>
      <c r="C1050" s="9" t="s">
        <v>43</v>
      </c>
      <c r="D1050" s="9" t="s">
        <v>3306</v>
      </c>
      <c r="E1050" s="9" t="s">
        <v>35</v>
      </c>
      <c r="F1050" s="9" t="s">
        <v>36</v>
      </c>
      <c r="G1050" s="9">
        <v>5</v>
      </c>
      <c r="H1050" s="9">
        <v>84219999</v>
      </c>
      <c r="I1050" s="11" t="s">
        <v>37</v>
      </c>
      <c r="J1050" s="12">
        <v>1.6500000000000001E-2</v>
      </c>
      <c r="K1050" s="12">
        <v>7.5999999999999998E-2</v>
      </c>
      <c r="L1050" s="12">
        <v>5.1999999999999998E-2</v>
      </c>
      <c r="M1050" s="13">
        <v>8003453141797</v>
      </c>
      <c r="N1050" s="14">
        <v>0.17199999999999999</v>
      </c>
      <c r="O1050" s="14">
        <v>0.23599999999999999</v>
      </c>
      <c r="P1050" s="15">
        <v>44986</v>
      </c>
      <c r="Q1050" s="16" t="s">
        <v>6552</v>
      </c>
      <c r="R1050" s="17" t="s">
        <v>6553</v>
      </c>
      <c r="S1050" s="17" t="s">
        <v>6554</v>
      </c>
      <c r="T1050" s="17" t="s">
        <v>35</v>
      </c>
      <c r="U1050" s="17" t="s">
        <v>35</v>
      </c>
      <c r="V1050" s="17" t="s">
        <v>35</v>
      </c>
      <c r="W1050" s="17" t="s">
        <v>35</v>
      </c>
      <c r="X1050" s="17" t="s">
        <v>6555</v>
      </c>
      <c r="Y1050" s="17" t="s">
        <v>6556</v>
      </c>
      <c r="Z1050" s="17" t="s">
        <v>35</v>
      </c>
      <c r="AA1050" s="17" t="s">
        <v>35</v>
      </c>
      <c r="AB1050" s="17" t="s">
        <v>35</v>
      </c>
      <c r="AC1050" s="17" t="s">
        <v>9539</v>
      </c>
      <c r="AD1050" s="42">
        <v>26.58</v>
      </c>
      <c r="AE1050" s="42">
        <v>27.96</v>
      </c>
      <c r="AF1050" s="48"/>
      <c r="AG1050" s="44"/>
      <c r="AH1050" s="7">
        <f t="shared" si="16"/>
        <v>0</v>
      </c>
      <c r="AI1050" s="18"/>
      <c r="AJ1050" s="18"/>
    </row>
    <row r="1051" spans="1:38" ht="26.65" customHeight="1" x14ac:dyDescent="0.25">
      <c r="A1051" s="10" t="s">
        <v>6557</v>
      </c>
      <c r="B1051" s="9" t="s">
        <v>3030</v>
      </c>
      <c r="C1051" s="9" t="s">
        <v>43</v>
      </c>
      <c r="D1051" s="9" t="s">
        <v>3306</v>
      </c>
      <c r="E1051" s="9" t="s">
        <v>35</v>
      </c>
      <c r="F1051" s="9" t="s">
        <v>36</v>
      </c>
      <c r="G1051" s="9">
        <v>5</v>
      </c>
      <c r="H1051" s="9">
        <v>84219999</v>
      </c>
      <c r="I1051" s="11" t="s">
        <v>37</v>
      </c>
      <c r="J1051" s="12">
        <v>1.6500000000000001E-2</v>
      </c>
      <c r="K1051" s="12">
        <v>7.5999999999999998E-2</v>
      </c>
      <c r="L1051" s="12">
        <v>5.1999999999999998E-2</v>
      </c>
      <c r="M1051" s="13">
        <v>8003453141803</v>
      </c>
      <c r="N1051" s="14">
        <v>0.255</v>
      </c>
      <c r="O1051" s="14">
        <v>0.34499999999999997</v>
      </c>
      <c r="P1051" s="15">
        <v>44986</v>
      </c>
      <c r="Q1051" s="16" t="s">
        <v>6558</v>
      </c>
      <c r="R1051" s="17" t="s">
        <v>6559</v>
      </c>
      <c r="S1051" s="17" t="s">
        <v>6560</v>
      </c>
      <c r="T1051" s="17" t="s">
        <v>6561</v>
      </c>
      <c r="U1051" s="17" t="s">
        <v>6562</v>
      </c>
      <c r="V1051" s="17" t="s">
        <v>35</v>
      </c>
      <c r="W1051" s="17" t="s">
        <v>35</v>
      </c>
      <c r="X1051" s="17" t="s">
        <v>35</v>
      </c>
      <c r="Y1051" s="17" t="s">
        <v>6563</v>
      </c>
      <c r="Z1051" s="17" t="s">
        <v>35</v>
      </c>
      <c r="AA1051" s="17" t="s">
        <v>35</v>
      </c>
      <c r="AB1051" s="17" t="s">
        <v>35</v>
      </c>
      <c r="AC1051" s="17" t="s">
        <v>9539</v>
      </c>
      <c r="AD1051" s="41">
        <v>61.52</v>
      </c>
      <c r="AE1051" s="41">
        <v>64.72</v>
      </c>
      <c r="AF1051" s="48"/>
      <c r="AG1051" s="44"/>
      <c r="AH1051" s="7">
        <f t="shared" si="16"/>
        <v>0</v>
      </c>
      <c r="AI1051" s="18"/>
      <c r="AJ1051" s="18"/>
      <c r="AL1051" s="18"/>
    </row>
    <row r="1052" spans="1:38" ht="26.65" customHeight="1" x14ac:dyDescent="0.25">
      <c r="A1052" s="10" t="s">
        <v>6564</v>
      </c>
      <c r="B1052" s="9" t="s">
        <v>5197</v>
      </c>
      <c r="C1052" s="9" t="s">
        <v>43</v>
      </c>
      <c r="D1052" s="9" t="s">
        <v>3031</v>
      </c>
      <c r="E1052" s="9" t="s">
        <v>35</v>
      </c>
      <c r="F1052" s="9" t="s">
        <v>36</v>
      </c>
      <c r="G1052" s="9">
        <v>5</v>
      </c>
      <c r="H1052" s="9">
        <v>84219999</v>
      </c>
      <c r="I1052" s="11" t="s">
        <v>37</v>
      </c>
      <c r="J1052" s="12">
        <v>1.6500000000000001E-2</v>
      </c>
      <c r="K1052" s="12">
        <v>7.5999999999999998E-2</v>
      </c>
      <c r="L1052" s="12">
        <v>5.1999999999999998E-2</v>
      </c>
      <c r="M1052" s="13">
        <v>8003453141827</v>
      </c>
      <c r="N1052" s="14">
        <v>0.254</v>
      </c>
      <c r="O1052" s="14">
        <v>0.34200000000000003</v>
      </c>
      <c r="P1052" s="15">
        <v>45078</v>
      </c>
      <c r="Q1052" s="16" t="s">
        <v>6565</v>
      </c>
      <c r="R1052" s="17" t="s">
        <v>6566</v>
      </c>
      <c r="S1052" s="17" t="s">
        <v>6567</v>
      </c>
      <c r="T1052" s="17" t="s">
        <v>6568</v>
      </c>
      <c r="U1052" s="17" t="s">
        <v>6569</v>
      </c>
      <c r="V1052" s="17" t="s">
        <v>35</v>
      </c>
      <c r="W1052" s="17" t="s">
        <v>35</v>
      </c>
      <c r="X1052" s="17" t="s">
        <v>6570</v>
      </c>
      <c r="Y1052" s="17" t="s">
        <v>35</v>
      </c>
      <c r="Z1052" s="17" t="s">
        <v>35</v>
      </c>
      <c r="AA1052" s="17" t="s">
        <v>35</v>
      </c>
      <c r="AB1052" s="17" t="s">
        <v>35</v>
      </c>
      <c r="AC1052" s="17" t="s">
        <v>9539</v>
      </c>
      <c r="AD1052" s="42">
        <v>63.49</v>
      </c>
      <c r="AE1052" s="42">
        <v>66.790000000000006</v>
      </c>
      <c r="AF1052" s="48"/>
      <c r="AG1052" s="44"/>
      <c r="AH1052" s="7">
        <f t="shared" si="16"/>
        <v>0</v>
      </c>
      <c r="AI1052" s="18"/>
      <c r="AJ1052" s="18"/>
    </row>
    <row r="1053" spans="1:38" ht="26.65" customHeight="1" x14ac:dyDescent="0.25">
      <c r="A1053" s="10" t="s">
        <v>9345</v>
      </c>
      <c r="B1053" s="9" t="s">
        <v>3030</v>
      </c>
      <c r="C1053" s="9" t="s">
        <v>43</v>
      </c>
      <c r="D1053" s="9" t="s">
        <v>3031</v>
      </c>
      <c r="E1053" s="9" t="s">
        <v>35</v>
      </c>
      <c r="F1053" s="9" t="s">
        <v>36</v>
      </c>
      <c r="G1053" s="9">
        <v>6</v>
      </c>
      <c r="H1053" s="9">
        <v>84219999</v>
      </c>
      <c r="I1053" s="11" t="s">
        <v>37</v>
      </c>
      <c r="J1053" s="12">
        <v>1.6500000000000001E-2</v>
      </c>
      <c r="K1053" s="12">
        <v>7.5999999999999998E-2</v>
      </c>
      <c r="L1053" s="12">
        <v>5.1999999999999998E-2</v>
      </c>
      <c r="M1053" s="13" t="s">
        <v>35</v>
      </c>
      <c r="N1053" s="14">
        <v>0</v>
      </c>
      <c r="O1053" s="14">
        <v>0</v>
      </c>
      <c r="P1053" s="15">
        <v>45444</v>
      </c>
      <c r="Q1053" s="16" t="s">
        <v>9346</v>
      </c>
      <c r="R1053" s="17" t="s">
        <v>35</v>
      </c>
      <c r="S1053" s="17" t="s">
        <v>9347</v>
      </c>
      <c r="T1053" s="17" t="s">
        <v>9348</v>
      </c>
      <c r="U1053" s="17" t="s">
        <v>9349</v>
      </c>
      <c r="V1053" s="17" t="s">
        <v>35</v>
      </c>
      <c r="W1053" s="17" t="s">
        <v>35</v>
      </c>
      <c r="X1053" s="17" t="s">
        <v>9350</v>
      </c>
      <c r="Y1053" s="17" t="s">
        <v>9351</v>
      </c>
      <c r="Z1053" s="17" t="s">
        <v>35</v>
      </c>
      <c r="AA1053" s="17" t="s">
        <v>35</v>
      </c>
      <c r="AB1053" s="17" t="s">
        <v>35</v>
      </c>
      <c r="AC1053" s="17" t="s">
        <v>9539</v>
      </c>
      <c r="AD1053" s="42">
        <v>48.12</v>
      </c>
      <c r="AE1053" s="42">
        <v>50.62</v>
      </c>
      <c r="AF1053" s="48"/>
      <c r="AG1053" s="44"/>
      <c r="AH1053" s="7">
        <f t="shared" si="16"/>
        <v>0</v>
      </c>
      <c r="AI1053" s="18"/>
      <c r="AJ1053" s="18"/>
    </row>
    <row r="1054" spans="1:38" ht="26.65" customHeight="1" x14ac:dyDescent="0.25">
      <c r="A1054" s="10" t="s">
        <v>10401</v>
      </c>
      <c r="B1054" s="9" t="s">
        <v>3030</v>
      </c>
      <c r="C1054" s="9" t="s">
        <v>43</v>
      </c>
      <c r="D1054" s="9" t="s">
        <v>3031</v>
      </c>
      <c r="E1054" s="9" t="s">
        <v>35</v>
      </c>
      <c r="F1054" s="9" t="s">
        <v>36</v>
      </c>
      <c r="G1054" s="9">
        <v>5</v>
      </c>
      <c r="H1054" s="9">
        <v>84219999</v>
      </c>
      <c r="I1054" s="11" t="s">
        <v>37</v>
      </c>
      <c r="J1054" s="12">
        <v>1.6500000000000001E-2</v>
      </c>
      <c r="K1054" s="12">
        <v>7.5999999999999998E-2</v>
      </c>
      <c r="L1054" s="12">
        <v>5.1999999999999998E-2</v>
      </c>
      <c r="M1054" s="13">
        <v>8003453141933</v>
      </c>
      <c r="N1054" s="14">
        <v>0</v>
      </c>
      <c r="O1054" s="14">
        <v>0</v>
      </c>
      <c r="P1054" s="15">
        <v>45566</v>
      </c>
      <c r="Q1054" s="16" t="s">
        <v>10402</v>
      </c>
      <c r="R1054" s="17" t="s">
        <v>35</v>
      </c>
      <c r="S1054" s="17" t="s">
        <v>10403</v>
      </c>
      <c r="T1054" s="17" t="s">
        <v>10404</v>
      </c>
      <c r="U1054" s="17" t="s">
        <v>10405</v>
      </c>
      <c r="V1054" s="17" t="s">
        <v>35</v>
      </c>
      <c r="W1054" s="17" t="s">
        <v>35</v>
      </c>
      <c r="X1054" s="17" t="s">
        <v>10406</v>
      </c>
      <c r="Y1054" s="17" t="s">
        <v>10407</v>
      </c>
      <c r="Z1054" s="17" t="s">
        <v>10408</v>
      </c>
      <c r="AA1054" s="17" t="s">
        <v>35</v>
      </c>
      <c r="AB1054" s="17" t="s">
        <v>35</v>
      </c>
      <c r="AC1054" s="17" t="s">
        <v>9539</v>
      </c>
      <c r="AD1054" s="41">
        <v>25.7</v>
      </c>
      <c r="AE1054" s="41">
        <v>27.04</v>
      </c>
      <c r="AF1054" s="48"/>
      <c r="AG1054" s="44"/>
      <c r="AH1054" s="7">
        <f t="shared" si="16"/>
        <v>0</v>
      </c>
      <c r="AI1054" s="18"/>
      <c r="AJ1054" s="18"/>
    </row>
    <row r="1055" spans="1:38" ht="26.65" customHeight="1" x14ac:dyDescent="0.25">
      <c r="A1055" s="10" t="s">
        <v>6571</v>
      </c>
      <c r="B1055" s="9" t="s">
        <v>3056</v>
      </c>
      <c r="C1055" s="9" t="s">
        <v>43</v>
      </c>
      <c r="D1055" s="9" t="s">
        <v>3306</v>
      </c>
      <c r="E1055" s="9" t="s">
        <v>35</v>
      </c>
      <c r="F1055" s="9" t="s">
        <v>36</v>
      </c>
      <c r="G1055" s="9">
        <v>5</v>
      </c>
      <c r="H1055" s="9">
        <v>84219999</v>
      </c>
      <c r="I1055" s="11" t="s">
        <v>37</v>
      </c>
      <c r="J1055" s="12">
        <v>1.6500000000000001E-2</v>
      </c>
      <c r="K1055" s="12">
        <v>7.5999999999999998E-2</v>
      </c>
      <c r="L1055" s="12">
        <v>5.1999999999999998E-2</v>
      </c>
      <c r="M1055" s="13">
        <v>8003453141957</v>
      </c>
      <c r="N1055" s="14">
        <v>0.16</v>
      </c>
      <c r="O1055" s="14">
        <v>0.24</v>
      </c>
      <c r="P1055" s="15">
        <v>45200</v>
      </c>
      <c r="Q1055" s="16" t="s">
        <v>6572</v>
      </c>
      <c r="R1055" s="17" t="s">
        <v>6573</v>
      </c>
      <c r="S1055" s="17" t="s">
        <v>35</v>
      </c>
      <c r="T1055" s="17" t="s">
        <v>35</v>
      </c>
      <c r="U1055" s="17" t="s">
        <v>35</v>
      </c>
      <c r="V1055" s="17" t="s">
        <v>6574</v>
      </c>
      <c r="W1055" s="17" t="s">
        <v>35</v>
      </c>
      <c r="X1055" s="17" t="s">
        <v>6575</v>
      </c>
      <c r="Y1055" s="17" t="s">
        <v>35</v>
      </c>
      <c r="Z1055" s="17" t="s">
        <v>35</v>
      </c>
      <c r="AA1055" s="17" t="s">
        <v>35</v>
      </c>
      <c r="AB1055" s="17" t="s">
        <v>35</v>
      </c>
      <c r="AC1055" s="17" t="s">
        <v>9539</v>
      </c>
      <c r="AD1055" s="42">
        <v>73.12</v>
      </c>
      <c r="AE1055" s="42">
        <v>76.92</v>
      </c>
      <c r="AF1055" s="48"/>
      <c r="AG1055" s="44"/>
      <c r="AH1055" s="7">
        <f t="shared" si="16"/>
        <v>0</v>
      </c>
      <c r="AI1055" s="18"/>
      <c r="AJ1055" s="18"/>
    </row>
    <row r="1056" spans="1:38" ht="26.65" customHeight="1" x14ac:dyDescent="0.25">
      <c r="A1056" s="10" t="s">
        <v>6576</v>
      </c>
      <c r="B1056" s="9" t="s">
        <v>3056</v>
      </c>
      <c r="C1056" s="9" t="s">
        <v>43</v>
      </c>
      <c r="D1056" s="9" t="s">
        <v>3306</v>
      </c>
      <c r="E1056" s="9" t="s">
        <v>35</v>
      </c>
      <c r="F1056" s="9" t="s">
        <v>36</v>
      </c>
      <c r="G1056" s="9">
        <v>5</v>
      </c>
      <c r="H1056" s="9">
        <v>84219999</v>
      </c>
      <c r="I1056" s="11" t="s">
        <v>37</v>
      </c>
      <c r="J1056" s="12">
        <v>1.6500000000000001E-2</v>
      </c>
      <c r="K1056" s="12">
        <v>7.5999999999999998E-2</v>
      </c>
      <c r="L1056" s="12">
        <v>5.1999999999999998E-2</v>
      </c>
      <c r="M1056" s="13">
        <v>8003453142039</v>
      </c>
      <c r="N1056" s="14">
        <v>0.21099999999999999</v>
      </c>
      <c r="O1056" s="14">
        <v>0.30299999999999999</v>
      </c>
      <c r="P1056" s="15">
        <v>45200</v>
      </c>
      <c r="Q1056" s="16" t="s">
        <v>6577</v>
      </c>
      <c r="R1056" s="17" t="s">
        <v>6578</v>
      </c>
      <c r="S1056" s="17" t="s">
        <v>6579</v>
      </c>
      <c r="T1056" s="17" t="s">
        <v>6580</v>
      </c>
      <c r="U1056" s="17" t="s">
        <v>6581</v>
      </c>
      <c r="V1056" s="17" t="s">
        <v>35</v>
      </c>
      <c r="W1056" s="17" t="s">
        <v>35</v>
      </c>
      <c r="X1056" s="17" t="s">
        <v>35</v>
      </c>
      <c r="Y1056" s="17" t="s">
        <v>6582</v>
      </c>
      <c r="Z1056" s="17" t="s">
        <v>35</v>
      </c>
      <c r="AA1056" s="17" t="s">
        <v>35</v>
      </c>
      <c r="AB1056" s="17" t="s">
        <v>35</v>
      </c>
      <c r="AC1056" s="17" t="s">
        <v>9539</v>
      </c>
      <c r="AD1056" s="41">
        <v>23.63</v>
      </c>
      <c r="AE1056" s="41">
        <v>24.86</v>
      </c>
      <c r="AF1056" s="48"/>
      <c r="AG1056" s="44"/>
      <c r="AH1056" s="7">
        <f t="shared" si="16"/>
        <v>0</v>
      </c>
      <c r="AI1056" s="18"/>
      <c r="AJ1056" s="18"/>
      <c r="AL1056" s="18"/>
    </row>
    <row r="1057" spans="1:38" ht="26.65" customHeight="1" x14ac:dyDescent="0.25">
      <c r="A1057" s="10" t="s">
        <v>6583</v>
      </c>
      <c r="B1057" s="9" t="s">
        <v>3030</v>
      </c>
      <c r="C1057" s="9" t="s">
        <v>43</v>
      </c>
      <c r="D1057" s="9" t="s">
        <v>3031</v>
      </c>
      <c r="E1057" s="9" t="s">
        <v>35</v>
      </c>
      <c r="F1057" s="9" t="s">
        <v>36</v>
      </c>
      <c r="G1057" s="9">
        <v>6</v>
      </c>
      <c r="H1057" s="9">
        <v>84219999</v>
      </c>
      <c r="I1057" s="11" t="s">
        <v>37</v>
      </c>
      <c r="J1057" s="12">
        <v>1.6500000000000001E-2</v>
      </c>
      <c r="K1057" s="12">
        <v>7.5999999999999998E-2</v>
      </c>
      <c r="L1057" s="12">
        <v>5.1999999999999998E-2</v>
      </c>
      <c r="M1057" s="13">
        <v>8003453142046</v>
      </c>
      <c r="N1057" s="14">
        <v>0.21199999999999999</v>
      </c>
      <c r="O1057" s="14">
        <v>0.30399999999999999</v>
      </c>
      <c r="P1057" s="15">
        <v>45139</v>
      </c>
      <c r="Q1057" s="16" t="s">
        <v>6584</v>
      </c>
      <c r="R1057" s="17" t="s">
        <v>6585</v>
      </c>
      <c r="S1057" s="17" t="s">
        <v>6586</v>
      </c>
      <c r="T1057" s="17" t="s">
        <v>6587</v>
      </c>
      <c r="U1057" s="17" t="s">
        <v>6588</v>
      </c>
      <c r="V1057" s="17" t="s">
        <v>35</v>
      </c>
      <c r="W1057" s="17" t="s">
        <v>35</v>
      </c>
      <c r="X1057" s="17" t="s">
        <v>35</v>
      </c>
      <c r="Y1057" s="17" t="s">
        <v>6589</v>
      </c>
      <c r="Z1057" s="17" t="s">
        <v>35</v>
      </c>
      <c r="AA1057" s="17" t="s">
        <v>35</v>
      </c>
      <c r="AB1057" s="17" t="s">
        <v>35</v>
      </c>
      <c r="AC1057" s="17" t="s">
        <v>9539</v>
      </c>
      <c r="AD1057" s="42">
        <v>30.38</v>
      </c>
      <c r="AE1057" s="42">
        <v>31.96</v>
      </c>
      <c r="AF1057" s="48"/>
      <c r="AG1057" s="44"/>
      <c r="AH1057" s="7">
        <f t="shared" si="16"/>
        <v>0</v>
      </c>
      <c r="AI1057" s="18"/>
      <c r="AJ1057" s="18"/>
    </row>
    <row r="1058" spans="1:38" ht="26.65" customHeight="1" x14ac:dyDescent="0.25">
      <c r="A1058" s="10" t="s">
        <v>9890</v>
      </c>
      <c r="B1058" s="9" t="s">
        <v>3030</v>
      </c>
      <c r="C1058" s="9" t="s">
        <v>43</v>
      </c>
      <c r="D1058" s="9" t="s">
        <v>3031</v>
      </c>
      <c r="E1058" s="9" t="s">
        <v>35</v>
      </c>
      <c r="F1058" s="9" t="s">
        <v>36</v>
      </c>
      <c r="G1058" s="9">
        <v>5</v>
      </c>
      <c r="H1058" s="9">
        <v>84219999</v>
      </c>
      <c r="I1058" s="11" t="s">
        <v>37</v>
      </c>
      <c r="J1058" s="12">
        <v>1.6500000000000001E-2</v>
      </c>
      <c r="K1058" s="12">
        <v>7.5999999999999998E-2</v>
      </c>
      <c r="L1058" s="12">
        <v>5.1999999999999998E-2</v>
      </c>
      <c r="M1058" s="13">
        <v>8003453142077</v>
      </c>
      <c r="N1058" s="14" t="s">
        <v>35</v>
      </c>
      <c r="O1058" s="14" t="s">
        <v>35</v>
      </c>
      <c r="P1058" s="15">
        <v>45536</v>
      </c>
      <c r="Q1058" s="16" t="s">
        <v>9891</v>
      </c>
      <c r="R1058" s="17" t="s">
        <v>35</v>
      </c>
      <c r="S1058" s="17" t="s">
        <v>9892</v>
      </c>
      <c r="T1058" s="17" t="s">
        <v>9893</v>
      </c>
      <c r="U1058" s="17" t="s">
        <v>9894</v>
      </c>
      <c r="V1058" s="17" t="s">
        <v>35</v>
      </c>
      <c r="W1058" s="17" t="s">
        <v>35</v>
      </c>
      <c r="X1058" s="17" t="s">
        <v>9895</v>
      </c>
      <c r="Y1058" s="17" t="s">
        <v>9896</v>
      </c>
      <c r="Z1058" s="17" t="s">
        <v>35</v>
      </c>
      <c r="AA1058" s="17" t="s">
        <v>35</v>
      </c>
      <c r="AB1058" s="17" t="s">
        <v>35</v>
      </c>
      <c r="AC1058" s="17" t="s">
        <v>9539</v>
      </c>
      <c r="AD1058" s="41">
        <v>25.31</v>
      </c>
      <c r="AE1058" s="41">
        <v>26.63</v>
      </c>
      <c r="AF1058" s="48"/>
      <c r="AG1058" s="44"/>
      <c r="AH1058" s="7">
        <f t="shared" si="16"/>
        <v>0</v>
      </c>
      <c r="AI1058" s="18"/>
      <c r="AJ1058" s="18"/>
    </row>
    <row r="1059" spans="1:38" ht="26.65" customHeight="1" x14ac:dyDescent="0.25">
      <c r="A1059" s="10" t="s">
        <v>10626</v>
      </c>
      <c r="B1059" s="9" t="s">
        <v>3030</v>
      </c>
      <c r="C1059" s="9" t="s">
        <v>43</v>
      </c>
      <c r="D1059" s="9" t="s">
        <v>3031</v>
      </c>
      <c r="E1059" s="9" t="s">
        <v>35</v>
      </c>
      <c r="F1059" s="9" t="s">
        <v>36</v>
      </c>
      <c r="G1059" s="9">
        <v>6</v>
      </c>
      <c r="H1059" s="9">
        <v>84219999</v>
      </c>
      <c r="I1059" s="11" t="s">
        <v>37</v>
      </c>
      <c r="J1059" s="12">
        <v>1.6500000000000001E-2</v>
      </c>
      <c r="K1059" s="12">
        <v>7.5999999999999998E-2</v>
      </c>
      <c r="L1059" s="12">
        <v>5.1999999999999998E-2</v>
      </c>
      <c r="M1059" s="13" t="s">
        <v>35</v>
      </c>
      <c r="N1059" s="14" t="s">
        <v>35</v>
      </c>
      <c r="O1059" s="14" t="s">
        <v>35</v>
      </c>
      <c r="P1059" s="15">
        <v>45597</v>
      </c>
      <c r="Q1059" s="16" t="s">
        <v>10627</v>
      </c>
      <c r="R1059" s="17" t="s">
        <v>35</v>
      </c>
      <c r="S1059" s="17" t="s">
        <v>10628</v>
      </c>
      <c r="T1059" s="17" t="s">
        <v>10629</v>
      </c>
      <c r="U1059" s="17" t="s">
        <v>10630</v>
      </c>
      <c r="V1059" s="17" t="s">
        <v>35</v>
      </c>
      <c r="W1059" s="17" t="s">
        <v>35</v>
      </c>
      <c r="X1059" s="17" t="s">
        <v>35</v>
      </c>
      <c r="Y1059" s="17" t="s">
        <v>10631</v>
      </c>
      <c r="Z1059" s="17" t="s">
        <v>35</v>
      </c>
      <c r="AA1059" s="17" t="s">
        <v>35</v>
      </c>
      <c r="AB1059" s="17" t="s">
        <v>35</v>
      </c>
      <c r="AC1059" s="17" t="s">
        <v>9539</v>
      </c>
      <c r="AD1059" s="41">
        <v>209.32</v>
      </c>
      <c r="AE1059" s="41">
        <v>220.2</v>
      </c>
      <c r="AF1059" s="48"/>
      <c r="AG1059" s="44"/>
      <c r="AH1059" s="7">
        <f t="shared" si="16"/>
        <v>0</v>
      </c>
      <c r="AI1059" s="18"/>
      <c r="AJ1059" s="18"/>
    </row>
    <row r="1060" spans="1:38" ht="26.65" customHeight="1" x14ac:dyDescent="0.25">
      <c r="A1060" s="10" t="s">
        <v>10632</v>
      </c>
      <c r="B1060" s="9" t="s">
        <v>3030</v>
      </c>
      <c r="C1060" s="9" t="s">
        <v>43</v>
      </c>
      <c r="D1060" s="9" t="s">
        <v>3031</v>
      </c>
      <c r="E1060" s="9" t="s">
        <v>35</v>
      </c>
      <c r="F1060" s="9" t="s">
        <v>36</v>
      </c>
      <c r="G1060" s="9">
        <v>6</v>
      </c>
      <c r="H1060" s="9">
        <v>84219999</v>
      </c>
      <c r="I1060" s="11" t="s">
        <v>37</v>
      </c>
      <c r="J1060" s="12">
        <v>1.6500000000000001E-2</v>
      </c>
      <c r="K1060" s="12">
        <v>7.5999999999999998E-2</v>
      </c>
      <c r="L1060" s="12">
        <v>5.1999999999999998E-2</v>
      </c>
      <c r="M1060" s="13" t="s">
        <v>35</v>
      </c>
      <c r="N1060" s="14" t="s">
        <v>35</v>
      </c>
      <c r="O1060" s="14" t="s">
        <v>35</v>
      </c>
      <c r="P1060" s="15">
        <v>45597</v>
      </c>
      <c r="Q1060" s="16" t="s">
        <v>10633</v>
      </c>
      <c r="R1060" s="17" t="s">
        <v>35</v>
      </c>
      <c r="S1060" s="17" t="s">
        <v>35</v>
      </c>
      <c r="T1060" s="17" t="s">
        <v>35</v>
      </c>
      <c r="U1060" s="17" t="s">
        <v>10634</v>
      </c>
      <c r="V1060" s="17" t="s">
        <v>35</v>
      </c>
      <c r="W1060" s="17" t="s">
        <v>35</v>
      </c>
      <c r="X1060" s="17" t="s">
        <v>10635</v>
      </c>
      <c r="Y1060" s="17" t="s">
        <v>10636</v>
      </c>
      <c r="Z1060" s="17" t="s">
        <v>35</v>
      </c>
      <c r="AA1060" s="17" t="s">
        <v>35</v>
      </c>
      <c r="AB1060" s="17" t="s">
        <v>35</v>
      </c>
      <c r="AC1060" s="17" t="s">
        <v>9539</v>
      </c>
      <c r="AD1060" s="41">
        <v>21.76</v>
      </c>
      <c r="AE1060" s="41">
        <v>22.89</v>
      </c>
      <c r="AF1060" s="48"/>
      <c r="AG1060" s="44"/>
      <c r="AH1060" s="7">
        <f t="shared" si="16"/>
        <v>0</v>
      </c>
      <c r="AI1060" s="18"/>
      <c r="AJ1060" s="18"/>
    </row>
    <row r="1061" spans="1:38" ht="26.65" customHeight="1" x14ac:dyDescent="0.25">
      <c r="A1061" s="10" t="s">
        <v>9897</v>
      </c>
      <c r="B1061" s="9" t="s">
        <v>3030</v>
      </c>
      <c r="C1061" s="9" t="s">
        <v>43</v>
      </c>
      <c r="D1061" s="9" t="s">
        <v>3031</v>
      </c>
      <c r="E1061" s="9" t="s">
        <v>35</v>
      </c>
      <c r="F1061" s="9" t="s">
        <v>36</v>
      </c>
      <c r="G1061" s="9">
        <v>5</v>
      </c>
      <c r="H1061" s="9">
        <v>84219999</v>
      </c>
      <c r="I1061" s="11" t="s">
        <v>37</v>
      </c>
      <c r="J1061" s="12">
        <v>1.6500000000000001E-2</v>
      </c>
      <c r="K1061" s="12">
        <v>7.5999999999999998E-2</v>
      </c>
      <c r="L1061" s="12">
        <v>5.1999999999999998E-2</v>
      </c>
      <c r="M1061" s="13">
        <v>8003453142107</v>
      </c>
      <c r="N1061" s="14" t="s">
        <v>35</v>
      </c>
      <c r="O1061" s="14" t="s">
        <v>35</v>
      </c>
      <c r="P1061" s="15">
        <v>45536</v>
      </c>
      <c r="Q1061" s="16" t="s">
        <v>9898</v>
      </c>
      <c r="R1061" s="17" t="s">
        <v>35</v>
      </c>
      <c r="S1061" s="17" t="s">
        <v>9899</v>
      </c>
      <c r="T1061" s="17" t="s">
        <v>35</v>
      </c>
      <c r="U1061" s="17" t="s">
        <v>9900</v>
      </c>
      <c r="V1061" s="17" t="s">
        <v>9901</v>
      </c>
      <c r="W1061" s="17" t="s">
        <v>35</v>
      </c>
      <c r="X1061" s="17" t="s">
        <v>9902</v>
      </c>
      <c r="Y1061" s="17" t="s">
        <v>9903</v>
      </c>
      <c r="Z1061" s="17" t="s">
        <v>35</v>
      </c>
      <c r="AA1061" s="17" t="s">
        <v>35</v>
      </c>
      <c r="AB1061" s="17" t="s">
        <v>35</v>
      </c>
      <c r="AC1061" s="17" t="s">
        <v>9539</v>
      </c>
      <c r="AD1061" s="41">
        <v>22.26</v>
      </c>
      <c r="AE1061" s="41">
        <v>23.42</v>
      </c>
      <c r="AF1061" s="48"/>
      <c r="AG1061" s="44"/>
      <c r="AH1061" s="7">
        <f t="shared" si="16"/>
        <v>0</v>
      </c>
      <c r="AI1061" s="18"/>
      <c r="AJ1061" s="18"/>
    </row>
    <row r="1062" spans="1:38" ht="26.65" customHeight="1" x14ac:dyDescent="0.25">
      <c r="A1062" s="10" t="s">
        <v>9904</v>
      </c>
      <c r="B1062" s="9" t="s">
        <v>3030</v>
      </c>
      <c r="C1062" s="9" t="s">
        <v>43</v>
      </c>
      <c r="D1062" s="9" t="s">
        <v>3031</v>
      </c>
      <c r="E1062" s="9" t="s">
        <v>35</v>
      </c>
      <c r="F1062" s="9" t="s">
        <v>36</v>
      </c>
      <c r="G1062" s="9">
        <v>5</v>
      </c>
      <c r="H1062" s="9">
        <v>84219999</v>
      </c>
      <c r="I1062" s="11" t="s">
        <v>37</v>
      </c>
      <c r="J1062" s="12">
        <v>1.6500000000000001E-2</v>
      </c>
      <c r="K1062" s="12">
        <v>7.5999999999999998E-2</v>
      </c>
      <c r="L1062" s="12">
        <v>5.1999999999999998E-2</v>
      </c>
      <c r="M1062" s="13">
        <v>8003453142145</v>
      </c>
      <c r="N1062" s="14" t="s">
        <v>35</v>
      </c>
      <c r="O1062" s="14" t="s">
        <v>35</v>
      </c>
      <c r="P1062" s="15">
        <v>45536</v>
      </c>
      <c r="Q1062" s="16" t="s">
        <v>9905</v>
      </c>
      <c r="R1062" s="17" t="s">
        <v>35</v>
      </c>
      <c r="S1062" s="17" t="s">
        <v>35</v>
      </c>
      <c r="T1062" s="17" t="s">
        <v>35</v>
      </c>
      <c r="U1062" s="17" t="s">
        <v>9906</v>
      </c>
      <c r="V1062" s="17" t="s">
        <v>35</v>
      </c>
      <c r="W1062" s="17" t="s">
        <v>35</v>
      </c>
      <c r="X1062" s="17" t="s">
        <v>35</v>
      </c>
      <c r="Y1062" s="17" t="s">
        <v>9907</v>
      </c>
      <c r="Z1062" s="17" t="s">
        <v>35</v>
      </c>
      <c r="AA1062" s="17" t="s">
        <v>35</v>
      </c>
      <c r="AB1062" s="17" t="s">
        <v>35</v>
      </c>
      <c r="AC1062" s="17" t="s">
        <v>9539</v>
      </c>
      <c r="AD1062" s="41">
        <v>51.99</v>
      </c>
      <c r="AE1062" s="41">
        <v>54.69</v>
      </c>
      <c r="AF1062" s="48"/>
      <c r="AG1062" s="44"/>
      <c r="AH1062" s="7">
        <f t="shared" si="16"/>
        <v>0</v>
      </c>
      <c r="AI1062" s="18"/>
      <c r="AJ1062" s="18"/>
    </row>
    <row r="1063" spans="1:38" ht="26.65" customHeight="1" x14ac:dyDescent="0.25">
      <c r="A1063" s="10" t="s">
        <v>9714</v>
      </c>
      <c r="B1063" s="9" t="s">
        <v>3030</v>
      </c>
      <c r="C1063" s="9" t="s">
        <v>43</v>
      </c>
      <c r="D1063" s="9" t="s">
        <v>9715</v>
      </c>
      <c r="E1063" s="9" t="s">
        <v>35</v>
      </c>
      <c r="F1063" s="9" t="s">
        <v>36</v>
      </c>
      <c r="G1063" s="9">
        <v>6</v>
      </c>
      <c r="H1063" s="9">
        <v>84219999</v>
      </c>
      <c r="I1063" s="11" t="s">
        <v>37</v>
      </c>
      <c r="J1063" s="12">
        <v>1.6500000000000001E-2</v>
      </c>
      <c r="K1063" s="12">
        <v>7.5999999999999998E-2</v>
      </c>
      <c r="L1063" s="12">
        <v>5.1999999999999998E-2</v>
      </c>
      <c r="M1063" s="13">
        <v>8003453810792</v>
      </c>
      <c r="N1063" s="14">
        <v>0.24199999999999999</v>
      </c>
      <c r="O1063" s="14">
        <v>0.311</v>
      </c>
      <c r="P1063" s="15">
        <v>45474</v>
      </c>
      <c r="Q1063" s="16" t="s">
        <v>9716</v>
      </c>
      <c r="R1063" s="17" t="s">
        <v>9717</v>
      </c>
      <c r="S1063" s="17" t="s">
        <v>8867</v>
      </c>
      <c r="T1063" s="17" t="s">
        <v>35</v>
      </c>
      <c r="U1063" s="17" t="s">
        <v>8868</v>
      </c>
      <c r="V1063" s="17" t="s">
        <v>8869</v>
      </c>
      <c r="W1063" s="17" t="s">
        <v>35</v>
      </c>
      <c r="X1063" s="17" t="s">
        <v>35</v>
      </c>
      <c r="Y1063" s="17" t="s">
        <v>8871</v>
      </c>
      <c r="Z1063" s="17" t="s">
        <v>35</v>
      </c>
      <c r="AA1063" s="17" t="s">
        <v>35</v>
      </c>
      <c r="AB1063" s="17" t="s">
        <v>35</v>
      </c>
      <c r="AC1063" s="17" t="s">
        <v>9539</v>
      </c>
      <c r="AD1063" s="42">
        <v>15.98</v>
      </c>
      <c r="AE1063" s="42">
        <v>16.809999999999999</v>
      </c>
      <c r="AF1063" s="48"/>
      <c r="AG1063" s="44"/>
      <c r="AH1063" s="7">
        <f t="shared" si="16"/>
        <v>0</v>
      </c>
      <c r="AI1063" s="18"/>
      <c r="AJ1063" s="18"/>
    </row>
    <row r="1064" spans="1:38" ht="26.65" customHeight="1" x14ac:dyDescent="0.25">
      <c r="A1064" s="10" t="s">
        <v>6590</v>
      </c>
      <c r="B1064" s="9" t="s">
        <v>1147</v>
      </c>
      <c r="C1064" s="9" t="s">
        <v>34</v>
      </c>
      <c r="D1064" s="9" t="s">
        <v>59</v>
      </c>
      <c r="E1064" s="9" t="s">
        <v>35</v>
      </c>
      <c r="F1064" s="9" t="s">
        <v>36</v>
      </c>
      <c r="G1064" s="9">
        <v>6</v>
      </c>
      <c r="H1064" s="9">
        <v>84212300</v>
      </c>
      <c r="I1064" s="11" t="s">
        <v>37</v>
      </c>
      <c r="J1064" s="12">
        <v>2.3E-2</v>
      </c>
      <c r="K1064" s="12">
        <v>0.108</v>
      </c>
      <c r="L1064" s="12">
        <v>5.1999999999999998E-2</v>
      </c>
      <c r="M1064" s="13">
        <v>8003453152823</v>
      </c>
      <c r="N1064" s="14">
        <v>1.2999999999999999E-2</v>
      </c>
      <c r="O1064" s="14">
        <v>2.5000000000000001E-2</v>
      </c>
      <c r="P1064" s="15">
        <v>45139</v>
      </c>
      <c r="Q1064" s="16" t="s">
        <v>6591</v>
      </c>
      <c r="R1064" s="17" t="s">
        <v>6592</v>
      </c>
      <c r="S1064" s="17" t="s">
        <v>6593</v>
      </c>
      <c r="T1064" s="17">
        <v>14774201</v>
      </c>
      <c r="U1064" s="17" t="s">
        <v>35</v>
      </c>
      <c r="V1064" s="17" t="s">
        <v>35</v>
      </c>
      <c r="W1064" s="17" t="s">
        <v>35</v>
      </c>
      <c r="X1064" s="17" t="s">
        <v>6594</v>
      </c>
      <c r="Y1064" s="17" t="s">
        <v>35</v>
      </c>
      <c r="Z1064" s="17" t="s">
        <v>6595</v>
      </c>
      <c r="AA1064" s="17" t="s">
        <v>35</v>
      </c>
      <c r="AB1064" s="17" t="s">
        <v>6596</v>
      </c>
      <c r="AC1064" s="17" t="s">
        <v>9539</v>
      </c>
      <c r="AD1064" s="41">
        <v>12.43</v>
      </c>
      <c r="AE1064" s="41">
        <v>13.08</v>
      </c>
      <c r="AF1064" s="48"/>
      <c r="AG1064" s="44"/>
      <c r="AH1064" s="7">
        <f t="shared" si="16"/>
        <v>0</v>
      </c>
      <c r="AI1064" s="18"/>
      <c r="AJ1064" s="18"/>
      <c r="AL1064" s="18"/>
    </row>
    <row r="1065" spans="1:38" ht="26.65" customHeight="1" x14ac:dyDescent="0.25">
      <c r="A1065" s="10" t="s">
        <v>6597</v>
      </c>
      <c r="B1065" s="9" t="s">
        <v>6598</v>
      </c>
      <c r="C1065" s="9" t="s">
        <v>43</v>
      </c>
      <c r="D1065" s="9" t="s">
        <v>904</v>
      </c>
      <c r="E1065" s="9" t="s">
        <v>35</v>
      </c>
      <c r="F1065" s="9" t="s">
        <v>36</v>
      </c>
      <c r="G1065" s="9">
        <v>6</v>
      </c>
      <c r="H1065" s="9">
        <v>84212300</v>
      </c>
      <c r="I1065" s="11" t="s">
        <v>37</v>
      </c>
      <c r="J1065" s="12">
        <v>2.3E-2</v>
      </c>
      <c r="K1065" s="12">
        <v>0.108</v>
      </c>
      <c r="L1065" s="12">
        <v>5.1999999999999998E-2</v>
      </c>
      <c r="M1065" s="13">
        <v>8003453152663</v>
      </c>
      <c r="N1065" s="14">
        <v>0.26800000000000002</v>
      </c>
      <c r="O1065" s="14">
        <v>0.30199999999999999</v>
      </c>
      <c r="P1065" s="15" t="s">
        <v>35</v>
      </c>
      <c r="Q1065" s="16" t="s">
        <v>6599</v>
      </c>
      <c r="R1065" s="17" t="s">
        <v>35</v>
      </c>
      <c r="S1065" s="17" t="s">
        <v>6600</v>
      </c>
      <c r="T1065" s="17" t="s">
        <v>6601</v>
      </c>
      <c r="U1065" s="17" t="s">
        <v>6602</v>
      </c>
      <c r="V1065" s="17" t="s">
        <v>6603</v>
      </c>
      <c r="W1065" s="17" t="s">
        <v>6604</v>
      </c>
      <c r="X1065" s="17" t="s">
        <v>6605</v>
      </c>
      <c r="Y1065" s="17" t="s">
        <v>6606</v>
      </c>
      <c r="Z1065" s="17" t="s">
        <v>6607</v>
      </c>
      <c r="AA1065" s="17" t="s">
        <v>35</v>
      </c>
      <c r="AB1065" s="17" t="s">
        <v>35</v>
      </c>
      <c r="AC1065" s="17" t="s">
        <v>9539</v>
      </c>
      <c r="AD1065" s="42">
        <v>36.33</v>
      </c>
      <c r="AE1065" s="42">
        <v>38.22</v>
      </c>
      <c r="AF1065" s="48"/>
      <c r="AG1065" s="44"/>
      <c r="AH1065" s="7">
        <f t="shared" si="16"/>
        <v>0</v>
      </c>
      <c r="AI1065" s="18"/>
      <c r="AJ1065" s="18"/>
    </row>
    <row r="1066" spans="1:38" ht="26.65" customHeight="1" x14ac:dyDescent="0.25">
      <c r="A1066" s="10" t="s">
        <v>6608</v>
      </c>
      <c r="B1066" s="9" t="s">
        <v>6598</v>
      </c>
      <c r="C1066" s="9" t="s">
        <v>43</v>
      </c>
      <c r="D1066" s="9" t="s">
        <v>904</v>
      </c>
      <c r="E1066" s="9" t="s">
        <v>35</v>
      </c>
      <c r="F1066" s="9" t="s">
        <v>36</v>
      </c>
      <c r="G1066" s="9">
        <v>6</v>
      </c>
      <c r="H1066" s="9">
        <v>84212300</v>
      </c>
      <c r="I1066" s="11" t="s">
        <v>37</v>
      </c>
      <c r="J1066" s="12">
        <v>2.3E-2</v>
      </c>
      <c r="K1066" s="12">
        <v>0.108</v>
      </c>
      <c r="L1066" s="12">
        <v>5.1999999999999998E-2</v>
      </c>
      <c r="M1066" s="13">
        <v>8003453152687</v>
      </c>
      <c r="N1066" s="14">
        <v>0.39800000000000002</v>
      </c>
      <c r="O1066" s="14">
        <v>0.439</v>
      </c>
      <c r="P1066" s="15" t="s">
        <v>35</v>
      </c>
      <c r="Q1066" s="16" t="s">
        <v>8708</v>
      </c>
      <c r="R1066" s="17" t="s">
        <v>35</v>
      </c>
      <c r="S1066" s="17" t="s">
        <v>6610</v>
      </c>
      <c r="T1066" s="17" t="s">
        <v>6611</v>
      </c>
      <c r="U1066" s="17" t="s">
        <v>6612</v>
      </c>
      <c r="V1066" s="17" t="s">
        <v>35</v>
      </c>
      <c r="W1066" s="17" t="s">
        <v>35</v>
      </c>
      <c r="X1066" s="17" t="s">
        <v>6613</v>
      </c>
      <c r="Y1066" s="17" t="s">
        <v>6614</v>
      </c>
      <c r="Z1066" s="17" t="s">
        <v>35</v>
      </c>
      <c r="AA1066" s="17" t="s">
        <v>35</v>
      </c>
      <c r="AB1066" s="17" t="s">
        <v>35</v>
      </c>
      <c r="AC1066" s="17" t="s">
        <v>9539</v>
      </c>
      <c r="AD1066" s="41">
        <v>36.340000000000003</v>
      </c>
      <c r="AE1066" s="41">
        <v>38.229999999999997</v>
      </c>
      <c r="AF1066" s="48"/>
      <c r="AG1066" s="44"/>
      <c r="AH1066" s="7">
        <f t="shared" si="16"/>
        <v>0</v>
      </c>
      <c r="AI1066" s="18"/>
      <c r="AJ1066" s="18"/>
    </row>
    <row r="1067" spans="1:38" ht="26.65" customHeight="1" x14ac:dyDescent="0.25">
      <c r="A1067" s="10" t="s">
        <v>6615</v>
      </c>
      <c r="B1067" s="9" t="s">
        <v>6598</v>
      </c>
      <c r="C1067" s="9" t="s">
        <v>43</v>
      </c>
      <c r="D1067" s="9" t="s">
        <v>59</v>
      </c>
      <c r="E1067" s="9" t="s">
        <v>122</v>
      </c>
      <c r="F1067" s="9" t="s">
        <v>36</v>
      </c>
      <c r="G1067" s="9">
        <v>6</v>
      </c>
      <c r="H1067" s="9">
        <v>84212300</v>
      </c>
      <c r="I1067" s="11" t="s">
        <v>37</v>
      </c>
      <c r="J1067" s="12">
        <v>2.3E-2</v>
      </c>
      <c r="K1067" s="12">
        <v>0.108</v>
      </c>
      <c r="L1067" s="12">
        <v>5.1999999999999998E-2</v>
      </c>
      <c r="M1067" s="13">
        <v>8003453152700</v>
      </c>
      <c r="N1067" s="14">
        <v>0.16600000000000001</v>
      </c>
      <c r="O1067" s="14">
        <v>0.188</v>
      </c>
      <c r="P1067" s="15" t="s">
        <v>35</v>
      </c>
      <c r="Q1067" s="16" t="s">
        <v>6616</v>
      </c>
      <c r="R1067" s="17" t="s">
        <v>35</v>
      </c>
      <c r="S1067" s="17" t="s">
        <v>35</v>
      </c>
      <c r="T1067" s="17" t="s">
        <v>35</v>
      </c>
      <c r="U1067" s="17" t="s">
        <v>35</v>
      </c>
      <c r="V1067" s="17" t="s">
        <v>35</v>
      </c>
      <c r="W1067" s="17" t="s">
        <v>35</v>
      </c>
      <c r="X1067" s="17" t="s">
        <v>35</v>
      </c>
      <c r="Y1067" s="17" t="s">
        <v>35</v>
      </c>
      <c r="Z1067" s="17" t="s">
        <v>35</v>
      </c>
      <c r="AA1067" s="17" t="s">
        <v>35</v>
      </c>
      <c r="AB1067" s="17" t="s">
        <v>35</v>
      </c>
      <c r="AC1067" s="17" t="s">
        <v>9539</v>
      </c>
      <c r="AD1067" s="42">
        <v>65.69</v>
      </c>
      <c r="AE1067" s="42">
        <v>69.11</v>
      </c>
      <c r="AF1067" s="48"/>
      <c r="AG1067" s="44"/>
      <c r="AH1067" s="7">
        <f t="shared" si="16"/>
        <v>0</v>
      </c>
      <c r="AI1067" s="18"/>
      <c r="AJ1067" s="18"/>
    </row>
    <row r="1068" spans="1:38" ht="26.65" customHeight="1" x14ac:dyDescent="0.25">
      <c r="A1068" s="10" t="s">
        <v>6617</v>
      </c>
      <c r="B1068" s="9" t="s">
        <v>1147</v>
      </c>
      <c r="C1068" s="9" t="s">
        <v>43</v>
      </c>
      <c r="D1068" s="9" t="s">
        <v>59</v>
      </c>
      <c r="E1068" s="9" t="s">
        <v>35</v>
      </c>
      <c r="F1068" s="9" t="s">
        <v>36</v>
      </c>
      <c r="G1068" s="9">
        <v>6</v>
      </c>
      <c r="H1068" s="9">
        <v>84212300</v>
      </c>
      <c r="I1068" s="11" t="s">
        <v>37</v>
      </c>
      <c r="J1068" s="12">
        <v>2.3E-2</v>
      </c>
      <c r="K1068" s="12">
        <v>0.108</v>
      </c>
      <c r="L1068" s="12">
        <v>5.1999999999999998E-2</v>
      </c>
      <c r="M1068" s="13">
        <v>8003453152717</v>
      </c>
      <c r="N1068" s="14">
        <v>0.3</v>
      </c>
      <c r="O1068" s="14">
        <v>0.34</v>
      </c>
      <c r="P1068" s="15">
        <v>45200</v>
      </c>
      <c r="Q1068" s="16" t="s">
        <v>6618</v>
      </c>
      <c r="R1068" s="17" t="s">
        <v>6619</v>
      </c>
      <c r="S1068" s="17" t="s">
        <v>6620</v>
      </c>
      <c r="T1068" s="17" t="s">
        <v>6621</v>
      </c>
      <c r="U1068" s="17" t="s">
        <v>6622</v>
      </c>
      <c r="V1068" s="17" t="s">
        <v>35</v>
      </c>
      <c r="W1068" s="17" t="s">
        <v>35</v>
      </c>
      <c r="X1068" s="17" t="s">
        <v>6623</v>
      </c>
      <c r="Y1068" s="17" t="s">
        <v>6624</v>
      </c>
      <c r="Z1068" s="17" t="s">
        <v>35</v>
      </c>
      <c r="AA1068" s="17" t="s">
        <v>35</v>
      </c>
      <c r="AB1068" s="17" t="s">
        <v>35</v>
      </c>
      <c r="AC1068" s="17" t="s">
        <v>9539</v>
      </c>
      <c r="AD1068" s="42">
        <v>36.31</v>
      </c>
      <c r="AE1068" s="42">
        <v>38.200000000000003</v>
      </c>
      <c r="AF1068" s="48"/>
      <c r="AG1068" s="44"/>
      <c r="AH1068" s="7">
        <f t="shared" si="16"/>
        <v>0</v>
      </c>
      <c r="AI1068" s="18"/>
      <c r="AJ1068" s="18"/>
    </row>
    <row r="1069" spans="1:38" ht="26.65" customHeight="1" x14ac:dyDescent="0.25">
      <c r="A1069" s="10" t="s">
        <v>6625</v>
      </c>
      <c r="B1069" s="9" t="s">
        <v>6598</v>
      </c>
      <c r="C1069" s="9" t="s">
        <v>43</v>
      </c>
      <c r="D1069" s="9" t="s">
        <v>904</v>
      </c>
      <c r="E1069" s="9" t="s">
        <v>35</v>
      </c>
      <c r="F1069" s="9" t="s">
        <v>36</v>
      </c>
      <c r="G1069" s="9">
        <v>6</v>
      </c>
      <c r="H1069" s="9">
        <v>84212300</v>
      </c>
      <c r="I1069" s="11" t="s">
        <v>37</v>
      </c>
      <c r="J1069" s="12">
        <v>2.3E-2</v>
      </c>
      <c r="K1069" s="12">
        <v>0.108</v>
      </c>
      <c r="L1069" s="12">
        <v>5.1999999999999998E-2</v>
      </c>
      <c r="M1069" s="13">
        <v>8003453152731</v>
      </c>
      <c r="N1069" s="14">
        <v>0.441</v>
      </c>
      <c r="O1069" s="14">
        <v>0.48099999999999998</v>
      </c>
      <c r="P1069" s="15" t="s">
        <v>35</v>
      </c>
      <c r="Q1069" s="16" t="s">
        <v>6609</v>
      </c>
      <c r="R1069" s="17" t="s">
        <v>35</v>
      </c>
      <c r="S1069" s="17" t="s">
        <v>6626</v>
      </c>
      <c r="T1069" s="17" t="s">
        <v>6627</v>
      </c>
      <c r="U1069" s="17" t="s">
        <v>6628</v>
      </c>
      <c r="V1069" s="17" t="s">
        <v>35</v>
      </c>
      <c r="W1069" s="17" t="s">
        <v>35</v>
      </c>
      <c r="X1069" s="17" t="s">
        <v>6629</v>
      </c>
      <c r="Y1069" s="17" t="s">
        <v>6630</v>
      </c>
      <c r="Z1069" s="17" t="s">
        <v>35</v>
      </c>
      <c r="AA1069" s="17" t="s">
        <v>35</v>
      </c>
      <c r="AB1069" s="17" t="s">
        <v>35</v>
      </c>
      <c r="AC1069" s="17" t="s">
        <v>9539</v>
      </c>
      <c r="AD1069" s="41">
        <v>42.28</v>
      </c>
      <c r="AE1069" s="41">
        <v>44.48</v>
      </c>
      <c r="AF1069" s="48"/>
      <c r="AG1069" s="44"/>
      <c r="AH1069" s="7">
        <f t="shared" si="16"/>
        <v>0</v>
      </c>
      <c r="AI1069" s="18"/>
      <c r="AJ1069" s="18"/>
    </row>
    <row r="1070" spans="1:38" ht="26.65" customHeight="1" x14ac:dyDescent="0.25">
      <c r="A1070" s="10" t="s">
        <v>6631</v>
      </c>
      <c r="B1070" s="9" t="s">
        <v>6598</v>
      </c>
      <c r="C1070" s="9" t="s">
        <v>43</v>
      </c>
      <c r="D1070" s="9" t="s">
        <v>904</v>
      </c>
      <c r="E1070" s="9" t="s">
        <v>35</v>
      </c>
      <c r="F1070" s="9" t="s">
        <v>36</v>
      </c>
      <c r="G1070" s="9">
        <v>6</v>
      </c>
      <c r="H1070" s="9">
        <v>84212300</v>
      </c>
      <c r="I1070" s="11" t="s">
        <v>37</v>
      </c>
      <c r="J1070" s="12">
        <v>2.3E-2</v>
      </c>
      <c r="K1070" s="12">
        <v>0.108</v>
      </c>
      <c r="L1070" s="12">
        <v>5.1999999999999998E-2</v>
      </c>
      <c r="M1070" s="13">
        <v>8003453152748</v>
      </c>
      <c r="N1070" s="14">
        <v>0.15</v>
      </c>
      <c r="O1070" s="14">
        <v>0.18</v>
      </c>
      <c r="P1070" s="15" t="s">
        <v>35</v>
      </c>
      <c r="Q1070" s="16" t="s">
        <v>6632</v>
      </c>
      <c r="R1070" s="17" t="s">
        <v>35</v>
      </c>
      <c r="S1070" s="17" t="s">
        <v>6633</v>
      </c>
      <c r="T1070" s="17" t="s">
        <v>6634</v>
      </c>
      <c r="U1070" s="17" t="s">
        <v>6635</v>
      </c>
      <c r="V1070" s="17" t="s">
        <v>35</v>
      </c>
      <c r="W1070" s="17" t="s">
        <v>35</v>
      </c>
      <c r="X1070" s="17" t="s">
        <v>6636</v>
      </c>
      <c r="Y1070" s="17" t="s">
        <v>6637</v>
      </c>
      <c r="Z1070" s="17" t="s">
        <v>35</v>
      </c>
      <c r="AA1070" s="17" t="s">
        <v>35</v>
      </c>
      <c r="AB1070" s="17" t="s">
        <v>35</v>
      </c>
      <c r="AC1070" s="17" t="s">
        <v>9539</v>
      </c>
      <c r="AD1070" s="41">
        <v>47.42</v>
      </c>
      <c r="AE1070" s="41">
        <v>49.89</v>
      </c>
      <c r="AF1070" s="48"/>
      <c r="AG1070" s="44"/>
      <c r="AH1070" s="7">
        <f t="shared" si="16"/>
        <v>0</v>
      </c>
      <c r="AI1070" s="18"/>
      <c r="AJ1070" s="18"/>
    </row>
    <row r="1071" spans="1:38" ht="26.65" customHeight="1" x14ac:dyDescent="0.25">
      <c r="A1071" s="10" t="s">
        <v>6638</v>
      </c>
      <c r="B1071" s="9" t="s">
        <v>6598</v>
      </c>
      <c r="C1071" s="9" t="s">
        <v>43</v>
      </c>
      <c r="D1071" s="9" t="s">
        <v>904</v>
      </c>
      <c r="E1071" s="9" t="s">
        <v>122</v>
      </c>
      <c r="F1071" s="9" t="s">
        <v>36</v>
      </c>
      <c r="G1071" s="9">
        <v>6</v>
      </c>
      <c r="H1071" s="9">
        <v>84212300</v>
      </c>
      <c r="I1071" s="11" t="s">
        <v>37</v>
      </c>
      <c r="J1071" s="12">
        <v>2.3E-2</v>
      </c>
      <c r="K1071" s="12">
        <v>0.108</v>
      </c>
      <c r="L1071" s="12">
        <v>5.1999999999999998E-2</v>
      </c>
      <c r="M1071" s="13">
        <v>8003453152786</v>
      </c>
      <c r="N1071" s="14">
        <v>7.8E-2</v>
      </c>
      <c r="O1071" s="14">
        <v>0.10299999999999999</v>
      </c>
      <c r="P1071" s="15" t="s">
        <v>35</v>
      </c>
      <c r="Q1071" s="16" t="s">
        <v>6639</v>
      </c>
      <c r="R1071" s="17" t="s">
        <v>35</v>
      </c>
      <c r="S1071" s="17" t="s">
        <v>6640</v>
      </c>
      <c r="T1071" s="17" t="s">
        <v>6641</v>
      </c>
      <c r="U1071" s="17" t="s">
        <v>6642</v>
      </c>
      <c r="V1071" s="17" t="s">
        <v>6643</v>
      </c>
      <c r="W1071" s="17" t="s">
        <v>6644</v>
      </c>
      <c r="X1071" s="17" t="s">
        <v>6645</v>
      </c>
      <c r="Y1071" s="17" t="s">
        <v>6646</v>
      </c>
      <c r="Z1071" s="17" t="s">
        <v>35</v>
      </c>
      <c r="AA1071" s="17" t="s">
        <v>35</v>
      </c>
      <c r="AB1071" s="17" t="s">
        <v>35</v>
      </c>
      <c r="AC1071" s="17" t="s">
        <v>9539</v>
      </c>
      <c r="AD1071" s="42">
        <v>17.5</v>
      </c>
      <c r="AE1071" s="42">
        <v>18.41</v>
      </c>
      <c r="AF1071" s="48"/>
      <c r="AG1071" s="44"/>
      <c r="AH1071" s="7">
        <f t="shared" si="16"/>
        <v>0</v>
      </c>
      <c r="AI1071" s="18"/>
      <c r="AJ1071" s="18"/>
    </row>
    <row r="1072" spans="1:38" ht="26.65" customHeight="1" x14ac:dyDescent="0.25">
      <c r="A1072" s="10" t="s">
        <v>6649</v>
      </c>
      <c r="B1072" s="9" t="s">
        <v>6598</v>
      </c>
      <c r="C1072" s="9" t="s">
        <v>43</v>
      </c>
      <c r="D1072" s="9" t="s">
        <v>904</v>
      </c>
      <c r="E1072" s="9" t="s">
        <v>35</v>
      </c>
      <c r="F1072" s="9" t="s">
        <v>36</v>
      </c>
      <c r="G1072" s="9">
        <v>6</v>
      </c>
      <c r="H1072" s="9">
        <v>84212300</v>
      </c>
      <c r="I1072" s="11" t="s">
        <v>37</v>
      </c>
      <c r="J1072" s="12">
        <v>2.3E-2</v>
      </c>
      <c r="K1072" s="12">
        <v>0.108</v>
      </c>
      <c r="L1072" s="12">
        <v>5.1999999999999998E-2</v>
      </c>
      <c r="M1072" s="13">
        <v>8003453153417</v>
      </c>
      <c r="N1072" s="14">
        <v>0.29599999999999999</v>
      </c>
      <c r="O1072" s="14">
        <v>0.33200000000000002</v>
      </c>
      <c r="P1072" s="15">
        <v>44774</v>
      </c>
      <c r="Q1072" s="16" t="s">
        <v>6650</v>
      </c>
      <c r="R1072" s="17" t="s">
        <v>6651</v>
      </c>
      <c r="S1072" s="17" t="s">
        <v>35</v>
      </c>
      <c r="T1072" s="17" t="s">
        <v>35</v>
      </c>
      <c r="U1072" s="17" t="s">
        <v>35</v>
      </c>
      <c r="V1072" s="17" t="s">
        <v>6652</v>
      </c>
      <c r="W1072" s="17" t="s">
        <v>6653</v>
      </c>
      <c r="X1072" s="17" t="s">
        <v>6654</v>
      </c>
      <c r="Y1072" s="17" t="s">
        <v>6655</v>
      </c>
      <c r="Z1072" s="17" t="s">
        <v>35</v>
      </c>
      <c r="AA1072" s="17" t="s">
        <v>35</v>
      </c>
      <c r="AB1072" s="17" t="s">
        <v>35</v>
      </c>
      <c r="AC1072" s="17" t="s">
        <v>9539</v>
      </c>
      <c r="AD1072" s="41">
        <v>48.51</v>
      </c>
      <c r="AE1072" s="41">
        <v>51.03</v>
      </c>
      <c r="AF1072" s="48"/>
      <c r="AG1072" s="44"/>
      <c r="AH1072" s="7">
        <f t="shared" si="16"/>
        <v>0</v>
      </c>
      <c r="AI1072" s="18"/>
      <c r="AJ1072" s="18"/>
    </row>
    <row r="1073" spans="1:38" ht="26.65" customHeight="1" x14ac:dyDescent="0.25">
      <c r="A1073" s="10" t="s">
        <v>6656</v>
      </c>
      <c r="B1073" s="9" t="s">
        <v>6598</v>
      </c>
      <c r="C1073" s="9" t="s">
        <v>43</v>
      </c>
      <c r="D1073" s="9" t="s">
        <v>904</v>
      </c>
      <c r="E1073" s="9" t="s">
        <v>35</v>
      </c>
      <c r="F1073" s="9" t="s">
        <v>36</v>
      </c>
      <c r="G1073" s="9">
        <v>6</v>
      </c>
      <c r="H1073" s="9">
        <v>84212300</v>
      </c>
      <c r="I1073" s="11" t="s">
        <v>37</v>
      </c>
      <c r="J1073" s="12">
        <v>2.3E-2</v>
      </c>
      <c r="K1073" s="12">
        <v>0.108</v>
      </c>
      <c r="L1073" s="12">
        <v>5.1999999999999998E-2</v>
      </c>
      <c r="M1073" s="13">
        <v>8003453152854</v>
      </c>
      <c r="N1073" s="14">
        <v>0.127</v>
      </c>
      <c r="O1073" s="14">
        <v>0.14699999999999999</v>
      </c>
      <c r="P1073" s="15" t="s">
        <v>35</v>
      </c>
      <c r="Q1073" s="16" t="s">
        <v>6657</v>
      </c>
      <c r="R1073" s="17" t="s">
        <v>35</v>
      </c>
      <c r="S1073" s="17" t="s">
        <v>6658</v>
      </c>
      <c r="T1073" s="17" t="s">
        <v>6659</v>
      </c>
      <c r="U1073" s="17" t="s">
        <v>6660</v>
      </c>
      <c r="V1073" s="17" t="s">
        <v>6661</v>
      </c>
      <c r="W1073" s="17" t="s">
        <v>6662</v>
      </c>
      <c r="X1073" s="17" t="s">
        <v>6663</v>
      </c>
      <c r="Y1073" s="17" t="s">
        <v>6664</v>
      </c>
      <c r="Z1073" s="17" t="s">
        <v>6665</v>
      </c>
      <c r="AA1073" s="17" t="s">
        <v>35</v>
      </c>
      <c r="AB1073" s="17" t="s">
        <v>6666</v>
      </c>
      <c r="AC1073" s="17" t="s">
        <v>9539</v>
      </c>
      <c r="AD1073" s="42">
        <v>24.02</v>
      </c>
      <c r="AE1073" s="42">
        <v>25.27</v>
      </c>
      <c r="AF1073" s="48"/>
      <c r="AG1073" s="44"/>
      <c r="AH1073" s="7">
        <f t="shared" si="16"/>
        <v>0</v>
      </c>
      <c r="AI1073" s="18"/>
      <c r="AJ1073" s="18"/>
    </row>
    <row r="1074" spans="1:38" ht="26.65" customHeight="1" x14ac:dyDescent="0.25">
      <c r="A1074" s="10" t="s">
        <v>6667</v>
      </c>
      <c r="B1074" s="9" t="s">
        <v>6598</v>
      </c>
      <c r="C1074" s="9" t="s">
        <v>43</v>
      </c>
      <c r="D1074" s="9" t="s">
        <v>904</v>
      </c>
      <c r="E1074" s="9" t="s">
        <v>35</v>
      </c>
      <c r="F1074" s="9" t="s">
        <v>36</v>
      </c>
      <c r="G1074" s="9">
        <v>6</v>
      </c>
      <c r="H1074" s="9">
        <v>84212300</v>
      </c>
      <c r="I1074" s="11" t="s">
        <v>37</v>
      </c>
      <c r="J1074" s="12">
        <v>2.3E-2</v>
      </c>
      <c r="K1074" s="12">
        <v>0.108</v>
      </c>
      <c r="L1074" s="12">
        <v>5.1999999999999998E-2</v>
      </c>
      <c r="M1074" s="13">
        <v>8003453153998</v>
      </c>
      <c r="N1074" s="14">
        <v>0.25800000000000001</v>
      </c>
      <c r="O1074" s="14">
        <v>0.28399999999999997</v>
      </c>
      <c r="P1074" s="15" t="s">
        <v>35</v>
      </c>
      <c r="Q1074" s="16" t="s">
        <v>6668</v>
      </c>
      <c r="R1074" s="17" t="s">
        <v>35</v>
      </c>
      <c r="S1074" s="17" t="s">
        <v>6669</v>
      </c>
      <c r="T1074" s="17" t="s">
        <v>35</v>
      </c>
      <c r="U1074" s="17" t="s">
        <v>6670</v>
      </c>
      <c r="V1074" s="17" t="s">
        <v>6671</v>
      </c>
      <c r="W1074" s="17" t="s">
        <v>6672</v>
      </c>
      <c r="X1074" s="17" t="s">
        <v>6673</v>
      </c>
      <c r="Y1074" s="17" t="s">
        <v>6674</v>
      </c>
      <c r="Z1074" s="17" t="s">
        <v>35</v>
      </c>
      <c r="AA1074" s="17" t="s">
        <v>35</v>
      </c>
      <c r="AB1074" s="17" t="s">
        <v>35</v>
      </c>
      <c r="AC1074" s="17" t="s">
        <v>9539</v>
      </c>
      <c r="AD1074" s="42">
        <v>41.36</v>
      </c>
      <c r="AE1074" s="42">
        <v>43.51</v>
      </c>
      <c r="AF1074" s="48"/>
      <c r="AG1074" s="44"/>
      <c r="AH1074" s="7">
        <f t="shared" si="16"/>
        <v>0</v>
      </c>
      <c r="AI1074" s="18"/>
      <c r="AJ1074" s="18"/>
    </row>
    <row r="1075" spans="1:38" ht="26.65" customHeight="1" x14ac:dyDescent="0.25">
      <c r="A1075" s="10" t="s">
        <v>6675</v>
      </c>
      <c r="B1075" s="9" t="s">
        <v>6598</v>
      </c>
      <c r="C1075" s="9" t="s">
        <v>43</v>
      </c>
      <c r="D1075" s="9" t="s">
        <v>904</v>
      </c>
      <c r="E1075" s="9" t="s">
        <v>35</v>
      </c>
      <c r="F1075" s="9" t="s">
        <v>36</v>
      </c>
      <c r="G1075" s="9">
        <v>6</v>
      </c>
      <c r="H1075" s="9">
        <v>84212300</v>
      </c>
      <c r="I1075" s="11" t="s">
        <v>37</v>
      </c>
      <c r="J1075" s="12">
        <v>2.3E-2</v>
      </c>
      <c r="K1075" s="12">
        <v>0.108</v>
      </c>
      <c r="L1075" s="12">
        <v>5.1999999999999998E-2</v>
      </c>
      <c r="M1075" s="13">
        <v>8003453154872</v>
      </c>
      <c r="N1075" s="14">
        <v>0.246</v>
      </c>
      <c r="O1075" s="14">
        <v>0.27100000000000002</v>
      </c>
      <c r="P1075" s="15" t="s">
        <v>35</v>
      </c>
      <c r="Q1075" s="16" t="s">
        <v>5729</v>
      </c>
      <c r="R1075" s="17" t="s">
        <v>35</v>
      </c>
      <c r="S1075" s="17" t="s">
        <v>6676</v>
      </c>
      <c r="T1075" s="17" t="s">
        <v>6677</v>
      </c>
      <c r="U1075" s="17" t="s">
        <v>6678</v>
      </c>
      <c r="V1075" s="17" t="s">
        <v>35</v>
      </c>
      <c r="W1075" s="17" t="s">
        <v>35</v>
      </c>
      <c r="X1075" s="17" t="s">
        <v>6679</v>
      </c>
      <c r="Y1075" s="17" t="s">
        <v>6680</v>
      </c>
      <c r="Z1075" s="17" t="s">
        <v>35</v>
      </c>
      <c r="AA1075" s="17" t="s">
        <v>35</v>
      </c>
      <c r="AB1075" s="17" t="s">
        <v>35</v>
      </c>
      <c r="AC1075" s="17" t="s">
        <v>9539</v>
      </c>
      <c r="AD1075" s="41">
        <v>83.27</v>
      </c>
      <c r="AE1075" s="41">
        <v>87.6</v>
      </c>
      <c r="AF1075" s="48"/>
      <c r="AG1075" s="44"/>
      <c r="AH1075" s="7">
        <f t="shared" si="16"/>
        <v>0</v>
      </c>
      <c r="AI1075" s="18"/>
      <c r="AJ1075" s="18"/>
    </row>
    <row r="1076" spans="1:38" ht="26.65" customHeight="1" x14ac:dyDescent="0.25">
      <c r="A1076" s="10" t="s">
        <v>6681</v>
      </c>
      <c r="B1076" s="9" t="s">
        <v>6598</v>
      </c>
      <c r="C1076" s="9" t="s">
        <v>43</v>
      </c>
      <c r="D1076" s="9" t="s">
        <v>904</v>
      </c>
      <c r="E1076" s="9" t="s">
        <v>122</v>
      </c>
      <c r="F1076" s="9" t="s">
        <v>36</v>
      </c>
      <c r="G1076" s="9">
        <v>6</v>
      </c>
      <c r="H1076" s="9">
        <v>84212300</v>
      </c>
      <c r="I1076" s="11" t="s">
        <v>37</v>
      </c>
      <c r="J1076" s="12">
        <v>2.3E-2</v>
      </c>
      <c r="K1076" s="12">
        <v>0.108</v>
      </c>
      <c r="L1076" s="12">
        <v>5.1999999999999998E-2</v>
      </c>
      <c r="M1076" s="13">
        <v>8003453154933</v>
      </c>
      <c r="N1076" s="14">
        <v>0.23699999999999999</v>
      </c>
      <c r="O1076" s="14">
        <v>0.437</v>
      </c>
      <c r="P1076" s="15" t="s">
        <v>35</v>
      </c>
      <c r="Q1076" s="16" t="s">
        <v>6682</v>
      </c>
      <c r="R1076" s="17" t="s">
        <v>6683</v>
      </c>
      <c r="S1076" s="17" t="s">
        <v>6684</v>
      </c>
      <c r="T1076" s="17" t="s">
        <v>6685</v>
      </c>
      <c r="U1076" s="17" t="s">
        <v>6686</v>
      </c>
      <c r="V1076" s="17" t="s">
        <v>6687</v>
      </c>
      <c r="W1076" s="17" t="s">
        <v>6688</v>
      </c>
      <c r="X1076" s="17" t="s">
        <v>6689</v>
      </c>
      <c r="Y1076" s="17" t="s">
        <v>6690</v>
      </c>
      <c r="Z1076" s="17" t="s">
        <v>35</v>
      </c>
      <c r="AA1076" s="17" t="s">
        <v>35</v>
      </c>
      <c r="AB1076" s="17" t="s">
        <v>35</v>
      </c>
      <c r="AC1076" s="17" t="s">
        <v>9539</v>
      </c>
      <c r="AD1076" s="42">
        <v>32.15</v>
      </c>
      <c r="AE1076" s="42">
        <v>33.82</v>
      </c>
      <c r="AF1076" s="48"/>
      <c r="AG1076" s="44"/>
      <c r="AH1076" s="7">
        <f t="shared" si="16"/>
        <v>0</v>
      </c>
      <c r="AI1076" s="18"/>
      <c r="AJ1076" s="18"/>
    </row>
    <row r="1077" spans="1:38" ht="26.65" customHeight="1" x14ac:dyDescent="0.25">
      <c r="A1077" s="10" t="s">
        <v>6691</v>
      </c>
      <c r="B1077" s="9" t="s">
        <v>6598</v>
      </c>
      <c r="C1077" s="9" t="s">
        <v>43</v>
      </c>
      <c r="D1077" s="9" t="s">
        <v>904</v>
      </c>
      <c r="E1077" s="9" t="s">
        <v>35</v>
      </c>
      <c r="F1077" s="9" t="s">
        <v>2072</v>
      </c>
      <c r="G1077" s="9">
        <v>12</v>
      </c>
      <c r="H1077" s="9">
        <v>84212300</v>
      </c>
      <c r="I1077" s="11" t="s">
        <v>2073</v>
      </c>
      <c r="J1077" s="12">
        <v>2.3E-2</v>
      </c>
      <c r="K1077" s="12">
        <v>0.108</v>
      </c>
      <c r="L1077" s="12">
        <v>0</v>
      </c>
      <c r="M1077" s="13">
        <v>8003453803954</v>
      </c>
      <c r="N1077" s="14">
        <v>8.3000000000000004E-2</v>
      </c>
      <c r="O1077" s="14">
        <v>0.10199999999999999</v>
      </c>
      <c r="P1077" s="15">
        <v>44378</v>
      </c>
      <c r="Q1077" s="16" t="s">
        <v>6692</v>
      </c>
      <c r="R1077" s="17">
        <v>25121307</v>
      </c>
      <c r="S1077" s="17" t="s">
        <v>6693</v>
      </c>
      <c r="T1077" s="17" t="s">
        <v>35</v>
      </c>
      <c r="U1077" s="17" t="s">
        <v>6642</v>
      </c>
      <c r="V1077" s="17" t="s">
        <v>6643</v>
      </c>
      <c r="W1077" s="17" t="s">
        <v>6644</v>
      </c>
      <c r="X1077" s="17" t="s">
        <v>6694</v>
      </c>
      <c r="Y1077" s="17" t="s">
        <v>6695</v>
      </c>
      <c r="Z1077" s="17" t="s">
        <v>35</v>
      </c>
      <c r="AA1077" s="17" t="s">
        <v>35</v>
      </c>
      <c r="AB1077" s="17" t="s">
        <v>35</v>
      </c>
      <c r="AC1077" s="17" t="s">
        <v>9539</v>
      </c>
      <c r="AD1077" s="41">
        <v>10.49</v>
      </c>
      <c r="AE1077" s="41">
        <v>10.49</v>
      </c>
      <c r="AF1077" s="48"/>
      <c r="AG1077" s="44"/>
      <c r="AH1077" s="7">
        <f t="shared" si="16"/>
        <v>0</v>
      </c>
      <c r="AI1077" s="18"/>
      <c r="AJ1077" s="18"/>
    </row>
    <row r="1078" spans="1:38" ht="26.65" customHeight="1" x14ac:dyDescent="0.25">
      <c r="A1078" s="10" t="s">
        <v>6696</v>
      </c>
      <c r="B1078" s="9" t="s">
        <v>6598</v>
      </c>
      <c r="C1078" s="9" t="s">
        <v>43</v>
      </c>
      <c r="D1078" s="9" t="s">
        <v>904</v>
      </c>
      <c r="E1078" s="9" t="s">
        <v>35</v>
      </c>
      <c r="F1078" s="9" t="s">
        <v>2072</v>
      </c>
      <c r="G1078" s="9">
        <v>12</v>
      </c>
      <c r="H1078" s="9">
        <v>84212300</v>
      </c>
      <c r="I1078" s="11" t="s">
        <v>2073</v>
      </c>
      <c r="J1078" s="12">
        <v>2.3E-2</v>
      </c>
      <c r="K1078" s="12">
        <v>0.108</v>
      </c>
      <c r="L1078" s="12">
        <v>0</v>
      </c>
      <c r="M1078" s="13">
        <v>8003453803961</v>
      </c>
      <c r="N1078" s="14">
        <v>0.10299999999999999</v>
      </c>
      <c r="O1078" s="14">
        <v>0.13100000000000001</v>
      </c>
      <c r="P1078" s="15">
        <v>44378</v>
      </c>
      <c r="Q1078" s="16" t="s">
        <v>6697</v>
      </c>
      <c r="R1078" s="17" t="s">
        <v>6698</v>
      </c>
      <c r="S1078" s="17" t="s">
        <v>6699</v>
      </c>
      <c r="T1078" s="17" t="s">
        <v>35</v>
      </c>
      <c r="U1078" s="17" t="s">
        <v>6700</v>
      </c>
      <c r="V1078" s="17" t="s">
        <v>6701</v>
      </c>
      <c r="W1078" s="17" t="s">
        <v>6702</v>
      </c>
      <c r="X1078" s="17" t="s">
        <v>6703</v>
      </c>
      <c r="Y1078" s="17" t="s">
        <v>6704</v>
      </c>
      <c r="Z1078" s="17" t="s">
        <v>35</v>
      </c>
      <c r="AA1078" s="17" t="s">
        <v>35</v>
      </c>
      <c r="AB1078" s="17" t="s">
        <v>35</v>
      </c>
      <c r="AC1078" s="17" t="s">
        <v>9539</v>
      </c>
      <c r="AD1078" s="41">
        <v>13.38</v>
      </c>
      <c r="AE1078" s="41">
        <v>13.38</v>
      </c>
      <c r="AF1078" s="48"/>
      <c r="AG1078" s="44"/>
      <c r="AH1078" s="7">
        <f t="shared" si="16"/>
        <v>0</v>
      </c>
      <c r="AI1078" s="18"/>
      <c r="AJ1078" s="18"/>
    </row>
    <row r="1079" spans="1:38" ht="26.65" customHeight="1" x14ac:dyDescent="0.25">
      <c r="A1079" s="10" t="s">
        <v>6705</v>
      </c>
      <c r="B1079" s="9" t="s">
        <v>6598</v>
      </c>
      <c r="C1079" s="9" t="s">
        <v>43</v>
      </c>
      <c r="D1079" s="9" t="s">
        <v>904</v>
      </c>
      <c r="E1079" s="9" t="s">
        <v>35</v>
      </c>
      <c r="F1079" s="9" t="s">
        <v>36</v>
      </c>
      <c r="G1079" s="9">
        <v>6</v>
      </c>
      <c r="H1079" s="9">
        <v>84212300</v>
      </c>
      <c r="I1079" s="11" t="s">
        <v>37</v>
      </c>
      <c r="J1079" s="12">
        <v>2.3E-2</v>
      </c>
      <c r="K1079" s="12">
        <v>0.108</v>
      </c>
      <c r="L1079" s="12">
        <v>5.1999999999999998E-2</v>
      </c>
      <c r="M1079" s="13">
        <v>8003453155169</v>
      </c>
      <c r="N1079" s="14">
        <v>0.246</v>
      </c>
      <c r="O1079" s="14">
        <v>0.34</v>
      </c>
      <c r="P1079" s="15" t="s">
        <v>35</v>
      </c>
      <c r="Q1079" s="16" t="s">
        <v>6706</v>
      </c>
      <c r="R1079" s="17" t="s">
        <v>35</v>
      </c>
      <c r="S1079" s="17" t="s">
        <v>6707</v>
      </c>
      <c r="T1079" s="17" t="s">
        <v>6708</v>
      </c>
      <c r="U1079" s="17" t="s">
        <v>35</v>
      </c>
      <c r="V1079" s="17" t="s">
        <v>35</v>
      </c>
      <c r="W1079" s="17" t="s">
        <v>35</v>
      </c>
      <c r="X1079" s="17" t="s">
        <v>6709</v>
      </c>
      <c r="Y1079" s="17" t="s">
        <v>6710</v>
      </c>
      <c r="Z1079" s="17" t="s">
        <v>35</v>
      </c>
      <c r="AA1079" s="17" t="s">
        <v>35</v>
      </c>
      <c r="AB1079" s="17" t="s">
        <v>35</v>
      </c>
      <c r="AC1079" s="17" t="s">
        <v>9539</v>
      </c>
      <c r="AD1079" s="41">
        <v>33.619999999999997</v>
      </c>
      <c r="AE1079" s="41">
        <v>35.369999999999997</v>
      </c>
      <c r="AF1079" s="48"/>
      <c r="AG1079" s="44"/>
      <c r="AH1079" s="7">
        <f t="shared" si="16"/>
        <v>0</v>
      </c>
      <c r="AI1079" s="18"/>
      <c r="AJ1079" s="18"/>
    </row>
    <row r="1080" spans="1:38" ht="26.65" customHeight="1" x14ac:dyDescent="0.25">
      <c r="A1080" s="10" t="s">
        <v>6711</v>
      </c>
      <c r="B1080" s="9" t="s">
        <v>6598</v>
      </c>
      <c r="C1080" s="9" t="s">
        <v>43</v>
      </c>
      <c r="D1080" s="9" t="s">
        <v>904</v>
      </c>
      <c r="E1080" s="9" t="s">
        <v>35</v>
      </c>
      <c r="F1080" s="9" t="s">
        <v>36</v>
      </c>
      <c r="G1080" s="9">
        <v>6</v>
      </c>
      <c r="H1080" s="9">
        <v>84212300</v>
      </c>
      <c r="I1080" s="11" t="s">
        <v>37</v>
      </c>
      <c r="J1080" s="12">
        <v>2.3E-2</v>
      </c>
      <c r="K1080" s="12">
        <v>0.108</v>
      </c>
      <c r="L1080" s="12">
        <v>5.1999999999999998E-2</v>
      </c>
      <c r="M1080" s="13">
        <v>8003453155176</v>
      </c>
      <c r="N1080" s="14">
        <v>0.81</v>
      </c>
      <c r="O1080" s="14">
        <v>0.84</v>
      </c>
      <c r="P1080" s="15" t="s">
        <v>35</v>
      </c>
      <c r="Q1080" s="16" t="s">
        <v>6712</v>
      </c>
      <c r="R1080" s="17" t="s">
        <v>35</v>
      </c>
      <c r="S1080" s="17" t="s">
        <v>6713</v>
      </c>
      <c r="T1080" s="17" t="s">
        <v>35</v>
      </c>
      <c r="U1080" s="17" t="s">
        <v>6714</v>
      </c>
      <c r="V1080" s="17" t="s">
        <v>35</v>
      </c>
      <c r="W1080" s="17" t="s">
        <v>35</v>
      </c>
      <c r="X1080" s="17" t="s">
        <v>6715</v>
      </c>
      <c r="Y1080" s="17" t="s">
        <v>6716</v>
      </c>
      <c r="Z1080" s="17" t="s">
        <v>35</v>
      </c>
      <c r="AA1080" s="17" t="s">
        <v>35</v>
      </c>
      <c r="AB1080" s="17" t="s">
        <v>35</v>
      </c>
      <c r="AC1080" s="17" t="s">
        <v>9539</v>
      </c>
      <c r="AD1080" s="41">
        <v>39.04</v>
      </c>
      <c r="AE1080" s="41">
        <v>41.07</v>
      </c>
      <c r="AF1080" s="48"/>
      <c r="AG1080" s="44"/>
      <c r="AH1080" s="7">
        <f t="shared" si="16"/>
        <v>0</v>
      </c>
      <c r="AI1080" s="18"/>
      <c r="AJ1080" s="18"/>
    </row>
    <row r="1081" spans="1:38" ht="26.65" customHeight="1" x14ac:dyDescent="0.25">
      <c r="A1081" s="10" t="s">
        <v>6717</v>
      </c>
      <c r="B1081" s="9" t="s">
        <v>6598</v>
      </c>
      <c r="C1081" s="9" t="s">
        <v>43</v>
      </c>
      <c r="D1081" s="9" t="s">
        <v>904</v>
      </c>
      <c r="E1081" s="9" t="s">
        <v>35</v>
      </c>
      <c r="F1081" s="9" t="s">
        <v>36</v>
      </c>
      <c r="G1081" s="9">
        <v>6</v>
      </c>
      <c r="H1081" s="9">
        <v>84212300</v>
      </c>
      <c r="I1081" s="11" t="s">
        <v>37</v>
      </c>
      <c r="J1081" s="12">
        <v>2.3E-2</v>
      </c>
      <c r="K1081" s="12">
        <v>0.108</v>
      </c>
      <c r="L1081" s="12">
        <v>5.1999999999999998E-2</v>
      </c>
      <c r="M1081" s="13">
        <v>8003453155374</v>
      </c>
      <c r="N1081" s="14">
        <v>0.109</v>
      </c>
      <c r="O1081" s="14">
        <v>0.25900000000000001</v>
      </c>
      <c r="P1081" s="15" t="s">
        <v>35</v>
      </c>
      <c r="Q1081" s="16" t="s">
        <v>6718</v>
      </c>
      <c r="R1081" s="17" t="s">
        <v>35</v>
      </c>
      <c r="S1081" s="17" t="s">
        <v>6719</v>
      </c>
      <c r="T1081" s="17" t="s">
        <v>6720</v>
      </c>
      <c r="U1081" s="17" t="s">
        <v>6721</v>
      </c>
      <c r="V1081" s="17" t="s">
        <v>35</v>
      </c>
      <c r="W1081" s="17" t="s">
        <v>35</v>
      </c>
      <c r="X1081" s="17" t="s">
        <v>6722</v>
      </c>
      <c r="Y1081" s="17" t="s">
        <v>6723</v>
      </c>
      <c r="Z1081" s="17" t="s">
        <v>6724</v>
      </c>
      <c r="AA1081" s="17" t="s">
        <v>35</v>
      </c>
      <c r="AB1081" s="17" t="s">
        <v>35</v>
      </c>
      <c r="AC1081" s="17" t="s">
        <v>9539</v>
      </c>
      <c r="AD1081" s="41">
        <v>29.03</v>
      </c>
      <c r="AE1081" s="41">
        <v>30.54</v>
      </c>
      <c r="AF1081" s="48"/>
      <c r="AG1081" s="44"/>
      <c r="AH1081" s="7">
        <f t="shared" si="16"/>
        <v>0</v>
      </c>
      <c r="AI1081" s="18"/>
      <c r="AJ1081" s="18"/>
    </row>
    <row r="1082" spans="1:38" ht="26.65" customHeight="1" x14ac:dyDescent="0.25">
      <c r="A1082" s="10" t="s">
        <v>6725</v>
      </c>
      <c r="B1082" s="9" t="s">
        <v>6598</v>
      </c>
      <c r="C1082" s="9" t="s">
        <v>43</v>
      </c>
      <c r="D1082" s="9" t="s">
        <v>904</v>
      </c>
      <c r="E1082" s="9" t="s">
        <v>35</v>
      </c>
      <c r="F1082" s="9" t="s">
        <v>36</v>
      </c>
      <c r="G1082" s="9">
        <v>6</v>
      </c>
      <c r="H1082" s="9">
        <v>84212300</v>
      </c>
      <c r="I1082" s="11" t="s">
        <v>37</v>
      </c>
      <c r="J1082" s="12">
        <v>2.3E-2</v>
      </c>
      <c r="K1082" s="12">
        <v>0.108</v>
      </c>
      <c r="L1082" s="12">
        <v>5.1999999999999998E-2</v>
      </c>
      <c r="M1082" s="13">
        <v>8003453155572</v>
      </c>
      <c r="N1082" s="14">
        <v>0.20499999999999999</v>
      </c>
      <c r="O1082" s="14">
        <v>0.22700000000000001</v>
      </c>
      <c r="P1082" s="15" t="s">
        <v>35</v>
      </c>
      <c r="Q1082" s="16" t="s">
        <v>6726</v>
      </c>
      <c r="R1082" s="17" t="s">
        <v>35</v>
      </c>
      <c r="S1082" s="17" t="s">
        <v>6727</v>
      </c>
      <c r="T1082" s="17" t="s">
        <v>6728</v>
      </c>
      <c r="U1082" s="17" t="s">
        <v>35</v>
      </c>
      <c r="V1082" s="17" t="s">
        <v>6729</v>
      </c>
      <c r="W1082" s="17" t="s">
        <v>6730</v>
      </c>
      <c r="X1082" s="17" t="s">
        <v>6731</v>
      </c>
      <c r="Y1082" s="17" t="s">
        <v>6732</v>
      </c>
      <c r="Z1082" s="17" t="s">
        <v>35</v>
      </c>
      <c r="AA1082" s="17" t="s">
        <v>35</v>
      </c>
      <c r="AB1082" s="17" t="s">
        <v>35</v>
      </c>
      <c r="AC1082" s="17" t="s">
        <v>9539</v>
      </c>
      <c r="AD1082" s="41">
        <v>42.58</v>
      </c>
      <c r="AE1082" s="41">
        <v>44.79</v>
      </c>
      <c r="AF1082" s="48"/>
      <c r="AG1082" s="44"/>
      <c r="AH1082" s="7">
        <f t="shared" si="16"/>
        <v>0</v>
      </c>
      <c r="AI1082" s="18"/>
      <c r="AJ1082" s="18"/>
      <c r="AL1082" s="18"/>
    </row>
    <row r="1083" spans="1:38" ht="26.65" customHeight="1" x14ac:dyDescent="0.25">
      <c r="A1083" s="10" t="s">
        <v>6733</v>
      </c>
      <c r="B1083" s="9" t="s">
        <v>6598</v>
      </c>
      <c r="C1083" s="9" t="s">
        <v>43</v>
      </c>
      <c r="D1083" s="9" t="s">
        <v>904</v>
      </c>
      <c r="E1083" s="9" t="s">
        <v>122</v>
      </c>
      <c r="F1083" s="9" t="s">
        <v>36</v>
      </c>
      <c r="G1083" s="9">
        <v>6</v>
      </c>
      <c r="H1083" s="9">
        <v>84212300</v>
      </c>
      <c r="I1083" s="11" t="s">
        <v>37</v>
      </c>
      <c r="J1083" s="12">
        <v>2.3E-2</v>
      </c>
      <c r="K1083" s="12">
        <v>0.108</v>
      </c>
      <c r="L1083" s="12">
        <v>5.1999999999999998E-2</v>
      </c>
      <c r="M1083" s="13">
        <v>8003453155664</v>
      </c>
      <c r="N1083" s="14">
        <v>0.28199999999999997</v>
      </c>
      <c r="O1083" s="14">
        <v>0.307</v>
      </c>
      <c r="P1083" s="15" t="s">
        <v>35</v>
      </c>
      <c r="Q1083" s="16" t="s">
        <v>6734</v>
      </c>
      <c r="R1083" s="17" t="s">
        <v>6735</v>
      </c>
      <c r="S1083" s="17" t="s">
        <v>6736</v>
      </c>
      <c r="T1083" s="17" t="s">
        <v>6737</v>
      </c>
      <c r="U1083" s="17" t="s">
        <v>6738</v>
      </c>
      <c r="V1083" s="17" t="s">
        <v>35</v>
      </c>
      <c r="W1083" s="17" t="s">
        <v>35</v>
      </c>
      <c r="X1083" s="17" t="s">
        <v>6739</v>
      </c>
      <c r="Y1083" s="17" t="s">
        <v>6740</v>
      </c>
      <c r="Z1083" s="17" t="s">
        <v>35</v>
      </c>
      <c r="AA1083" s="17" t="s">
        <v>35</v>
      </c>
      <c r="AB1083" s="17" t="s">
        <v>35</v>
      </c>
      <c r="AC1083" s="17" t="s">
        <v>9539</v>
      </c>
      <c r="AD1083" s="42">
        <v>102.43</v>
      </c>
      <c r="AE1083" s="42">
        <v>107.76</v>
      </c>
      <c r="AF1083" s="48"/>
      <c r="AG1083" s="44"/>
      <c r="AH1083" s="7">
        <f t="shared" si="16"/>
        <v>0</v>
      </c>
      <c r="AI1083" s="18"/>
      <c r="AJ1083" s="18"/>
    </row>
    <row r="1084" spans="1:38" ht="26.65" customHeight="1" x14ac:dyDescent="0.25">
      <c r="A1084" s="10" t="s">
        <v>6741</v>
      </c>
      <c r="B1084" s="9" t="s">
        <v>6598</v>
      </c>
      <c r="C1084" s="9" t="s">
        <v>43</v>
      </c>
      <c r="D1084" s="9" t="s">
        <v>904</v>
      </c>
      <c r="E1084" s="9" t="s">
        <v>122</v>
      </c>
      <c r="F1084" s="9" t="s">
        <v>36</v>
      </c>
      <c r="G1084" s="9">
        <v>6</v>
      </c>
      <c r="H1084" s="9">
        <v>84212300</v>
      </c>
      <c r="I1084" s="11" t="s">
        <v>37</v>
      </c>
      <c r="J1084" s="12">
        <v>2.3E-2</v>
      </c>
      <c r="K1084" s="12">
        <v>0.108</v>
      </c>
      <c r="L1084" s="12">
        <v>5.1999999999999998E-2</v>
      </c>
      <c r="M1084" s="13">
        <v>8003453155671</v>
      </c>
      <c r="N1084" s="14">
        <v>0.27900000000000003</v>
      </c>
      <c r="O1084" s="14">
        <v>0.32</v>
      </c>
      <c r="P1084" s="15" t="s">
        <v>35</v>
      </c>
      <c r="Q1084" s="16" t="s">
        <v>6742</v>
      </c>
      <c r="R1084" s="17" t="s">
        <v>6743</v>
      </c>
      <c r="S1084" s="17" t="s">
        <v>6744</v>
      </c>
      <c r="T1084" s="17" t="s">
        <v>6745</v>
      </c>
      <c r="U1084" s="17" t="s">
        <v>6746</v>
      </c>
      <c r="V1084" s="17" t="s">
        <v>35</v>
      </c>
      <c r="W1084" s="17" t="s">
        <v>35</v>
      </c>
      <c r="X1084" s="17" t="s">
        <v>6747</v>
      </c>
      <c r="Y1084" s="17" t="s">
        <v>6748</v>
      </c>
      <c r="Z1084" s="17" t="s">
        <v>35</v>
      </c>
      <c r="AA1084" s="17" t="s">
        <v>35</v>
      </c>
      <c r="AB1084" s="17" t="s">
        <v>35</v>
      </c>
      <c r="AC1084" s="17" t="s">
        <v>9539</v>
      </c>
      <c r="AD1084" s="42">
        <v>87.53</v>
      </c>
      <c r="AE1084" s="42">
        <v>92.08</v>
      </c>
      <c r="AF1084" s="48"/>
      <c r="AG1084" s="44"/>
      <c r="AH1084" s="7">
        <f t="shared" si="16"/>
        <v>0</v>
      </c>
      <c r="AI1084" s="18"/>
      <c r="AJ1084" s="18"/>
    </row>
    <row r="1085" spans="1:38" ht="26.65" customHeight="1" x14ac:dyDescent="0.25">
      <c r="A1085" s="10" t="s">
        <v>6749</v>
      </c>
      <c r="B1085" s="9" t="s">
        <v>6598</v>
      </c>
      <c r="C1085" s="9" t="s">
        <v>43</v>
      </c>
      <c r="D1085" s="9" t="s">
        <v>904</v>
      </c>
      <c r="E1085" s="9" t="s">
        <v>122</v>
      </c>
      <c r="F1085" s="9" t="s">
        <v>36</v>
      </c>
      <c r="G1085" s="9">
        <v>6</v>
      </c>
      <c r="H1085" s="9">
        <v>84212300</v>
      </c>
      <c r="I1085" s="11" t="s">
        <v>37</v>
      </c>
      <c r="J1085" s="12">
        <v>2.3E-2</v>
      </c>
      <c r="K1085" s="12">
        <v>0.108</v>
      </c>
      <c r="L1085" s="12">
        <v>5.1999999999999998E-2</v>
      </c>
      <c r="M1085" s="13">
        <v>8003453155756</v>
      </c>
      <c r="N1085" s="14">
        <v>0.189</v>
      </c>
      <c r="O1085" s="14">
        <v>0.38900000000000001</v>
      </c>
      <c r="P1085" s="15" t="s">
        <v>35</v>
      </c>
      <c r="Q1085" s="16" t="s">
        <v>6750</v>
      </c>
      <c r="R1085" s="17" t="s">
        <v>6751</v>
      </c>
      <c r="S1085" s="17" t="s">
        <v>6752</v>
      </c>
      <c r="T1085" s="17" t="s">
        <v>6753</v>
      </c>
      <c r="U1085" s="17" t="s">
        <v>6754</v>
      </c>
      <c r="V1085" s="17" t="s">
        <v>6755</v>
      </c>
      <c r="W1085" s="17" t="s">
        <v>6756</v>
      </c>
      <c r="X1085" s="17" t="s">
        <v>6757</v>
      </c>
      <c r="Y1085" s="17" t="s">
        <v>6758</v>
      </c>
      <c r="Z1085" s="17" t="s">
        <v>35</v>
      </c>
      <c r="AA1085" s="17" t="s">
        <v>35</v>
      </c>
      <c r="AB1085" s="17" t="s">
        <v>35</v>
      </c>
      <c r="AC1085" s="17" t="s">
        <v>9539</v>
      </c>
      <c r="AD1085" s="42">
        <v>51.89</v>
      </c>
      <c r="AE1085" s="42">
        <v>54.59</v>
      </c>
      <c r="AF1085" s="48"/>
      <c r="AG1085" s="44"/>
      <c r="AH1085" s="7">
        <f t="shared" si="16"/>
        <v>0</v>
      </c>
      <c r="AI1085" s="18"/>
      <c r="AJ1085" s="18"/>
    </row>
    <row r="1086" spans="1:38" ht="26.65" customHeight="1" x14ac:dyDescent="0.25">
      <c r="A1086" s="10" t="s">
        <v>6759</v>
      </c>
      <c r="B1086" s="9" t="s">
        <v>6598</v>
      </c>
      <c r="C1086" s="9" t="s">
        <v>43</v>
      </c>
      <c r="D1086" s="9" t="s">
        <v>904</v>
      </c>
      <c r="E1086" s="9" t="s">
        <v>122</v>
      </c>
      <c r="F1086" s="9" t="s">
        <v>36</v>
      </c>
      <c r="G1086" s="9">
        <v>6</v>
      </c>
      <c r="H1086" s="9">
        <v>84212300</v>
      </c>
      <c r="I1086" s="11" t="s">
        <v>37</v>
      </c>
      <c r="J1086" s="12">
        <v>2.3E-2</v>
      </c>
      <c r="K1086" s="12">
        <v>0.108</v>
      </c>
      <c r="L1086" s="12">
        <v>5.1999999999999998E-2</v>
      </c>
      <c r="M1086" s="13">
        <v>8003453155763</v>
      </c>
      <c r="N1086" s="14">
        <v>0.18099999999999999</v>
      </c>
      <c r="O1086" s="14">
        <v>0.38100000000000001</v>
      </c>
      <c r="P1086" s="15" t="s">
        <v>35</v>
      </c>
      <c r="Q1086" s="16" t="s">
        <v>6760</v>
      </c>
      <c r="R1086" s="17" t="s">
        <v>6761</v>
      </c>
      <c r="S1086" s="17" t="s">
        <v>6762</v>
      </c>
      <c r="T1086" s="17" t="s">
        <v>6763</v>
      </c>
      <c r="U1086" s="17" t="s">
        <v>6754</v>
      </c>
      <c r="V1086" s="17" t="s">
        <v>6755</v>
      </c>
      <c r="W1086" s="17" t="s">
        <v>6756</v>
      </c>
      <c r="X1086" s="17" t="s">
        <v>6764</v>
      </c>
      <c r="Y1086" s="17" t="s">
        <v>6765</v>
      </c>
      <c r="Z1086" s="17" t="s">
        <v>35</v>
      </c>
      <c r="AA1086" s="17" t="s">
        <v>35</v>
      </c>
      <c r="AB1086" s="17" t="s">
        <v>35</v>
      </c>
      <c r="AC1086" s="17" t="s">
        <v>9539</v>
      </c>
      <c r="AD1086" s="42">
        <v>56.27</v>
      </c>
      <c r="AE1086" s="42">
        <v>59.2</v>
      </c>
      <c r="AF1086" s="48"/>
      <c r="AG1086" s="44"/>
      <c r="AH1086" s="7">
        <f t="shared" si="16"/>
        <v>0</v>
      </c>
      <c r="AI1086" s="18"/>
      <c r="AJ1086" s="18"/>
    </row>
    <row r="1087" spans="1:38" ht="26.65" customHeight="1" x14ac:dyDescent="0.25">
      <c r="A1087" s="10" t="s">
        <v>6766</v>
      </c>
      <c r="B1087" s="9" t="s">
        <v>6598</v>
      </c>
      <c r="C1087" s="9" t="s">
        <v>43</v>
      </c>
      <c r="D1087" s="9" t="s">
        <v>904</v>
      </c>
      <c r="E1087" s="9" t="s">
        <v>35</v>
      </c>
      <c r="F1087" s="9" t="s">
        <v>36</v>
      </c>
      <c r="G1087" s="9">
        <v>6</v>
      </c>
      <c r="H1087" s="9">
        <v>84212300</v>
      </c>
      <c r="I1087" s="11" t="s">
        <v>37</v>
      </c>
      <c r="J1087" s="12">
        <v>2.3E-2</v>
      </c>
      <c r="K1087" s="12">
        <v>0.108</v>
      </c>
      <c r="L1087" s="12">
        <v>5.1999999999999998E-2</v>
      </c>
      <c r="M1087" s="13">
        <v>8003453155640</v>
      </c>
      <c r="N1087" s="14">
        <v>0.29699999999999999</v>
      </c>
      <c r="O1087" s="14">
        <v>0.315</v>
      </c>
      <c r="P1087" s="15" t="s">
        <v>35</v>
      </c>
      <c r="Q1087" s="16" t="s">
        <v>6767</v>
      </c>
      <c r="R1087" s="17" t="s">
        <v>35</v>
      </c>
      <c r="S1087" s="17" t="s">
        <v>6768</v>
      </c>
      <c r="T1087" s="17" t="s">
        <v>6769</v>
      </c>
      <c r="U1087" s="17" t="s">
        <v>6770</v>
      </c>
      <c r="V1087" s="17" t="s">
        <v>35</v>
      </c>
      <c r="W1087" s="17" t="s">
        <v>35</v>
      </c>
      <c r="X1087" s="17" t="s">
        <v>6771</v>
      </c>
      <c r="Y1087" s="17" t="s">
        <v>6772</v>
      </c>
      <c r="Z1087" s="17" t="s">
        <v>35</v>
      </c>
      <c r="AA1087" s="17" t="s">
        <v>35</v>
      </c>
      <c r="AB1087" s="17" t="s">
        <v>35</v>
      </c>
      <c r="AC1087" s="17" t="s">
        <v>9539</v>
      </c>
      <c r="AD1087" s="42">
        <v>105.46</v>
      </c>
      <c r="AE1087" s="42">
        <v>110.94</v>
      </c>
      <c r="AF1087" s="48"/>
      <c r="AG1087" s="44"/>
      <c r="AH1087" s="7">
        <f t="shared" si="16"/>
        <v>0</v>
      </c>
      <c r="AI1087" s="18"/>
      <c r="AJ1087" s="18"/>
    </row>
    <row r="1088" spans="1:38" ht="26.65" customHeight="1" x14ac:dyDescent="0.25">
      <c r="A1088" s="10" t="s">
        <v>6773</v>
      </c>
      <c r="B1088" s="9" t="s">
        <v>6598</v>
      </c>
      <c r="C1088" s="9" t="s">
        <v>43</v>
      </c>
      <c r="D1088" s="9" t="s">
        <v>904</v>
      </c>
      <c r="E1088" s="9" t="s">
        <v>122</v>
      </c>
      <c r="F1088" s="9" t="s">
        <v>36</v>
      </c>
      <c r="G1088" s="9">
        <v>6</v>
      </c>
      <c r="H1088" s="9">
        <v>84212300</v>
      </c>
      <c r="I1088" s="11" t="s">
        <v>37</v>
      </c>
      <c r="J1088" s="12">
        <v>2.3E-2</v>
      </c>
      <c r="K1088" s="12">
        <v>0.108</v>
      </c>
      <c r="L1088" s="12">
        <v>5.1999999999999998E-2</v>
      </c>
      <c r="M1088" s="13">
        <v>8003453155770</v>
      </c>
      <c r="N1088" s="14">
        <v>0.2</v>
      </c>
      <c r="O1088" s="14">
        <v>0.4</v>
      </c>
      <c r="P1088" s="15" t="s">
        <v>35</v>
      </c>
      <c r="Q1088" s="16" t="s">
        <v>6774</v>
      </c>
      <c r="R1088" s="17" t="s">
        <v>6775</v>
      </c>
      <c r="S1088" s="17" t="s">
        <v>6776</v>
      </c>
      <c r="T1088" s="17" t="s">
        <v>6777</v>
      </c>
      <c r="U1088" s="17" t="s">
        <v>6778</v>
      </c>
      <c r="V1088" s="17" t="s">
        <v>6779</v>
      </c>
      <c r="W1088" s="17" t="s">
        <v>35</v>
      </c>
      <c r="X1088" s="17" t="s">
        <v>6780</v>
      </c>
      <c r="Y1088" s="17" t="s">
        <v>6781</v>
      </c>
      <c r="Z1088" s="17" t="s">
        <v>35</v>
      </c>
      <c r="AA1088" s="17" t="s">
        <v>35</v>
      </c>
      <c r="AB1088" s="17" t="s">
        <v>35</v>
      </c>
      <c r="AC1088" s="17" t="s">
        <v>9539</v>
      </c>
      <c r="AD1088" s="42">
        <v>56.09</v>
      </c>
      <c r="AE1088" s="42">
        <v>59.01</v>
      </c>
      <c r="AF1088" s="48"/>
      <c r="AG1088" s="44"/>
      <c r="AH1088" s="7">
        <f t="shared" si="16"/>
        <v>0</v>
      </c>
      <c r="AI1088" s="18"/>
      <c r="AJ1088" s="18"/>
    </row>
    <row r="1089" spans="1:38" ht="26.65" customHeight="1" x14ac:dyDescent="0.25">
      <c r="A1089" s="10" t="s">
        <v>6782</v>
      </c>
      <c r="B1089" s="9" t="s">
        <v>6598</v>
      </c>
      <c r="C1089" s="9" t="s">
        <v>43</v>
      </c>
      <c r="D1089" s="9" t="s">
        <v>904</v>
      </c>
      <c r="E1089" s="9" t="s">
        <v>35</v>
      </c>
      <c r="F1089" s="9" t="s">
        <v>36</v>
      </c>
      <c r="G1089" s="9">
        <v>6</v>
      </c>
      <c r="H1089" s="9">
        <v>84212300</v>
      </c>
      <c r="I1089" s="11" t="s">
        <v>37</v>
      </c>
      <c r="J1089" s="12">
        <v>2.3E-2</v>
      </c>
      <c r="K1089" s="12">
        <v>0.108</v>
      </c>
      <c r="L1089" s="12">
        <v>5.1999999999999998E-2</v>
      </c>
      <c r="M1089" s="13">
        <v>8003453155718</v>
      </c>
      <c r="N1089" s="14">
        <v>0.33</v>
      </c>
      <c r="O1089" s="14">
        <v>0.36299999999999999</v>
      </c>
      <c r="P1089" s="15" t="s">
        <v>35</v>
      </c>
      <c r="Q1089" s="16" t="s">
        <v>6783</v>
      </c>
      <c r="R1089" s="17" t="s">
        <v>35</v>
      </c>
      <c r="S1089" s="17" t="s">
        <v>6784</v>
      </c>
      <c r="T1089" s="17" t="s">
        <v>6785</v>
      </c>
      <c r="U1089" s="17" t="s">
        <v>6786</v>
      </c>
      <c r="V1089" s="17" t="s">
        <v>35</v>
      </c>
      <c r="W1089" s="17" t="s">
        <v>35</v>
      </c>
      <c r="X1089" s="17" t="s">
        <v>6787</v>
      </c>
      <c r="Y1089" s="17" t="s">
        <v>6788</v>
      </c>
      <c r="Z1089" s="17" t="s">
        <v>35</v>
      </c>
      <c r="AA1089" s="17" t="s">
        <v>35</v>
      </c>
      <c r="AB1089" s="17" t="s">
        <v>35</v>
      </c>
      <c r="AC1089" s="17" t="s">
        <v>9539</v>
      </c>
      <c r="AD1089" s="41">
        <v>130.22999999999999</v>
      </c>
      <c r="AE1089" s="41">
        <v>137</v>
      </c>
      <c r="AF1089" s="48"/>
      <c r="AG1089" s="44"/>
      <c r="AH1089" s="7">
        <f t="shared" si="16"/>
        <v>0</v>
      </c>
      <c r="AI1089" s="18"/>
      <c r="AJ1089" s="18"/>
      <c r="AL1089" s="18"/>
    </row>
    <row r="1090" spans="1:38" ht="26.65" customHeight="1" x14ac:dyDescent="0.25">
      <c r="A1090" s="10" t="s">
        <v>6789</v>
      </c>
      <c r="B1090" s="9" t="s">
        <v>6598</v>
      </c>
      <c r="C1090" s="9" t="s">
        <v>43</v>
      </c>
      <c r="D1090" s="9" t="s">
        <v>904</v>
      </c>
      <c r="E1090" s="9" t="s">
        <v>35</v>
      </c>
      <c r="F1090" s="9" t="s">
        <v>36</v>
      </c>
      <c r="G1090" s="9">
        <v>6</v>
      </c>
      <c r="H1090" s="9">
        <v>84212300</v>
      </c>
      <c r="I1090" s="11" t="s">
        <v>37</v>
      </c>
      <c r="J1090" s="12">
        <v>2.3E-2</v>
      </c>
      <c r="K1090" s="12">
        <v>0.108</v>
      </c>
      <c r="L1090" s="12">
        <v>5.1999999999999998E-2</v>
      </c>
      <c r="M1090" s="13">
        <v>8003453155794</v>
      </c>
      <c r="N1090" s="14">
        <v>0.18</v>
      </c>
      <c r="O1090" s="14">
        <v>0.42299999999999999</v>
      </c>
      <c r="P1090" s="15" t="s">
        <v>35</v>
      </c>
      <c r="Q1090" s="16" t="s">
        <v>6790</v>
      </c>
      <c r="R1090" s="17" t="s">
        <v>35</v>
      </c>
      <c r="S1090" s="17" t="s">
        <v>6791</v>
      </c>
      <c r="T1090" s="17" t="s">
        <v>6792</v>
      </c>
      <c r="U1090" s="17" t="s">
        <v>6793</v>
      </c>
      <c r="V1090" s="17" t="s">
        <v>35</v>
      </c>
      <c r="W1090" s="17" t="s">
        <v>35</v>
      </c>
      <c r="X1090" s="17" t="s">
        <v>35</v>
      </c>
      <c r="Y1090" s="17" t="s">
        <v>6794</v>
      </c>
      <c r="Z1090" s="17" t="s">
        <v>35</v>
      </c>
      <c r="AA1090" s="17" t="s">
        <v>35</v>
      </c>
      <c r="AB1090" s="17" t="s">
        <v>35</v>
      </c>
      <c r="AC1090" s="17" t="s">
        <v>9539</v>
      </c>
      <c r="AD1090" s="41">
        <v>23.82</v>
      </c>
      <c r="AE1090" s="41">
        <v>25.06</v>
      </c>
      <c r="AF1090" s="48"/>
      <c r="AG1090" s="44"/>
      <c r="AH1090" s="7">
        <f t="shared" si="16"/>
        <v>0</v>
      </c>
      <c r="AI1090" s="18"/>
      <c r="AJ1090" s="18"/>
      <c r="AL1090" s="18"/>
    </row>
    <row r="1091" spans="1:38" ht="26.65" customHeight="1" x14ac:dyDescent="0.25">
      <c r="A1091" s="10" t="s">
        <v>6795</v>
      </c>
      <c r="B1091" s="9" t="s">
        <v>6598</v>
      </c>
      <c r="C1091" s="9" t="s">
        <v>43</v>
      </c>
      <c r="D1091" s="9" t="s">
        <v>904</v>
      </c>
      <c r="E1091" s="9" t="s">
        <v>35</v>
      </c>
      <c r="F1091" s="9" t="s">
        <v>36</v>
      </c>
      <c r="G1091" s="9">
        <v>6</v>
      </c>
      <c r="H1091" s="9">
        <v>84212300</v>
      </c>
      <c r="I1091" s="11" t="s">
        <v>37</v>
      </c>
      <c r="J1091" s="12">
        <v>2.3E-2</v>
      </c>
      <c r="K1091" s="12">
        <v>0.108</v>
      </c>
      <c r="L1091" s="12">
        <v>5.1999999999999998E-2</v>
      </c>
      <c r="M1091" s="13">
        <v>8003453155800</v>
      </c>
      <c r="N1091" s="14">
        <v>0.47</v>
      </c>
      <c r="O1091" s="14">
        <v>0.52900000000000003</v>
      </c>
      <c r="P1091" s="15" t="s">
        <v>35</v>
      </c>
      <c r="Q1091" s="16" t="s">
        <v>6796</v>
      </c>
      <c r="R1091" s="17" t="s">
        <v>35</v>
      </c>
      <c r="S1091" s="17" t="s">
        <v>6797</v>
      </c>
      <c r="T1091" s="17" t="s">
        <v>6798</v>
      </c>
      <c r="U1091" s="17" t="s">
        <v>6799</v>
      </c>
      <c r="V1091" s="17" t="s">
        <v>6800</v>
      </c>
      <c r="W1091" s="17" t="s">
        <v>35</v>
      </c>
      <c r="X1091" s="17" t="s">
        <v>6801</v>
      </c>
      <c r="Y1091" s="17" t="s">
        <v>6802</v>
      </c>
      <c r="Z1091" s="17" t="s">
        <v>35</v>
      </c>
      <c r="AA1091" s="17" t="s">
        <v>35</v>
      </c>
      <c r="AB1091" s="17" t="s">
        <v>35</v>
      </c>
      <c r="AC1091" s="17" t="s">
        <v>9539</v>
      </c>
      <c r="AD1091" s="42">
        <v>160.96</v>
      </c>
      <c r="AE1091" s="42">
        <v>169.33</v>
      </c>
      <c r="AF1091" s="48"/>
      <c r="AG1091" s="44"/>
      <c r="AH1091" s="7">
        <f t="shared" si="16"/>
        <v>0</v>
      </c>
      <c r="AI1091" s="18"/>
      <c r="AJ1091" s="18"/>
    </row>
    <row r="1092" spans="1:38" ht="26.65" customHeight="1" x14ac:dyDescent="0.25">
      <c r="A1092" s="10" t="s">
        <v>6803</v>
      </c>
      <c r="B1092" s="9" t="s">
        <v>3030</v>
      </c>
      <c r="C1092" s="9" t="s">
        <v>43</v>
      </c>
      <c r="D1092" s="9" t="s">
        <v>904</v>
      </c>
      <c r="E1092" s="9" t="s">
        <v>35</v>
      </c>
      <c r="F1092" s="9" t="s">
        <v>36</v>
      </c>
      <c r="G1092" s="9">
        <v>5</v>
      </c>
      <c r="H1092" s="9">
        <v>84212300</v>
      </c>
      <c r="I1092" s="11" t="s">
        <v>37</v>
      </c>
      <c r="J1092" s="12">
        <v>2.3E-2</v>
      </c>
      <c r="K1092" s="12">
        <v>0.108</v>
      </c>
      <c r="L1092" s="12">
        <v>5.1999999999999998E-2</v>
      </c>
      <c r="M1092" s="13">
        <v>8003453155855</v>
      </c>
      <c r="N1092" s="14">
        <v>0.23599999999999999</v>
      </c>
      <c r="O1092" s="14">
        <v>0.26100000000000001</v>
      </c>
      <c r="P1092" s="15">
        <v>44986</v>
      </c>
      <c r="Q1092" s="16" t="s">
        <v>6804</v>
      </c>
      <c r="R1092" s="17" t="s">
        <v>6805</v>
      </c>
      <c r="S1092" s="17" t="s">
        <v>6806</v>
      </c>
      <c r="T1092" s="17" t="s">
        <v>6807</v>
      </c>
      <c r="U1092" s="17" t="s">
        <v>6808</v>
      </c>
      <c r="V1092" s="17" t="s">
        <v>35</v>
      </c>
      <c r="W1092" s="17" t="s">
        <v>35</v>
      </c>
      <c r="X1092" s="17" t="s">
        <v>6809</v>
      </c>
      <c r="Y1092" s="17" t="s">
        <v>6810</v>
      </c>
      <c r="Z1092" s="17" t="s">
        <v>35</v>
      </c>
      <c r="AA1092" s="17" t="s">
        <v>35</v>
      </c>
      <c r="AB1092" s="17" t="s">
        <v>35</v>
      </c>
      <c r="AC1092" s="17" t="s">
        <v>9539</v>
      </c>
      <c r="AD1092" s="41">
        <v>46.59</v>
      </c>
      <c r="AE1092" s="41">
        <v>49.01</v>
      </c>
      <c r="AF1092" s="48"/>
      <c r="AG1092" s="44"/>
      <c r="AH1092" s="7">
        <f t="shared" ref="AH1092:AH1155" si="17">AG1092*AE1092</f>
        <v>0</v>
      </c>
      <c r="AI1092" s="18"/>
      <c r="AJ1092" s="18"/>
      <c r="AL1092" s="18"/>
    </row>
    <row r="1093" spans="1:38" ht="26.65" customHeight="1" x14ac:dyDescent="0.25">
      <c r="A1093" s="10" t="s">
        <v>6811</v>
      </c>
      <c r="B1093" s="9" t="s">
        <v>6598</v>
      </c>
      <c r="C1093" s="9" t="s">
        <v>43</v>
      </c>
      <c r="D1093" s="9" t="s">
        <v>904</v>
      </c>
      <c r="E1093" s="9" t="s">
        <v>122</v>
      </c>
      <c r="F1093" s="9" t="s">
        <v>36</v>
      </c>
      <c r="G1093" s="9">
        <v>6</v>
      </c>
      <c r="H1093" s="9">
        <v>84212300</v>
      </c>
      <c r="I1093" s="11" t="s">
        <v>37</v>
      </c>
      <c r="J1093" s="12">
        <v>2.3E-2</v>
      </c>
      <c r="K1093" s="12">
        <v>0.108</v>
      </c>
      <c r="L1093" s="12">
        <v>5.1999999999999998E-2</v>
      </c>
      <c r="M1093" s="13">
        <v>8003453156227</v>
      </c>
      <c r="N1093" s="14">
        <v>0.32900000000000001</v>
      </c>
      <c r="O1093" s="14">
        <v>0.47899999999999998</v>
      </c>
      <c r="P1093" s="15" t="s">
        <v>35</v>
      </c>
      <c r="Q1093" s="16" t="s">
        <v>6812</v>
      </c>
      <c r="R1093" s="17" t="s">
        <v>6813</v>
      </c>
      <c r="S1093" s="17" t="s">
        <v>35</v>
      </c>
      <c r="T1093" s="17" t="s">
        <v>35</v>
      </c>
      <c r="U1093" s="17" t="s">
        <v>35</v>
      </c>
      <c r="V1093" s="17" t="s">
        <v>35</v>
      </c>
      <c r="W1093" s="17" t="s">
        <v>35</v>
      </c>
      <c r="X1093" s="17" t="s">
        <v>35</v>
      </c>
      <c r="Y1093" s="17" t="s">
        <v>35</v>
      </c>
      <c r="Z1093" s="17" t="s">
        <v>35</v>
      </c>
      <c r="AA1093" s="17" t="s">
        <v>35</v>
      </c>
      <c r="AB1093" s="17" t="s">
        <v>35</v>
      </c>
      <c r="AC1093" s="17" t="s">
        <v>9539</v>
      </c>
      <c r="AD1093" s="42">
        <v>97.27</v>
      </c>
      <c r="AE1093" s="42">
        <v>102.33</v>
      </c>
      <c r="AF1093" s="48"/>
      <c r="AG1093" s="44"/>
      <c r="AH1093" s="7">
        <f t="shared" si="17"/>
        <v>0</v>
      </c>
      <c r="AI1093" s="18"/>
      <c r="AJ1093" s="18"/>
    </row>
    <row r="1094" spans="1:38" ht="26.65" customHeight="1" x14ac:dyDescent="0.25">
      <c r="A1094" s="10" t="s">
        <v>6814</v>
      </c>
      <c r="B1094" s="9" t="s">
        <v>6598</v>
      </c>
      <c r="C1094" s="9" t="s">
        <v>43</v>
      </c>
      <c r="D1094" s="9" t="s">
        <v>904</v>
      </c>
      <c r="E1094" s="9" t="s">
        <v>122</v>
      </c>
      <c r="F1094" s="9" t="s">
        <v>36</v>
      </c>
      <c r="G1094" s="9">
        <v>6</v>
      </c>
      <c r="H1094" s="9">
        <v>84212300</v>
      </c>
      <c r="I1094" s="11" t="s">
        <v>37</v>
      </c>
      <c r="J1094" s="12">
        <v>2.3E-2</v>
      </c>
      <c r="K1094" s="12">
        <v>0.108</v>
      </c>
      <c r="L1094" s="12">
        <v>5.1999999999999998E-2</v>
      </c>
      <c r="M1094" s="13">
        <v>8003453156197</v>
      </c>
      <c r="N1094" s="14">
        <v>0.17</v>
      </c>
      <c r="O1094" s="14">
        <v>0.19</v>
      </c>
      <c r="P1094" s="15">
        <v>44774</v>
      </c>
      <c r="Q1094" s="16" t="s">
        <v>6815</v>
      </c>
      <c r="R1094" s="17" t="s">
        <v>6816</v>
      </c>
      <c r="S1094" s="17" t="s">
        <v>6817</v>
      </c>
      <c r="T1094" s="17" t="s">
        <v>6818</v>
      </c>
      <c r="U1094" s="17" t="s">
        <v>35</v>
      </c>
      <c r="V1094" s="17" t="s">
        <v>35</v>
      </c>
      <c r="W1094" s="17" t="s">
        <v>35</v>
      </c>
      <c r="X1094" s="17" t="s">
        <v>35</v>
      </c>
      <c r="Y1094" s="17" t="s">
        <v>35</v>
      </c>
      <c r="Z1094" s="17" t="s">
        <v>35</v>
      </c>
      <c r="AA1094" s="17" t="s">
        <v>35</v>
      </c>
      <c r="AB1094" s="17" t="s">
        <v>35</v>
      </c>
      <c r="AC1094" s="17" t="s">
        <v>9539</v>
      </c>
      <c r="AD1094" s="42">
        <v>66.36</v>
      </c>
      <c r="AE1094" s="42">
        <v>69.81</v>
      </c>
      <c r="AF1094" s="48"/>
      <c r="AG1094" s="44"/>
      <c r="AH1094" s="7">
        <f t="shared" si="17"/>
        <v>0</v>
      </c>
      <c r="AI1094" s="18"/>
      <c r="AJ1094" s="18"/>
    </row>
    <row r="1095" spans="1:38" ht="26.65" customHeight="1" x14ac:dyDescent="0.25">
      <c r="A1095" s="10" t="s">
        <v>6819</v>
      </c>
      <c r="B1095" s="9" t="s">
        <v>6598</v>
      </c>
      <c r="C1095" s="9" t="s">
        <v>43</v>
      </c>
      <c r="D1095" s="9" t="s">
        <v>904</v>
      </c>
      <c r="E1095" s="9" t="s">
        <v>122</v>
      </c>
      <c r="F1095" s="9" t="s">
        <v>36</v>
      </c>
      <c r="G1095" s="9">
        <v>6</v>
      </c>
      <c r="H1095" s="9">
        <v>84212300</v>
      </c>
      <c r="I1095" s="11" t="s">
        <v>37</v>
      </c>
      <c r="J1095" s="12">
        <v>2.3E-2</v>
      </c>
      <c r="K1095" s="12">
        <v>0.108</v>
      </c>
      <c r="L1095" s="12">
        <v>5.1999999999999998E-2</v>
      </c>
      <c r="M1095" s="13">
        <v>8003453156104</v>
      </c>
      <c r="N1095" s="14">
        <v>0.2</v>
      </c>
      <c r="O1095" s="14">
        <v>0.27</v>
      </c>
      <c r="P1095" s="15" t="s">
        <v>35</v>
      </c>
      <c r="Q1095" s="16" t="s">
        <v>6820</v>
      </c>
      <c r="R1095" s="17">
        <v>420201511</v>
      </c>
      <c r="S1095" s="17" t="s">
        <v>35</v>
      </c>
      <c r="T1095" s="17" t="s">
        <v>35</v>
      </c>
      <c r="U1095" s="17" t="s">
        <v>35</v>
      </c>
      <c r="V1095" s="17" t="s">
        <v>35</v>
      </c>
      <c r="W1095" s="17" t="s">
        <v>35</v>
      </c>
      <c r="X1095" s="17" t="s">
        <v>35</v>
      </c>
      <c r="Y1095" s="17" t="s">
        <v>6821</v>
      </c>
      <c r="Z1095" s="17" t="s">
        <v>35</v>
      </c>
      <c r="AA1095" s="17" t="s">
        <v>35</v>
      </c>
      <c r="AB1095" s="17" t="s">
        <v>35</v>
      </c>
      <c r="AC1095" s="17" t="s">
        <v>9539</v>
      </c>
      <c r="AD1095" s="42">
        <v>194</v>
      </c>
      <c r="AE1095" s="42">
        <v>204.09</v>
      </c>
      <c r="AF1095" s="48"/>
      <c r="AG1095" s="44"/>
      <c r="AH1095" s="7">
        <f t="shared" si="17"/>
        <v>0</v>
      </c>
      <c r="AI1095" s="18"/>
      <c r="AJ1095" s="18"/>
    </row>
    <row r="1096" spans="1:38" ht="26.65" customHeight="1" x14ac:dyDescent="0.25">
      <c r="A1096" s="10" t="s">
        <v>6822</v>
      </c>
      <c r="B1096" s="9" t="s">
        <v>6598</v>
      </c>
      <c r="C1096" s="9" t="s">
        <v>43</v>
      </c>
      <c r="D1096" s="9" t="s">
        <v>904</v>
      </c>
      <c r="E1096" s="9" t="s">
        <v>122</v>
      </c>
      <c r="F1096" s="9" t="s">
        <v>36</v>
      </c>
      <c r="G1096" s="9">
        <v>6</v>
      </c>
      <c r="H1096" s="9">
        <v>84212300</v>
      </c>
      <c r="I1096" s="11" t="s">
        <v>37</v>
      </c>
      <c r="J1096" s="12">
        <v>2.3E-2</v>
      </c>
      <c r="K1096" s="12">
        <v>0.108</v>
      </c>
      <c r="L1096" s="12">
        <v>5.1999999999999998E-2</v>
      </c>
      <c r="M1096" s="13">
        <v>8003453156159</v>
      </c>
      <c r="N1096" s="14">
        <v>0.185</v>
      </c>
      <c r="O1096" s="14">
        <v>0.20899999999999999</v>
      </c>
      <c r="P1096" s="15" t="s">
        <v>35</v>
      </c>
      <c r="Q1096" s="16" t="s">
        <v>6823</v>
      </c>
      <c r="R1096" s="17">
        <v>31355911</v>
      </c>
      <c r="S1096" s="17" t="s">
        <v>35</v>
      </c>
      <c r="T1096" s="17" t="s">
        <v>6824</v>
      </c>
      <c r="U1096" s="17" t="s">
        <v>35</v>
      </c>
      <c r="V1096" s="17" t="s">
        <v>35</v>
      </c>
      <c r="W1096" s="17" t="s">
        <v>35</v>
      </c>
      <c r="X1096" s="17" t="s">
        <v>35</v>
      </c>
      <c r="Y1096" s="17" t="s">
        <v>6825</v>
      </c>
      <c r="Z1096" s="17" t="s">
        <v>35</v>
      </c>
      <c r="AA1096" s="17" t="s">
        <v>35</v>
      </c>
      <c r="AB1096" s="17" t="s">
        <v>35</v>
      </c>
      <c r="AC1096" s="17" t="s">
        <v>9539</v>
      </c>
      <c r="AD1096" s="42">
        <v>142.36000000000001</v>
      </c>
      <c r="AE1096" s="42">
        <v>149.76</v>
      </c>
      <c r="AF1096" s="48"/>
      <c r="AG1096" s="44"/>
      <c r="AH1096" s="7">
        <f t="shared" si="17"/>
        <v>0</v>
      </c>
      <c r="AI1096" s="18"/>
      <c r="AJ1096" s="18"/>
    </row>
    <row r="1097" spans="1:38" ht="26.65" customHeight="1" x14ac:dyDescent="0.25">
      <c r="A1097" s="10" t="s">
        <v>6826</v>
      </c>
      <c r="B1097" s="9" t="s">
        <v>6598</v>
      </c>
      <c r="C1097" s="9" t="s">
        <v>43</v>
      </c>
      <c r="D1097" s="9" t="s">
        <v>904</v>
      </c>
      <c r="E1097" s="9" t="s">
        <v>35</v>
      </c>
      <c r="F1097" s="9" t="s">
        <v>36</v>
      </c>
      <c r="G1097" s="9">
        <v>6</v>
      </c>
      <c r="H1097" s="9">
        <v>84212300</v>
      </c>
      <c r="I1097" s="11" t="s">
        <v>37</v>
      </c>
      <c r="J1097" s="12">
        <v>2.3E-2</v>
      </c>
      <c r="K1097" s="12">
        <v>0.108</v>
      </c>
      <c r="L1097" s="12">
        <v>5.1999999999999998E-2</v>
      </c>
      <c r="M1097" s="13">
        <v>8003453156067</v>
      </c>
      <c r="N1097" s="14">
        <v>0.153</v>
      </c>
      <c r="O1097" s="14">
        <v>0.17699999999999999</v>
      </c>
      <c r="P1097" s="15" t="s">
        <v>35</v>
      </c>
      <c r="Q1097" s="16" t="s">
        <v>6827</v>
      </c>
      <c r="R1097" s="17" t="s">
        <v>35</v>
      </c>
      <c r="S1097" s="17" t="s">
        <v>6828</v>
      </c>
      <c r="T1097" s="17" t="s">
        <v>6818</v>
      </c>
      <c r="U1097" s="17" t="s">
        <v>6829</v>
      </c>
      <c r="V1097" s="17" t="s">
        <v>6830</v>
      </c>
      <c r="W1097" s="17" t="s">
        <v>35</v>
      </c>
      <c r="X1097" s="17" t="s">
        <v>35</v>
      </c>
      <c r="Y1097" s="17" t="s">
        <v>6831</v>
      </c>
      <c r="Z1097" s="17" t="s">
        <v>35</v>
      </c>
      <c r="AA1097" s="17" t="s">
        <v>35</v>
      </c>
      <c r="AB1097" s="17" t="s">
        <v>35</v>
      </c>
      <c r="AC1097" s="17" t="s">
        <v>9539</v>
      </c>
      <c r="AD1097" s="42">
        <v>149.26</v>
      </c>
      <c r="AE1097" s="42">
        <v>157.02000000000001</v>
      </c>
      <c r="AF1097" s="48"/>
      <c r="AG1097" s="44"/>
      <c r="AH1097" s="7">
        <f t="shared" si="17"/>
        <v>0</v>
      </c>
      <c r="AI1097" s="18"/>
      <c r="AJ1097" s="18"/>
    </row>
    <row r="1098" spans="1:38" ht="26.65" customHeight="1" x14ac:dyDescent="0.25">
      <c r="A1098" s="10" t="s">
        <v>6832</v>
      </c>
      <c r="B1098" s="9" t="s">
        <v>6598</v>
      </c>
      <c r="C1098" s="9" t="s">
        <v>43</v>
      </c>
      <c r="D1098" s="9" t="s">
        <v>904</v>
      </c>
      <c r="E1098" s="9" t="s">
        <v>35</v>
      </c>
      <c r="F1098" s="9" t="s">
        <v>36</v>
      </c>
      <c r="G1098" s="9">
        <v>6</v>
      </c>
      <c r="H1098" s="9">
        <v>84212300</v>
      </c>
      <c r="I1098" s="11" t="s">
        <v>37</v>
      </c>
      <c r="J1098" s="12">
        <v>2.3E-2</v>
      </c>
      <c r="K1098" s="12">
        <v>0.108</v>
      </c>
      <c r="L1098" s="12">
        <v>5.1999999999999998E-2</v>
      </c>
      <c r="M1098" s="13">
        <v>8003453156180</v>
      </c>
      <c r="N1098" s="14">
        <v>0.19500000000000001</v>
      </c>
      <c r="O1098" s="14">
        <v>0.23200000000000001</v>
      </c>
      <c r="P1098" s="15">
        <v>44378</v>
      </c>
      <c r="Q1098" s="16" t="s">
        <v>6833</v>
      </c>
      <c r="R1098" s="17" t="s">
        <v>6834</v>
      </c>
      <c r="S1098" s="17" t="s">
        <v>6835</v>
      </c>
      <c r="T1098" s="17" t="s">
        <v>6836</v>
      </c>
      <c r="U1098" s="17" t="s">
        <v>35</v>
      </c>
      <c r="V1098" s="17" t="s">
        <v>35</v>
      </c>
      <c r="W1098" s="17" t="s">
        <v>35</v>
      </c>
      <c r="X1098" s="17" t="s">
        <v>35</v>
      </c>
      <c r="Y1098" s="17" t="s">
        <v>35</v>
      </c>
      <c r="Z1098" s="17" t="s">
        <v>35</v>
      </c>
      <c r="AA1098" s="17" t="s">
        <v>35</v>
      </c>
      <c r="AB1098" s="17" t="s">
        <v>35</v>
      </c>
      <c r="AC1098" s="17" t="s">
        <v>9539</v>
      </c>
      <c r="AD1098" s="41">
        <v>87.32</v>
      </c>
      <c r="AE1098" s="41">
        <v>91.86</v>
      </c>
      <c r="AF1098" s="48"/>
      <c r="AG1098" s="44"/>
      <c r="AH1098" s="7">
        <f t="shared" si="17"/>
        <v>0</v>
      </c>
      <c r="AI1098" s="18"/>
      <c r="AJ1098" s="18"/>
      <c r="AL1098" s="18"/>
    </row>
    <row r="1099" spans="1:38" ht="26.65" customHeight="1" x14ac:dyDescent="0.25">
      <c r="A1099" s="10" t="s">
        <v>6837</v>
      </c>
      <c r="B1099" s="9" t="s">
        <v>6598</v>
      </c>
      <c r="C1099" s="9" t="s">
        <v>43</v>
      </c>
      <c r="D1099" s="9" t="s">
        <v>904</v>
      </c>
      <c r="E1099" s="9" t="s">
        <v>35</v>
      </c>
      <c r="F1099" s="9" t="s">
        <v>2072</v>
      </c>
      <c r="G1099" s="9">
        <v>12</v>
      </c>
      <c r="H1099" s="9">
        <v>84212300</v>
      </c>
      <c r="I1099" s="11" t="s">
        <v>2073</v>
      </c>
      <c r="J1099" s="12">
        <v>2.3E-2</v>
      </c>
      <c r="K1099" s="12">
        <v>0.108</v>
      </c>
      <c r="L1099" s="12">
        <v>0</v>
      </c>
      <c r="M1099" s="13">
        <v>8003453803978</v>
      </c>
      <c r="N1099" s="14">
        <v>0.128</v>
      </c>
      <c r="O1099" s="14">
        <v>0.159</v>
      </c>
      <c r="P1099" s="15">
        <v>44378</v>
      </c>
      <c r="Q1099" s="16" t="s">
        <v>6838</v>
      </c>
      <c r="R1099" s="17" t="s">
        <v>6839</v>
      </c>
      <c r="S1099" s="17" t="s">
        <v>6840</v>
      </c>
      <c r="T1099" s="17" t="s">
        <v>35</v>
      </c>
      <c r="U1099" s="17" t="s">
        <v>6841</v>
      </c>
      <c r="V1099" s="17" t="s">
        <v>6842</v>
      </c>
      <c r="W1099" s="17" t="s">
        <v>6843</v>
      </c>
      <c r="X1099" s="17" t="s">
        <v>6844</v>
      </c>
      <c r="Y1099" s="17" t="s">
        <v>6845</v>
      </c>
      <c r="Z1099" s="17" t="s">
        <v>35</v>
      </c>
      <c r="AA1099" s="17" t="s">
        <v>35</v>
      </c>
      <c r="AB1099" s="17" t="s">
        <v>35</v>
      </c>
      <c r="AC1099" s="17" t="s">
        <v>9539</v>
      </c>
      <c r="AD1099" s="41">
        <v>12.62</v>
      </c>
      <c r="AE1099" s="41">
        <v>12.62</v>
      </c>
      <c r="AF1099" s="48"/>
      <c r="AG1099" s="44"/>
      <c r="AH1099" s="7">
        <f t="shared" si="17"/>
        <v>0</v>
      </c>
      <c r="AI1099" s="18"/>
      <c r="AJ1099" s="18"/>
    </row>
    <row r="1100" spans="1:38" ht="26.65" customHeight="1" x14ac:dyDescent="0.25">
      <c r="A1100" s="10" t="s">
        <v>6846</v>
      </c>
      <c r="B1100" s="9" t="s">
        <v>6598</v>
      </c>
      <c r="C1100" s="9" t="s">
        <v>43</v>
      </c>
      <c r="D1100" s="9" t="s">
        <v>904</v>
      </c>
      <c r="E1100" s="9" t="s">
        <v>35</v>
      </c>
      <c r="F1100" s="9" t="s">
        <v>2072</v>
      </c>
      <c r="G1100" s="9">
        <v>12</v>
      </c>
      <c r="H1100" s="9">
        <v>84212300</v>
      </c>
      <c r="I1100" s="11" t="s">
        <v>2073</v>
      </c>
      <c r="J1100" s="12">
        <v>2.3E-2</v>
      </c>
      <c r="K1100" s="12">
        <v>0.108</v>
      </c>
      <c r="L1100" s="12">
        <v>0</v>
      </c>
      <c r="M1100" s="13">
        <v>8003453803985</v>
      </c>
      <c r="N1100" s="14">
        <v>8.6999999999999994E-2</v>
      </c>
      <c r="O1100" s="14">
        <v>0.107</v>
      </c>
      <c r="P1100" s="15">
        <v>44378</v>
      </c>
      <c r="Q1100" s="16" t="s">
        <v>6847</v>
      </c>
      <c r="R1100" s="17" t="s">
        <v>6848</v>
      </c>
      <c r="S1100" s="17" t="s">
        <v>6849</v>
      </c>
      <c r="T1100" s="17" t="s">
        <v>35</v>
      </c>
      <c r="U1100" s="17" t="s">
        <v>6850</v>
      </c>
      <c r="V1100" s="17" t="s">
        <v>6647</v>
      </c>
      <c r="W1100" s="17" t="s">
        <v>6648</v>
      </c>
      <c r="X1100" s="17" t="s">
        <v>6851</v>
      </c>
      <c r="Y1100" s="17" t="s">
        <v>6852</v>
      </c>
      <c r="Z1100" s="17" t="s">
        <v>35</v>
      </c>
      <c r="AA1100" s="17" t="s">
        <v>35</v>
      </c>
      <c r="AB1100" s="17" t="s">
        <v>35</v>
      </c>
      <c r="AC1100" s="17" t="s">
        <v>9539</v>
      </c>
      <c r="AD1100" s="41">
        <v>7.31</v>
      </c>
      <c r="AE1100" s="41">
        <v>7.31</v>
      </c>
      <c r="AF1100" s="48"/>
      <c r="AG1100" s="44"/>
      <c r="AH1100" s="7">
        <f t="shared" si="17"/>
        <v>0</v>
      </c>
      <c r="AI1100" s="18"/>
      <c r="AJ1100" s="18"/>
    </row>
    <row r="1101" spans="1:38" ht="26.65" customHeight="1" x14ac:dyDescent="0.25">
      <c r="A1101" s="10" t="s">
        <v>6853</v>
      </c>
      <c r="B1101" s="9" t="s">
        <v>6598</v>
      </c>
      <c r="C1101" s="9" t="s">
        <v>43</v>
      </c>
      <c r="D1101" s="9" t="s">
        <v>904</v>
      </c>
      <c r="E1101" s="9" t="s">
        <v>35</v>
      </c>
      <c r="F1101" s="9" t="s">
        <v>2072</v>
      </c>
      <c r="G1101" s="9">
        <v>12</v>
      </c>
      <c r="H1101" s="9">
        <v>84212300</v>
      </c>
      <c r="I1101" s="11" t="s">
        <v>2073</v>
      </c>
      <c r="J1101" s="12">
        <v>2.3E-2</v>
      </c>
      <c r="K1101" s="12">
        <v>0.108</v>
      </c>
      <c r="L1101" s="12">
        <v>0</v>
      </c>
      <c r="M1101" s="13">
        <v>8003453803992</v>
      </c>
      <c r="N1101" s="14">
        <v>0.128</v>
      </c>
      <c r="O1101" s="14">
        <v>0.159</v>
      </c>
      <c r="P1101" s="15">
        <v>44378</v>
      </c>
      <c r="Q1101" s="16" t="s">
        <v>6854</v>
      </c>
      <c r="R1101" s="17" t="s">
        <v>6855</v>
      </c>
      <c r="S1101" s="17" t="s">
        <v>6856</v>
      </c>
      <c r="T1101" s="17" t="s">
        <v>35</v>
      </c>
      <c r="U1101" s="17" t="s">
        <v>6857</v>
      </c>
      <c r="V1101" s="17" t="s">
        <v>6858</v>
      </c>
      <c r="W1101" s="17" t="s">
        <v>6859</v>
      </c>
      <c r="X1101" s="17" t="s">
        <v>6860</v>
      </c>
      <c r="Y1101" s="17" t="s">
        <v>6861</v>
      </c>
      <c r="Z1101" s="17" t="s">
        <v>35</v>
      </c>
      <c r="AA1101" s="17" t="s">
        <v>35</v>
      </c>
      <c r="AB1101" s="17" t="s">
        <v>35</v>
      </c>
      <c r="AC1101" s="17" t="s">
        <v>9539</v>
      </c>
      <c r="AD1101" s="41">
        <v>13.02</v>
      </c>
      <c r="AE1101" s="41">
        <v>13.02</v>
      </c>
      <c r="AF1101" s="48"/>
      <c r="AG1101" s="44"/>
      <c r="AH1101" s="7">
        <f t="shared" si="17"/>
        <v>0</v>
      </c>
      <c r="AI1101" s="18"/>
      <c r="AJ1101" s="18"/>
    </row>
    <row r="1102" spans="1:38" ht="26.65" customHeight="1" x14ac:dyDescent="0.25">
      <c r="A1102" s="10" t="s">
        <v>6862</v>
      </c>
      <c r="B1102" s="9" t="s">
        <v>6598</v>
      </c>
      <c r="C1102" s="9" t="s">
        <v>43</v>
      </c>
      <c r="D1102" s="9" t="s">
        <v>904</v>
      </c>
      <c r="E1102" s="9" t="s">
        <v>35</v>
      </c>
      <c r="F1102" s="9" t="s">
        <v>2072</v>
      </c>
      <c r="G1102" s="9">
        <v>12</v>
      </c>
      <c r="H1102" s="9">
        <v>84212300</v>
      </c>
      <c r="I1102" s="11" t="s">
        <v>2073</v>
      </c>
      <c r="J1102" s="12">
        <v>2.3E-2</v>
      </c>
      <c r="K1102" s="12">
        <v>0.108</v>
      </c>
      <c r="L1102" s="12">
        <v>0</v>
      </c>
      <c r="M1102" s="13">
        <v>8003453804005</v>
      </c>
      <c r="N1102" s="14">
        <v>8.3000000000000004E-2</v>
      </c>
      <c r="O1102" s="14">
        <v>0.10199999999999999</v>
      </c>
      <c r="P1102" s="15">
        <v>44378</v>
      </c>
      <c r="Q1102" s="16" t="s">
        <v>6863</v>
      </c>
      <c r="R1102" s="17" t="s">
        <v>6864</v>
      </c>
      <c r="S1102" s="17" t="s">
        <v>6865</v>
      </c>
      <c r="T1102" s="17" t="s">
        <v>35</v>
      </c>
      <c r="U1102" s="17" t="s">
        <v>6866</v>
      </c>
      <c r="V1102" s="17" t="s">
        <v>6867</v>
      </c>
      <c r="W1102" s="17" t="s">
        <v>6868</v>
      </c>
      <c r="X1102" s="17" t="s">
        <v>6869</v>
      </c>
      <c r="Y1102" s="17" t="s">
        <v>6870</v>
      </c>
      <c r="Z1102" s="17" t="s">
        <v>35</v>
      </c>
      <c r="AA1102" s="17" t="s">
        <v>35</v>
      </c>
      <c r="AB1102" s="17" t="s">
        <v>35</v>
      </c>
      <c r="AC1102" s="17" t="s">
        <v>9539</v>
      </c>
      <c r="AD1102" s="41">
        <v>6.89</v>
      </c>
      <c r="AE1102" s="41">
        <v>6.89</v>
      </c>
      <c r="AF1102" s="48"/>
      <c r="AG1102" s="44"/>
      <c r="AH1102" s="7">
        <f t="shared" si="17"/>
        <v>0</v>
      </c>
      <c r="AI1102" s="18"/>
      <c r="AJ1102" s="18"/>
    </row>
    <row r="1103" spans="1:38" ht="26.65" customHeight="1" x14ac:dyDescent="0.25">
      <c r="A1103" s="10" t="s">
        <v>6871</v>
      </c>
      <c r="B1103" s="9" t="s">
        <v>6598</v>
      </c>
      <c r="C1103" s="9" t="s">
        <v>43</v>
      </c>
      <c r="D1103" s="9" t="s">
        <v>904</v>
      </c>
      <c r="E1103" s="9" t="s">
        <v>35</v>
      </c>
      <c r="F1103" s="9" t="s">
        <v>2072</v>
      </c>
      <c r="G1103" s="9">
        <v>12</v>
      </c>
      <c r="H1103" s="9">
        <v>84212300</v>
      </c>
      <c r="I1103" s="11" t="s">
        <v>2073</v>
      </c>
      <c r="J1103" s="12">
        <v>2.3E-2</v>
      </c>
      <c r="K1103" s="12">
        <v>0.108</v>
      </c>
      <c r="L1103" s="12">
        <v>0</v>
      </c>
      <c r="M1103" s="13">
        <v>8003453804012</v>
      </c>
      <c r="N1103" s="14">
        <v>0.128</v>
      </c>
      <c r="O1103" s="14">
        <v>0.159</v>
      </c>
      <c r="P1103" s="15">
        <v>44378</v>
      </c>
      <c r="Q1103" s="16" t="s">
        <v>6872</v>
      </c>
      <c r="R1103" s="17" t="s">
        <v>6873</v>
      </c>
      <c r="S1103" s="17" t="s">
        <v>6874</v>
      </c>
      <c r="T1103" s="17" t="s">
        <v>35</v>
      </c>
      <c r="U1103" s="17" t="s">
        <v>6875</v>
      </c>
      <c r="V1103" s="17" t="s">
        <v>6876</v>
      </c>
      <c r="W1103" s="17" t="s">
        <v>6877</v>
      </c>
      <c r="X1103" s="17" t="s">
        <v>6878</v>
      </c>
      <c r="Y1103" s="17" t="s">
        <v>6879</v>
      </c>
      <c r="Z1103" s="17" t="s">
        <v>35</v>
      </c>
      <c r="AA1103" s="17" t="s">
        <v>35</v>
      </c>
      <c r="AB1103" s="17" t="s">
        <v>35</v>
      </c>
      <c r="AC1103" s="17" t="s">
        <v>9539</v>
      </c>
      <c r="AD1103" s="41">
        <v>10.78</v>
      </c>
      <c r="AE1103" s="41">
        <v>10.78</v>
      </c>
      <c r="AF1103" s="48"/>
      <c r="AG1103" s="44"/>
      <c r="AH1103" s="7">
        <f t="shared" si="17"/>
        <v>0</v>
      </c>
      <c r="AI1103" s="18"/>
      <c r="AJ1103" s="18"/>
    </row>
    <row r="1104" spans="1:38" ht="26.65" customHeight="1" x14ac:dyDescent="0.25">
      <c r="A1104" s="10" t="s">
        <v>6880</v>
      </c>
      <c r="B1104" s="9" t="s">
        <v>6598</v>
      </c>
      <c r="C1104" s="9" t="s">
        <v>43</v>
      </c>
      <c r="D1104" s="9" t="s">
        <v>904</v>
      </c>
      <c r="E1104" s="9" t="s">
        <v>35</v>
      </c>
      <c r="F1104" s="9" t="s">
        <v>2072</v>
      </c>
      <c r="G1104" s="9">
        <v>12</v>
      </c>
      <c r="H1104" s="9">
        <v>84212300</v>
      </c>
      <c r="I1104" s="11" t="s">
        <v>2073</v>
      </c>
      <c r="J1104" s="12">
        <v>2.3E-2</v>
      </c>
      <c r="K1104" s="12">
        <v>0.108</v>
      </c>
      <c r="L1104" s="12">
        <v>0</v>
      </c>
      <c r="M1104" s="13">
        <v>8003453804029</v>
      </c>
      <c r="N1104" s="14">
        <v>0.128</v>
      </c>
      <c r="O1104" s="14">
        <v>0.159</v>
      </c>
      <c r="P1104" s="15">
        <v>44378</v>
      </c>
      <c r="Q1104" s="16" t="s">
        <v>6881</v>
      </c>
      <c r="R1104" s="17">
        <v>93312682</v>
      </c>
      <c r="S1104" s="17" t="s">
        <v>6882</v>
      </c>
      <c r="T1104" s="17" t="s">
        <v>35</v>
      </c>
      <c r="U1104" s="17" t="s">
        <v>6883</v>
      </c>
      <c r="V1104" s="17" t="s">
        <v>6884</v>
      </c>
      <c r="W1104" s="17" t="s">
        <v>6885</v>
      </c>
      <c r="X1104" s="17" t="s">
        <v>6886</v>
      </c>
      <c r="Y1104" s="17" t="s">
        <v>6887</v>
      </c>
      <c r="Z1104" s="17" t="s">
        <v>35</v>
      </c>
      <c r="AA1104" s="17" t="s">
        <v>35</v>
      </c>
      <c r="AB1104" s="17" t="s">
        <v>35</v>
      </c>
      <c r="AC1104" s="17" t="s">
        <v>9539</v>
      </c>
      <c r="AD1104" s="41">
        <v>10.95</v>
      </c>
      <c r="AE1104" s="41">
        <v>10.95</v>
      </c>
      <c r="AF1104" s="48"/>
      <c r="AG1104" s="44"/>
      <c r="AH1104" s="7">
        <f t="shared" si="17"/>
        <v>0</v>
      </c>
      <c r="AI1104" s="18"/>
      <c r="AJ1104" s="18"/>
    </row>
    <row r="1105" spans="1:38" ht="26.65" customHeight="1" x14ac:dyDescent="0.25">
      <c r="A1105" s="10" t="s">
        <v>6888</v>
      </c>
      <c r="B1105" s="9" t="s">
        <v>6598</v>
      </c>
      <c r="C1105" s="9" t="s">
        <v>43</v>
      </c>
      <c r="D1105" s="9" t="s">
        <v>904</v>
      </c>
      <c r="E1105" s="9" t="s">
        <v>35</v>
      </c>
      <c r="F1105" s="9" t="s">
        <v>2072</v>
      </c>
      <c r="G1105" s="9">
        <v>12</v>
      </c>
      <c r="H1105" s="9">
        <v>84212300</v>
      </c>
      <c r="I1105" s="11" t="s">
        <v>2073</v>
      </c>
      <c r="J1105" s="12">
        <v>2.3E-2</v>
      </c>
      <c r="K1105" s="12">
        <v>0.108</v>
      </c>
      <c r="L1105" s="12">
        <v>0</v>
      </c>
      <c r="M1105" s="13">
        <v>8003453804036</v>
      </c>
      <c r="N1105" s="14">
        <v>9.2999999999999999E-2</v>
      </c>
      <c r="O1105" s="14">
        <v>0.11700000000000001</v>
      </c>
      <c r="P1105" s="15">
        <v>44378</v>
      </c>
      <c r="Q1105" s="16" t="s">
        <v>6889</v>
      </c>
      <c r="R1105" s="17" t="s">
        <v>6890</v>
      </c>
      <c r="S1105" s="17" t="s">
        <v>6891</v>
      </c>
      <c r="T1105" s="17" t="s">
        <v>35</v>
      </c>
      <c r="U1105" s="17" t="s">
        <v>6892</v>
      </c>
      <c r="V1105" s="17" t="s">
        <v>6893</v>
      </c>
      <c r="W1105" s="17" t="s">
        <v>6894</v>
      </c>
      <c r="X1105" s="17" t="s">
        <v>6895</v>
      </c>
      <c r="Y1105" s="17" t="s">
        <v>6896</v>
      </c>
      <c r="Z1105" s="17" t="s">
        <v>35</v>
      </c>
      <c r="AA1105" s="17" t="s">
        <v>35</v>
      </c>
      <c r="AB1105" s="17" t="s">
        <v>35</v>
      </c>
      <c r="AC1105" s="17" t="s">
        <v>9539</v>
      </c>
      <c r="AD1105" s="41">
        <v>8.5399999999999991</v>
      </c>
      <c r="AE1105" s="41">
        <v>8.5399999999999991</v>
      </c>
      <c r="AF1105" s="48"/>
      <c r="AG1105" s="44"/>
      <c r="AH1105" s="7">
        <f t="shared" si="17"/>
        <v>0</v>
      </c>
      <c r="AI1105" s="18"/>
      <c r="AJ1105" s="18"/>
    </row>
    <row r="1106" spans="1:38" ht="26.65" customHeight="1" x14ac:dyDescent="0.25">
      <c r="A1106" s="10" t="s">
        <v>6897</v>
      </c>
      <c r="B1106" s="9" t="s">
        <v>6598</v>
      </c>
      <c r="C1106" s="9" t="s">
        <v>43</v>
      </c>
      <c r="D1106" s="9" t="s">
        <v>904</v>
      </c>
      <c r="E1106" s="9" t="s">
        <v>35</v>
      </c>
      <c r="F1106" s="9" t="s">
        <v>2072</v>
      </c>
      <c r="G1106" s="9">
        <v>12</v>
      </c>
      <c r="H1106" s="9">
        <v>84212300</v>
      </c>
      <c r="I1106" s="11" t="s">
        <v>2073</v>
      </c>
      <c r="J1106" s="12">
        <v>2.3E-2</v>
      </c>
      <c r="K1106" s="12">
        <v>0.108</v>
      </c>
      <c r="L1106" s="12">
        <v>0</v>
      </c>
      <c r="M1106" s="13">
        <v>8003453804043</v>
      </c>
      <c r="N1106" s="14">
        <v>8.6999999999999994E-2</v>
      </c>
      <c r="O1106" s="14">
        <v>0.107</v>
      </c>
      <c r="P1106" s="15">
        <v>44378</v>
      </c>
      <c r="Q1106" s="16" t="s">
        <v>6898</v>
      </c>
      <c r="R1106" s="17">
        <v>50015864</v>
      </c>
      <c r="S1106" s="17" t="s">
        <v>6899</v>
      </c>
      <c r="T1106" s="17" t="s">
        <v>35</v>
      </c>
      <c r="U1106" s="17" t="s">
        <v>6900</v>
      </c>
      <c r="V1106" s="17" t="s">
        <v>6901</v>
      </c>
      <c r="W1106" s="17" t="s">
        <v>6902</v>
      </c>
      <c r="X1106" s="17" t="s">
        <v>35</v>
      </c>
      <c r="Y1106" s="17" t="s">
        <v>6903</v>
      </c>
      <c r="Z1106" s="17" t="s">
        <v>35</v>
      </c>
      <c r="AA1106" s="17" t="s">
        <v>35</v>
      </c>
      <c r="AB1106" s="17" t="s">
        <v>35</v>
      </c>
      <c r="AC1106" s="17" t="s">
        <v>9539</v>
      </c>
      <c r="AD1106" s="41">
        <v>8.2899999999999991</v>
      </c>
      <c r="AE1106" s="41">
        <v>8.2899999999999991</v>
      </c>
      <c r="AF1106" s="48"/>
      <c r="AG1106" s="44"/>
      <c r="AH1106" s="7">
        <f t="shared" si="17"/>
        <v>0</v>
      </c>
      <c r="AI1106" s="18"/>
      <c r="AJ1106" s="18"/>
    </row>
    <row r="1107" spans="1:38" ht="26.65" customHeight="1" x14ac:dyDescent="0.25">
      <c r="A1107" s="10" t="s">
        <v>9908</v>
      </c>
      <c r="B1107" s="9" t="s">
        <v>6598</v>
      </c>
      <c r="C1107" s="9" t="s">
        <v>43</v>
      </c>
      <c r="D1107" s="9" t="s">
        <v>904</v>
      </c>
      <c r="E1107" s="9" t="s">
        <v>35</v>
      </c>
      <c r="F1107" s="9" t="s">
        <v>36</v>
      </c>
      <c r="G1107" s="9">
        <v>10</v>
      </c>
      <c r="H1107" s="9">
        <v>84212300</v>
      </c>
      <c r="I1107" s="11" t="s">
        <v>37</v>
      </c>
      <c r="J1107" s="12">
        <v>2.3E-2</v>
      </c>
      <c r="K1107" s="12">
        <v>0.108</v>
      </c>
      <c r="L1107" s="12">
        <v>5.1999999999999998E-2</v>
      </c>
      <c r="M1107" s="13">
        <v>8003453156326</v>
      </c>
      <c r="N1107" s="14">
        <v>0.25</v>
      </c>
      <c r="O1107" s="14">
        <v>0.28199999999999997</v>
      </c>
      <c r="P1107" s="15">
        <v>45536</v>
      </c>
      <c r="Q1107" s="16" t="s">
        <v>9909</v>
      </c>
      <c r="R1107" s="17" t="s">
        <v>35</v>
      </c>
      <c r="S1107" s="17" t="s">
        <v>9910</v>
      </c>
      <c r="T1107" s="17" t="s">
        <v>9911</v>
      </c>
      <c r="U1107" s="17" t="s">
        <v>9912</v>
      </c>
      <c r="V1107" s="17" t="s">
        <v>35</v>
      </c>
      <c r="W1107" s="17" t="s">
        <v>35</v>
      </c>
      <c r="X1107" s="17" t="s">
        <v>35</v>
      </c>
      <c r="Y1107" s="17" t="s">
        <v>9913</v>
      </c>
      <c r="Z1107" s="17" t="s">
        <v>35</v>
      </c>
      <c r="AA1107" s="17" t="s">
        <v>35</v>
      </c>
      <c r="AB1107" s="17" t="s">
        <v>35</v>
      </c>
      <c r="AC1107" s="17" t="s">
        <v>9539</v>
      </c>
      <c r="AD1107" s="41">
        <v>184.34</v>
      </c>
      <c r="AE1107" s="41">
        <v>193.93</v>
      </c>
      <c r="AF1107" s="48"/>
      <c r="AG1107" s="44"/>
      <c r="AH1107" s="7">
        <f t="shared" si="17"/>
        <v>0</v>
      </c>
      <c r="AI1107" s="18"/>
      <c r="AJ1107" s="18"/>
    </row>
    <row r="1108" spans="1:38" ht="26.65" customHeight="1" x14ac:dyDescent="0.25">
      <c r="A1108" s="10" t="s">
        <v>6904</v>
      </c>
      <c r="B1108" s="9" t="s">
        <v>6905</v>
      </c>
      <c r="C1108" s="9" t="s">
        <v>43</v>
      </c>
      <c r="D1108" s="9" t="s">
        <v>6906</v>
      </c>
      <c r="E1108" s="9" t="s">
        <v>35</v>
      </c>
      <c r="F1108" s="9" t="s">
        <v>36</v>
      </c>
      <c r="G1108" s="9">
        <v>5</v>
      </c>
      <c r="H1108" s="9">
        <v>84213990</v>
      </c>
      <c r="I1108" s="11" t="s">
        <v>37</v>
      </c>
      <c r="J1108" s="12">
        <v>1.6500000000000001E-2</v>
      </c>
      <c r="K1108" s="12">
        <v>7.5999999999999998E-2</v>
      </c>
      <c r="L1108" s="12">
        <v>0</v>
      </c>
      <c r="M1108" s="13">
        <v>8003453181526</v>
      </c>
      <c r="N1108" s="14">
        <v>0.16</v>
      </c>
      <c r="O1108" s="14">
        <v>0.25</v>
      </c>
      <c r="P1108" s="15">
        <v>44531</v>
      </c>
      <c r="Q1108" s="16" t="s">
        <v>6907</v>
      </c>
      <c r="R1108" s="17" t="s">
        <v>6908</v>
      </c>
      <c r="S1108" s="17" t="s">
        <v>6909</v>
      </c>
      <c r="T1108" s="17" t="s">
        <v>6910</v>
      </c>
      <c r="U1108" s="17" t="s">
        <v>6911</v>
      </c>
      <c r="V1108" s="17" t="s">
        <v>35</v>
      </c>
      <c r="W1108" s="17" t="s">
        <v>35</v>
      </c>
      <c r="X1108" s="17" t="s">
        <v>35</v>
      </c>
      <c r="Y1108" s="17" t="s">
        <v>35</v>
      </c>
      <c r="Z1108" s="17" t="s">
        <v>35</v>
      </c>
      <c r="AA1108" s="17" t="s">
        <v>35</v>
      </c>
      <c r="AB1108" s="17" t="s">
        <v>35</v>
      </c>
      <c r="AC1108" s="17" t="s">
        <v>9539</v>
      </c>
      <c r="AD1108" s="42">
        <v>53.65</v>
      </c>
      <c r="AE1108" s="42">
        <v>53.65</v>
      </c>
      <c r="AF1108" s="48"/>
      <c r="AG1108" s="44"/>
      <c r="AH1108" s="7">
        <f t="shared" si="17"/>
        <v>0</v>
      </c>
      <c r="AI1108" s="18"/>
      <c r="AJ1108" s="18"/>
    </row>
    <row r="1109" spans="1:38" ht="26.65" customHeight="1" x14ac:dyDescent="0.25">
      <c r="A1109" s="10" t="s">
        <v>6912</v>
      </c>
      <c r="B1109" s="9" t="s">
        <v>6905</v>
      </c>
      <c r="C1109" s="9" t="s">
        <v>43</v>
      </c>
      <c r="D1109" s="9" t="s">
        <v>6906</v>
      </c>
      <c r="E1109" s="9" t="s">
        <v>35</v>
      </c>
      <c r="F1109" s="9" t="s">
        <v>36</v>
      </c>
      <c r="G1109" s="9">
        <v>5</v>
      </c>
      <c r="H1109" s="9">
        <v>84213990</v>
      </c>
      <c r="I1109" s="11" t="s">
        <v>37</v>
      </c>
      <c r="J1109" s="12">
        <v>1.6500000000000001E-2</v>
      </c>
      <c r="K1109" s="12">
        <v>7.5999999999999998E-2</v>
      </c>
      <c r="L1109" s="12">
        <v>0</v>
      </c>
      <c r="M1109" s="13">
        <v>8003453181991</v>
      </c>
      <c r="N1109" s="14">
        <v>0.42299999999999999</v>
      </c>
      <c r="O1109" s="14">
        <v>0.48299999999999998</v>
      </c>
      <c r="P1109" s="15">
        <v>44531</v>
      </c>
      <c r="Q1109" s="16" t="s">
        <v>6913</v>
      </c>
      <c r="R1109" s="17" t="s">
        <v>6914</v>
      </c>
      <c r="S1109" s="17" t="s">
        <v>6915</v>
      </c>
      <c r="T1109" s="17" t="s">
        <v>6916</v>
      </c>
      <c r="U1109" s="17" t="s">
        <v>6917</v>
      </c>
      <c r="V1109" s="17" t="s">
        <v>35</v>
      </c>
      <c r="W1109" s="17" t="s">
        <v>35</v>
      </c>
      <c r="X1109" s="17" t="s">
        <v>35</v>
      </c>
      <c r="Y1109" s="17" t="s">
        <v>35</v>
      </c>
      <c r="Z1109" s="17" t="s">
        <v>35</v>
      </c>
      <c r="AA1109" s="17" t="s">
        <v>35</v>
      </c>
      <c r="AB1109" s="17" t="s">
        <v>35</v>
      </c>
      <c r="AC1109" s="17" t="s">
        <v>9539</v>
      </c>
      <c r="AD1109" s="41">
        <v>66.55</v>
      </c>
      <c r="AE1109" s="41">
        <v>66.55</v>
      </c>
      <c r="AF1109" s="48"/>
      <c r="AG1109" s="44"/>
      <c r="AH1109" s="7">
        <f t="shared" si="17"/>
        <v>0</v>
      </c>
      <c r="AI1109" s="18"/>
      <c r="AJ1109" s="18"/>
      <c r="AL1109" s="18"/>
    </row>
    <row r="1110" spans="1:38" ht="26.65" customHeight="1" x14ac:dyDescent="0.25">
      <c r="A1110" s="10" t="s">
        <v>9352</v>
      </c>
      <c r="B1110" s="9" t="s">
        <v>6905</v>
      </c>
      <c r="C1110" s="9" t="s">
        <v>43</v>
      </c>
      <c r="D1110" s="9" t="s">
        <v>6906</v>
      </c>
      <c r="E1110" s="9" t="s">
        <v>35</v>
      </c>
      <c r="F1110" s="9" t="s">
        <v>36</v>
      </c>
      <c r="G1110" s="9">
        <v>4</v>
      </c>
      <c r="H1110" s="9">
        <v>84213990</v>
      </c>
      <c r="I1110" s="11" t="s">
        <v>37</v>
      </c>
      <c r="J1110" s="12">
        <v>1.6500000000000001E-2</v>
      </c>
      <c r="K1110" s="12">
        <v>7.5999999999999998E-2</v>
      </c>
      <c r="L1110" s="12">
        <v>0</v>
      </c>
      <c r="M1110" s="13" t="s">
        <v>35</v>
      </c>
      <c r="N1110" s="14">
        <v>0</v>
      </c>
      <c r="O1110" s="14">
        <v>0</v>
      </c>
      <c r="P1110" s="15">
        <v>45444</v>
      </c>
      <c r="Q1110" s="16" t="s">
        <v>9353</v>
      </c>
      <c r="R1110" s="17" t="s">
        <v>35</v>
      </c>
      <c r="S1110" s="17" t="s">
        <v>9354</v>
      </c>
      <c r="T1110" s="17" t="s">
        <v>9355</v>
      </c>
      <c r="U1110" s="17" t="s">
        <v>9356</v>
      </c>
      <c r="V1110" s="17" t="s">
        <v>35</v>
      </c>
      <c r="W1110" s="17" t="s">
        <v>35</v>
      </c>
      <c r="X1110" s="17" t="s">
        <v>35</v>
      </c>
      <c r="Y1110" s="17" t="s">
        <v>35</v>
      </c>
      <c r="Z1110" s="17" t="s">
        <v>35</v>
      </c>
      <c r="AA1110" s="17" t="s">
        <v>35</v>
      </c>
      <c r="AB1110" s="17" t="s">
        <v>35</v>
      </c>
      <c r="AC1110" s="17" t="s">
        <v>9539</v>
      </c>
      <c r="AD1110" s="42">
        <v>36.96</v>
      </c>
      <c r="AE1110" s="42">
        <v>36.96</v>
      </c>
      <c r="AF1110" s="48"/>
      <c r="AG1110" s="44"/>
      <c r="AH1110" s="7">
        <f t="shared" si="17"/>
        <v>0</v>
      </c>
      <c r="AI1110" s="18"/>
      <c r="AJ1110" s="18"/>
    </row>
    <row r="1111" spans="1:38" ht="26.65" customHeight="1" x14ac:dyDescent="0.25">
      <c r="A1111" s="10" t="s">
        <v>6918</v>
      </c>
      <c r="B1111" s="9" t="s">
        <v>6905</v>
      </c>
      <c r="C1111" s="9" t="s">
        <v>43</v>
      </c>
      <c r="D1111" s="9" t="s">
        <v>6906</v>
      </c>
      <c r="E1111" s="9" t="s">
        <v>35</v>
      </c>
      <c r="F1111" s="9" t="s">
        <v>36</v>
      </c>
      <c r="G1111" s="9">
        <v>5</v>
      </c>
      <c r="H1111" s="9">
        <v>84213990</v>
      </c>
      <c r="I1111" s="11" t="s">
        <v>37</v>
      </c>
      <c r="J1111" s="12">
        <v>1.6500000000000001E-2</v>
      </c>
      <c r="K1111" s="12">
        <v>7.5999999999999998E-2</v>
      </c>
      <c r="L1111" s="12">
        <v>0</v>
      </c>
      <c r="M1111" s="13">
        <v>8003453181601</v>
      </c>
      <c r="N1111" s="14">
        <v>0.18</v>
      </c>
      <c r="O1111" s="14">
        <v>0.25</v>
      </c>
      <c r="P1111" s="15">
        <v>44531</v>
      </c>
      <c r="Q1111" s="16" t="s">
        <v>6919</v>
      </c>
      <c r="R1111" s="17" t="s">
        <v>6920</v>
      </c>
      <c r="S1111" s="17" t="s">
        <v>6921</v>
      </c>
      <c r="T1111" s="17" t="s">
        <v>6922</v>
      </c>
      <c r="U1111" s="17" t="s">
        <v>6923</v>
      </c>
      <c r="V1111" s="17" t="s">
        <v>35</v>
      </c>
      <c r="W1111" s="17" t="s">
        <v>35</v>
      </c>
      <c r="X1111" s="17" t="s">
        <v>35</v>
      </c>
      <c r="Y1111" s="17" t="s">
        <v>35</v>
      </c>
      <c r="Z1111" s="17" t="s">
        <v>35</v>
      </c>
      <c r="AA1111" s="17" t="s">
        <v>35</v>
      </c>
      <c r="AB1111" s="17" t="s">
        <v>35</v>
      </c>
      <c r="AC1111" s="17" t="s">
        <v>9539</v>
      </c>
      <c r="AD1111" s="42">
        <v>42.8</v>
      </c>
      <c r="AE1111" s="42">
        <v>42.8</v>
      </c>
      <c r="AF1111" s="48"/>
      <c r="AG1111" s="44"/>
      <c r="AH1111" s="7">
        <f t="shared" si="17"/>
        <v>0</v>
      </c>
      <c r="AI1111" s="18"/>
      <c r="AJ1111" s="18"/>
    </row>
    <row r="1112" spans="1:38" ht="26.65" customHeight="1" x14ac:dyDescent="0.25">
      <c r="A1112" s="10" t="s">
        <v>6925</v>
      </c>
      <c r="B1112" s="9" t="s">
        <v>6905</v>
      </c>
      <c r="C1112" s="9" t="s">
        <v>43</v>
      </c>
      <c r="D1112" s="9" t="s">
        <v>6906</v>
      </c>
      <c r="E1112" s="9" t="s">
        <v>35</v>
      </c>
      <c r="F1112" s="9" t="s">
        <v>36</v>
      </c>
      <c r="G1112" s="9">
        <v>5</v>
      </c>
      <c r="H1112" s="9">
        <v>84213990</v>
      </c>
      <c r="I1112" s="11" t="s">
        <v>37</v>
      </c>
      <c r="J1112" s="12">
        <v>1.6500000000000001E-2</v>
      </c>
      <c r="K1112" s="12">
        <v>7.5999999999999998E-2</v>
      </c>
      <c r="L1112" s="12">
        <v>0</v>
      </c>
      <c r="M1112" s="13">
        <v>8003453181625</v>
      </c>
      <c r="N1112" s="14">
        <v>0.15</v>
      </c>
      <c r="O1112" s="14">
        <v>0.21</v>
      </c>
      <c r="P1112" s="15">
        <v>44531</v>
      </c>
      <c r="Q1112" s="16" t="s">
        <v>6926</v>
      </c>
      <c r="R1112" s="17" t="s">
        <v>6927</v>
      </c>
      <c r="S1112" s="17" t="s">
        <v>6928</v>
      </c>
      <c r="T1112" s="17" t="s">
        <v>35</v>
      </c>
      <c r="U1112" s="17" t="s">
        <v>6929</v>
      </c>
      <c r="V1112" s="17" t="s">
        <v>35</v>
      </c>
      <c r="W1112" s="17" t="s">
        <v>35</v>
      </c>
      <c r="X1112" s="17" t="s">
        <v>35</v>
      </c>
      <c r="Y1112" s="17" t="s">
        <v>35</v>
      </c>
      <c r="Z1112" s="17" t="s">
        <v>35</v>
      </c>
      <c r="AA1112" s="17" t="s">
        <v>35</v>
      </c>
      <c r="AB1112" s="17" t="s">
        <v>35</v>
      </c>
      <c r="AC1112" s="17" t="s">
        <v>9539</v>
      </c>
      <c r="AD1112" s="42">
        <v>48.61</v>
      </c>
      <c r="AE1112" s="42">
        <v>48.61</v>
      </c>
      <c r="AF1112" s="48"/>
      <c r="AG1112" s="44"/>
      <c r="AH1112" s="7">
        <f t="shared" si="17"/>
        <v>0</v>
      </c>
      <c r="AI1112" s="18"/>
      <c r="AJ1112" s="18"/>
    </row>
    <row r="1113" spans="1:38" ht="26.65" customHeight="1" x14ac:dyDescent="0.25">
      <c r="A1113" s="10" t="s">
        <v>6930</v>
      </c>
      <c r="B1113" s="9" t="s">
        <v>6905</v>
      </c>
      <c r="C1113" s="9" t="s">
        <v>43</v>
      </c>
      <c r="D1113" s="9" t="s">
        <v>6906</v>
      </c>
      <c r="E1113" s="9" t="s">
        <v>35</v>
      </c>
      <c r="F1113" s="9" t="s">
        <v>36</v>
      </c>
      <c r="G1113" s="9">
        <v>5</v>
      </c>
      <c r="H1113" s="9">
        <v>84213990</v>
      </c>
      <c r="I1113" s="11" t="s">
        <v>37</v>
      </c>
      <c r="J1113" s="12">
        <v>1.6500000000000001E-2</v>
      </c>
      <c r="K1113" s="12">
        <v>7.5999999999999998E-2</v>
      </c>
      <c r="L1113" s="12">
        <v>0</v>
      </c>
      <c r="M1113" s="13">
        <v>8003453182202</v>
      </c>
      <c r="N1113" s="14">
        <v>0.18</v>
      </c>
      <c r="O1113" s="14">
        <v>0.25</v>
      </c>
      <c r="P1113" s="15">
        <v>45139</v>
      </c>
      <c r="Q1113" s="16" t="s">
        <v>6931</v>
      </c>
      <c r="R1113" s="17" t="s">
        <v>6932</v>
      </c>
      <c r="S1113" s="17" t="s">
        <v>6933</v>
      </c>
      <c r="T1113" s="17" t="s">
        <v>35</v>
      </c>
      <c r="U1113" s="17" t="s">
        <v>35</v>
      </c>
      <c r="V1113" s="17" t="s">
        <v>35</v>
      </c>
      <c r="W1113" s="17" t="s">
        <v>35</v>
      </c>
      <c r="X1113" s="17" t="s">
        <v>35</v>
      </c>
      <c r="Y1113" s="17" t="s">
        <v>35</v>
      </c>
      <c r="Z1113" s="17" t="s">
        <v>35</v>
      </c>
      <c r="AA1113" s="17" t="s">
        <v>35</v>
      </c>
      <c r="AB1113" s="17" t="s">
        <v>35</v>
      </c>
      <c r="AC1113" s="17" t="s">
        <v>9539</v>
      </c>
      <c r="AD1113" s="42">
        <v>60.47</v>
      </c>
      <c r="AE1113" s="42">
        <v>60.47</v>
      </c>
      <c r="AF1113" s="48"/>
      <c r="AG1113" s="44"/>
      <c r="AH1113" s="7">
        <f t="shared" si="17"/>
        <v>0</v>
      </c>
      <c r="AI1113" s="18"/>
      <c r="AJ1113" s="18"/>
    </row>
    <row r="1114" spans="1:38" ht="26.65" customHeight="1" x14ac:dyDescent="0.25">
      <c r="A1114" s="10" t="s">
        <v>6934</v>
      </c>
      <c r="B1114" s="9" t="s">
        <v>6905</v>
      </c>
      <c r="C1114" s="9" t="s">
        <v>43</v>
      </c>
      <c r="D1114" s="9" t="s">
        <v>6906</v>
      </c>
      <c r="E1114" s="9" t="s">
        <v>35</v>
      </c>
      <c r="F1114" s="9" t="s">
        <v>36</v>
      </c>
      <c r="G1114" s="9">
        <v>5</v>
      </c>
      <c r="H1114" s="9">
        <v>84213990</v>
      </c>
      <c r="I1114" s="11" t="s">
        <v>37</v>
      </c>
      <c r="J1114" s="12">
        <v>1.6500000000000001E-2</v>
      </c>
      <c r="K1114" s="12">
        <v>7.5999999999999998E-2</v>
      </c>
      <c r="L1114" s="12">
        <v>0</v>
      </c>
      <c r="M1114" s="13">
        <v>8003453181656</v>
      </c>
      <c r="N1114" s="14">
        <v>0.31</v>
      </c>
      <c r="O1114" s="14">
        <v>0.4</v>
      </c>
      <c r="P1114" s="15">
        <v>45139</v>
      </c>
      <c r="Q1114" s="16" t="s">
        <v>6935</v>
      </c>
      <c r="R1114" s="17" t="s">
        <v>6936</v>
      </c>
      <c r="S1114" s="17" t="s">
        <v>6937</v>
      </c>
      <c r="T1114" s="17" t="s">
        <v>6938</v>
      </c>
      <c r="U1114" s="17" t="s">
        <v>35</v>
      </c>
      <c r="V1114" s="17" t="s">
        <v>35</v>
      </c>
      <c r="W1114" s="17" t="s">
        <v>35</v>
      </c>
      <c r="X1114" s="17" t="s">
        <v>6939</v>
      </c>
      <c r="Y1114" s="17" t="s">
        <v>35</v>
      </c>
      <c r="Z1114" s="17" t="s">
        <v>35</v>
      </c>
      <c r="AA1114" s="17" t="s">
        <v>35</v>
      </c>
      <c r="AB1114" s="17" t="s">
        <v>35</v>
      </c>
      <c r="AC1114" s="17" t="s">
        <v>9539</v>
      </c>
      <c r="AD1114" s="42">
        <v>72.180000000000007</v>
      </c>
      <c r="AE1114" s="42">
        <v>72.180000000000007</v>
      </c>
      <c r="AF1114" s="48"/>
      <c r="AG1114" s="44"/>
      <c r="AH1114" s="7">
        <f t="shared" si="17"/>
        <v>0</v>
      </c>
      <c r="AI1114" s="18"/>
      <c r="AJ1114" s="18"/>
    </row>
    <row r="1115" spans="1:38" ht="26.65" customHeight="1" x14ac:dyDescent="0.25">
      <c r="A1115" s="10" t="s">
        <v>6940</v>
      </c>
      <c r="B1115" s="9" t="s">
        <v>6905</v>
      </c>
      <c r="C1115" s="9" t="s">
        <v>43</v>
      </c>
      <c r="D1115" s="9" t="s">
        <v>6906</v>
      </c>
      <c r="E1115" s="9" t="s">
        <v>35</v>
      </c>
      <c r="F1115" s="9" t="s">
        <v>36</v>
      </c>
      <c r="G1115" s="9">
        <v>5</v>
      </c>
      <c r="H1115" s="9">
        <v>84213990</v>
      </c>
      <c r="I1115" s="11" t="s">
        <v>37</v>
      </c>
      <c r="J1115" s="12">
        <v>1.6500000000000001E-2</v>
      </c>
      <c r="K1115" s="12">
        <v>7.5999999999999998E-2</v>
      </c>
      <c r="L1115" s="12">
        <v>0</v>
      </c>
      <c r="M1115" s="13">
        <v>8003453182011</v>
      </c>
      <c r="N1115" s="14">
        <v>0.3</v>
      </c>
      <c r="O1115" s="14">
        <v>0.41</v>
      </c>
      <c r="P1115" s="15">
        <v>44531</v>
      </c>
      <c r="Q1115" s="16" t="s">
        <v>6941</v>
      </c>
      <c r="R1115" s="17" t="s">
        <v>6942</v>
      </c>
      <c r="S1115" s="17" t="s">
        <v>6943</v>
      </c>
      <c r="T1115" s="17" t="s">
        <v>6944</v>
      </c>
      <c r="U1115" s="17" t="s">
        <v>6945</v>
      </c>
      <c r="V1115" s="17" t="s">
        <v>35</v>
      </c>
      <c r="W1115" s="17" t="s">
        <v>35</v>
      </c>
      <c r="X1115" s="17" t="s">
        <v>35</v>
      </c>
      <c r="Y1115" s="17" t="s">
        <v>35</v>
      </c>
      <c r="Z1115" s="17" t="s">
        <v>35</v>
      </c>
      <c r="AA1115" s="17" t="s">
        <v>35</v>
      </c>
      <c r="AB1115" s="17" t="s">
        <v>35</v>
      </c>
      <c r="AC1115" s="17" t="s">
        <v>9539</v>
      </c>
      <c r="AD1115" s="42">
        <v>72.349999999999994</v>
      </c>
      <c r="AE1115" s="42">
        <v>72.349999999999994</v>
      </c>
      <c r="AF1115" s="48"/>
      <c r="AG1115" s="44"/>
      <c r="AH1115" s="7">
        <f t="shared" si="17"/>
        <v>0</v>
      </c>
      <c r="AI1115" s="18"/>
      <c r="AJ1115" s="18"/>
    </row>
    <row r="1116" spans="1:38" ht="26.65" customHeight="1" x14ac:dyDescent="0.25">
      <c r="A1116" s="10" t="s">
        <v>6946</v>
      </c>
      <c r="B1116" s="9" t="s">
        <v>6905</v>
      </c>
      <c r="C1116" s="9" t="s">
        <v>43</v>
      </c>
      <c r="D1116" s="9" t="s">
        <v>6906</v>
      </c>
      <c r="E1116" s="9" t="s">
        <v>35</v>
      </c>
      <c r="F1116" s="9" t="s">
        <v>36</v>
      </c>
      <c r="G1116" s="9">
        <v>5</v>
      </c>
      <c r="H1116" s="9">
        <v>84213990</v>
      </c>
      <c r="I1116" s="11" t="s">
        <v>37</v>
      </c>
      <c r="J1116" s="12">
        <v>1.6500000000000001E-2</v>
      </c>
      <c r="K1116" s="12">
        <v>7.5999999999999998E-2</v>
      </c>
      <c r="L1116" s="12">
        <v>0</v>
      </c>
      <c r="M1116" s="13">
        <v>8003453182226</v>
      </c>
      <c r="N1116" s="14">
        <v>0.2</v>
      </c>
      <c r="O1116" s="14">
        <v>0.28000000000000003</v>
      </c>
      <c r="P1116" s="15">
        <v>45139</v>
      </c>
      <c r="Q1116" s="16" t="s">
        <v>6947</v>
      </c>
      <c r="R1116" s="17" t="s">
        <v>6948</v>
      </c>
      <c r="S1116" s="17" t="s">
        <v>6949</v>
      </c>
      <c r="T1116" s="17" t="s">
        <v>6950</v>
      </c>
      <c r="U1116" s="17" t="s">
        <v>35</v>
      </c>
      <c r="V1116" s="17" t="s">
        <v>35</v>
      </c>
      <c r="W1116" s="17" t="s">
        <v>35</v>
      </c>
      <c r="X1116" s="17" t="s">
        <v>6951</v>
      </c>
      <c r="Y1116" s="17" t="s">
        <v>35</v>
      </c>
      <c r="Z1116" s="17" t="s">
        <v>35</v>
      </c>
      <c r="AA1116" s="17" t="s">
        <v>35</v>
      </c>
      <c r="AB1116" s="17" t="s">
        <v>35</v>
      </c>
      <c r="AC1116" s="17" t="s">
        <v>9539</v>
      </c>
      <c r="AD1116" s="42">
        <v>53.23</v>
      </c>
      <c r="AE1116" s="42">
        <v>53.23</v>
      </c>
      <c r="AF1116" s="48"/>
      <c r="AG1116" s="44"/>
      <c r="AH1116" s="7">
        <f t="shared" si="17"/>
        <v>0</v>
      </c>
      <c r="AI1116" s="18"/>
      <c r="AJ1116" s="18"/>
    </row>
    <row r="1117" spans="1:38" ht="26.65" customHeight="1" x14ac:dyDescent="0.25">
      <c r="A1117" s="10" t="s">
        <v>6952</v>
      </c>
      <c r="B1117" s="9" t="s">
        <v>6905</v>
      </c>
      <c r="C1117" s="9" t="s">
        <v>43</v>
      </c>
      <c r="D1117" s="9" t="s">
        <v>6906</v>
      </c>
      <c r="E1117" s="9" t="s">
        <v>35</v>
      </c>
      <c r="F1117" s="9" t="s">
        <v>36</v>
      </c>
      <c r="G1117" s="9">
        <v>5</v>
      </c>
      <c r="H1117" s="9">
        <v>84213990</v>
      </c>
      <c r="I1117" s="11" t="s">
        <v>37</v>
      </c>
      <c r="J1117" s="12">
        <v>1.6500000000000001E-2</v>
      </c>
      <c r="K1117" s="12">
        <v>7.5999999999999998E-2</v>
      </c>
      <c r="L1117" s="12">
        <v>0</v>
      </c>
      <c r="M1117" s="13">
        <v>8003453181700</v>
      </c>
      <c r="N1117" s="14">
        <v>0.18</v>
      </c>
      <c r="O1117" s="14">
        <v>0.25</v>
      </c>
      <c r="P1117" s="15">
        <v>44531</v>
      </c>
      <c r="Q1117" s="16" t="s">
        <v>6953</v>
      </c>
      <c r="R1117" s="17" t="s">
        <v>6954</v>
      </c>
      <c r="S1117" s="17" t="s">
        <v>6955</v>
      </c>
      <c r="T1117" s="17" t="s">
        <v>6956</v>
      </c>
      <c r="U1117" s="17" t="s">
        <v>6957</v>
      </c>
      <c r="V1117" s="17" t="s">
        <v>35</v>
      </c>
      <c r="W1117" s="17" t="s">
        <v>35</v>
      </c>
      <c r="X1117" s="17" t="s">
        <v>35</v>
      </c>
      <c r="Y1117" s="17" t="s">
        <v>35</v>
      </c>
      <c r="Z1117" s="17" t="s">
        <v>35</v>
      </c>
      <c r="AA1117" s="17" t="s">
        <v>35</v>
      </c>
      <c r="AB1117" s="17" t="s">
        <v>35</v>
      </c>
      <c r="AC1117" s="17" t="s">
        <v>9539</v>
      </c>
      <c r="AD1117" s="41">
        <v>42.31</v>
      </c>
      <c r="AE1117" s="41">
        <v>42.31</v>
      </c>
      <c r="AF1117" s="48"/>
      <c r="AG1117" s="44"/>
      <c r="AH1117" s="7">
        <f t="shared" si="17"/>
        <v>0</v>
      </c>
      <c r="AI1117" s="18"/>
      <c r="AJ1117" s="18"/>
      <c r="AL1117" s="18"/>
    </row>
    <row r="1118" spans="1:38" ht="26.65" customHeight="1" x14ac:dyDescent="0.25">
      <c r="A1118" s="10" t="s">
        <v>6958</v>
      </c>
      <c r="B1118" s="9" t="s">
        <v>6905</v>
      </c>
      <c r="C1118" s="9" t="s">
        <v>43</v>
      </c>
      <c r="D1118" s="9" t="s">
        <v>6906</v>
      </c>
      <c r="E1118" s="9" t="s">
        <v>35</v>
      </c>
      <c r="F1118" s="9" t="s">
        <v>36</v>
      </c>
      <c r="G1118" s="9">
        <v>5</v>
      </c>
      <c r="H1118" s="9">
        <v>84213990</v>
      </c>
      <c r="I1118" s="11" t="s">
        <v>37</v>
      </c>
      <c r="J1118" s="12">
        <v>1.6500000000000001E-2</v>
      </c>
      <c r="K1118" s="12">
        <v>7.5999999999999998E-2</v>
      </c>
      <c r="L1118" s="12">
        <v>0</v>
      </c>
      <c r="M1118" s="13">
        <v>8003453181748</v>
      </c>
      <c r="N1118" s="14">
        <v>0.18</v>
      </c>
      <c r="O1118" s="14">
        <v>0.26</v>
      </c>
      <c r="P1118" s="15">
        <v>44531</v>
      </c>
      <c r="Q1118" s="16" t="s">
        <v>6959</v>
      </c>
      <c r="R1118" s="17" t="s">
        <v>6960</v>
      </c>
      <c r="S1118" s="17" t="s">
        <v>6961</v>
      </c>
      <c r="T1118" s="17" t="s">
        <v>6962</v>
      </c>
      <c r="U1118" s="17" t="s">
        <v>6963</v>
      </c>
      <c r="V1118" s="17" t="s">
        <v>35</v>
      </c>
      <c r="W1118" s="17" t="s">
        <v>35</v>
      </c>
      <c r="X1118" s="17" t="s">
        <v>35</v>
      </c>
      <c r="Y1118" s="17" t="s">
        <v>35</v>
      </c>
      <c r="Z1118" s="17" t="s">
        <v>35</v>
      </c>
      <c r="AA1118" s="17" t="s">
        <v>35</v>
      </c>
      <c r="AB1118" s="17" t="s">
        <v>35</v>
      </c>
      <c r="AC1118" s="17" t="s">
        <v>9539</v>
      </c>
      <c r="AD1118" s="42">
        <v>53.8</v>
      </c>
      <c r="AE1118" s="42">
        <v>53.8</v>
      </c>
      <c r="AF1118" s="48"/>
      <c r="AG1118" s="44"/>
      <c r="AH1118" s="7">
        <f t="shared" si="17"/>
        <v>0</v>
      </c>
      <c r="AI1118" s="18"/>
      <c r="AJ1118" s="18"/>
    </row>
    <row r="1119" spans="1:38" ht="26.65" customHeight="1" x14ac:dyDescent="0.25">
      <c r="A1119" s="10" t="s">
        <v>6964</v>
      </c>
      <c r="B1119" s="9" t="s">
        <v>6905</v>
      </c>
      <c r="C1119" s="9" t="s">
        <v>43</v>
      </c>
      <c r="D1119" s="9" t="s">
        <v>6906</v>
      </c>
      <c r="E1119" s="9" t="s">
        <v>35</v>
      </c>
      <c r="F1119" s="9" t="s">
        <v>36</v>
      </c>
      <c r="G1119" s="9">
        <v>5</v>
      </c>
      <c r="H1119" s="9">
        <v>84213990</v>
      </c>
      <c r="I1119" s="11" t="s">
        <v>37</v>
      </c>
      <c r="J1119" s="12">
        <v>1.6500000000000001E-2</v>
      </c>
      <c r="K1119" s="12">
        <v>7.5999999999999998E-2</v>
      </c>
      <c r="L1119" s="12">
        <v>0</v>
      </c>
      <c r="M1119" s="13">
        <v>8003453181786</v>
      </c>
      <c r="N1119" s="14">
        <v>0.21</v>
      </c>
      <c r="O1119" s="14">
        <v>0.28999999999999998</v>
      </c>
      <c r="P1119" s="15">
        <v>45139</v>
      </c>
      <c r="Q1119" s="16" t="s">
        <v>6965</v>
      </c>
      <c r="R1119" s="17" t="s">
        <v>6966</v>
      </c>
      <c r="S1119" s="17" t="s">
        <v>6967</v>
      </c>
      <c r="T1119" s="17" t="s">
        <v>6968</v>
      </c>
      <c r="U1119" s="17" t="s">
        <v>35</v>
      </c>
      <c r="V1119" s="17" t="s">
        <v>35</v>
      </c>
      <c r="W1119" s="17" t="s">
        <v>35</v>
      </c>
      <c r="X1119" s="17" t="s">
        <v>6969</v>
      </c>
      <c r="Y1119" s="17" t="s">
        <v>35</v>
      </c>
      <c r="Z1119" s="17" t="s">
        <v>35</v>
      </c>
      <c r="AA1119" s="17" t="s">
        <v>35</v>
      </c>
      <c r="AB1119" s="17" t="s">
        <v>35</v>
      </c>
      <c r="AC1119" s="17" t="s">
        <v>9539</v>
      </c>
      <c r="AD1119" s="41">
        <v>64.36</v>
      </c>
      <c r="AE1119" s="41">
        <v>64.36</v>
      </c>
      <c r="AF1119" s="48"/>
      <c r="AG1119" s="44"/>
      <c r="AH1119" s="7">
        <f t="shared" si="17"/>
        <v>0</v>
      </c>
      <c r="AI1119" s="18"/>
      <c r="AJ1119" s="18"/>
      <c r="AL1119" s="18"/>
    </row>
    <row r="1120" spans="1:38" ht="26.65" customHeight="1" x14ac:dyDescent="0.25">
      <c r="A1120" s="10" t="s">
        <v>6970</v>
      </c>
      <c r="B1120" s="9" t="s">
        <v>6905</v>
      </c>
      <c r="C1120" s="9" t="s">
        <v>43</v>
      </c>
      <c r="D1120" s="9" t="s">
        <v>6906</v>
      </c>
      <c r="E1120" s="9" t="s">
        <v>35</v>
      </c>
      <c r="F1120" s="9" t="s">
        <v>36</v>
      </c>
      <c r="G1120" s="9">
        <v>5</v>
      </c>
      <c r="H1120" s="9">
        <v>84213990</v>
      </c>
      <c r="I1120" s="11" t="s">
        <v>37</v>
      </c>
      <c r="J1120" s="12">
        <v>1.6500000000000001E-2</v>
      </c>
      <c r="K1120" s="12">
        <v>7.5999999999999998E-2</v>
      </c>
      <c r="L1120" s="12">
        <v>0</v>
      </c>
      <c r="M1120" s="13">
        <v>8003453181823</v>
      </c>
      <c r="N1120" s="14">
        <v>0.33200000000000002</v>
      </c>
      <c r="O1120" s="14">
        <v>0.39200000000000002</v>
      </c>
      <c r="P1120" s="15">
        <v>44531</v>
      </c>
      <c r="Q1120" s="16" t="s">
        <v>6971</v>
      </c>
      <c r="R1120" s="17" t="s">
        <v>6972</v>
      </c>
      <c r="S1120" s="17" t="s">
        <v>6973</v>
      </c>
      <c r="T1120" s="17" t="s">
        <v>6974</v>
      </c>
      <c r="U1120" s="17" t="s">
        <v>6975</v>
      </c>
      <c r="V1120" s="17" t="s">
        <v>35</v>
      </c>
      <c r="W1120" s="17" t="s">
        <v>35</v>
      </c>
      <c r="X1120" s="17" t="s">
        <v>35</v>
      </c>
      <c r="Y1120" s="17" t="s">
        <v>35</v>
      </c>
      <c r="Z1120" s="17" t="s">
        <v>35</v>
      </c>
      <c r="AA1120" s="17" t="s">
        <v>35</v>
      </c>
      <c r="AB1120" s="17" t="s">
        <v>35</v>
      </c>
      <c r="AC1120" s="17" t="s">
        <v>9539</v>
      </c>
      <c r="AD1120" s="41">
        <v>76.7</v>
      </c>
      <c r="AE1120" s="41">
        <v>76.7</v>
      </c>
      <c r="AF1120" s="48"/>
      <c r="AG1120" s="44"/>
      <c r="AH1120" s="7">
        <f t="shared" si="17"/>
        <v>0</v>
      </c>
      <c r="AI1120" s="18"/>
      <c r="AJ1120" s="18"/>
      <c r="AL1120" s="18"/>
    </row>
    <row r="1121" spans="1:38" ht="26.65" customHeight="1" x14ac:dyDescent="0.25">
      <c r="A1121" s="10" t="s">
        <v>6976</v>
      </c>
      <c r="B1121" s="9" t="s">
        <v>6905</v>
      </c>
      <c r="C1121" s="9" t="s">
        <v>43</v>
      </c>
      <c r="D1121" s="9" t="s">
        <v>6906</v>
      </c>
      <c r="E1121" s="9" t="s">
        <v>35</v>
      </c>
      <c r="F1121" s="9" t="s">
        <v>36</v>
      </c>
      <c r="G1121" s="9">
        <v>5</v>
      </c>
      <c r="H1121" s="9">
        <v>84213990</v>
      </c>
      <c r="I1121" s="11" t="s">
        <v>37</v>
      </c>
      <c r="J1121" s="12">
        <v>1.6500000000000001E-2</v>
      </c>
      <c r="K1121" s="12">
        <v>7.5999999999999998E-2</v>
      </c>
      <c r="L1121" s="12">
        <v>0</v>
      </c>
      <c r="M1121" s="13">
        <v>8003453181830</v>
      </c>
      <c r="N1121" s="14">
        <v>0.18</v>
      </c>
      <c r="O1121" s="14">
        <v>0.24</v>
      </c>
      <c r="P1121" s="15">
        <v>44531</v>
      </c>
      <c r="Q1121" s="16" t="s">
        <v>6977</v>
      </c>
      <c r="R1121" s="17" t="s">
        <v>6978</v>
      </c>
      <c r="S1121" s="17" t="s">
        <v>6979</v>
      </c>
      <c r="T1121" s="17" t="s">
        <v>6980</v>
      </c>
      <c r="U1121" s="17" t="s">
        <v>35</v>
      </c>
      <c r="V1121" s="17" t="s">
        <v>35</v>
      </c>
      <c r="W1121" s="17" t="s">
        <v>35</v>
      </c>
      <c r="X1121" s="17" t="s">
        <v>35</v>
      </c>
      <c r="Y1121" s="17" t="s">
        <v>35</v>
      </c>
      <c r="Z1121" s="17" t="s">
        <v>35</v>
      </c>
      <c r="AA1121" s="17" t="s">
        <v>35</v>
      </c>
      <c r="AB1121" s="17" t="s">
        <v>35</v>
      </c>
      <c r="AC1121" s="17" t="s">
        <v>9539</v>
      </c>
      <c r="AD1121" s="42">
        <v>71.72</v>
      </c>
      <c r="AE1121" s="42">
        <v>71.72</v>
      </c>
      <c r="AF1121" s="48"/>
      <c r="AG1121" s="44"/>
      <c r="AH1121" s="7">
        <f t="shared" si="17"/>
        <v>0</v>
      </c>
      <c r="AI1121" s="18"/>
      <c r="AJ1121" s="18"/>
    </row>
    <row r="1122" spans="1:38" ht="26.65" customHeight="1" x14ac:dyDescent="0.25">
      <c r="A1122" s="10" t="s">
        <v>6981</v>
      </c>
      <c r="B1122" s="9" t="s">
        <v>6905</v>
      </c>
      <c r="C1122" s="9" t="s">
        <v>43</v>
      </c>
      <c r="D1122" s="9" t="s">
        <v>6906</v>
      </c>
      <c r="E1122" s="9" t="s">
        <v>35</v>
      </c>
      <c r="F1122" s="9" t="s">
        <v>36</v>
      </c>
      <c r="G1122" s="9">
        <v>5</v>
      </c>
      <c r="H1122" s="9">
        <v>84213990</v>
      </c>
      <c r="I1122" s="11" t="s">
        <v>37</v>
      </c>
      <c r="J1122" s="12">
        <v>1.6500000000000001E-2</v>
      </c>
      <c r="K1122" s="12">
        <v>7.5999999999999998E-2</v>
      </c>
      <c r="L1122" s="12">
        <v>0</v>
      </c>
      <c r="M1122" s="13">
        <v>8003453181847</v>
      </c>
      <c r="N1122" s="14">
        <v>0.12</v>
      </c>
      <c r="O1122" s="14">
        <v>0.18</v>
      </c>
      <c r="P1122" s="15">
        <v>44531</v>
      </c>
      <c r="Q1122" s="16" t="s">
        <v>6982</v>
      </c>
      <c r="R1122" s="17" t="s">
        <v>6983</v>
      </c>
      <c r="S1122" s="17" t="s">
        <v>35</v>
      </c>
      <c r="T1122" s="17" t="s">
        <v>35</v>
      </c>
      <c r="U1122" s="17" t="s">
        <v>35</v>
      </c>
      <c r="V1122" s="17" t="s">
        <v>35</v>
      </c>
      <c r="W1122" s="17" t="s">
        <v>35</v>
      </c>
      <c r="X1122" s="17" t="s">
        <v>35</v>
      </c>
      <c r="Y1122" s="17" t="s">
        <v>35</v>
      </c>
      <c r="Z1122" s="17" t="s">
        <v>35</v>
      </c>
      <c r="AA1122" s="17" t="s">
        <v>35</v>
      </c>
      <c r="AB1122" s="17" t="s">
        <v>35</v>
      </c>
      <c r="AC1122" s="17" t="s">
        <v>9539</v>
      </c>
      <c r="AD1122" s="42">
        <v>32.25</v>
      </c>
      <c r="AE1122" s="42">
        <v>32.25</v>
      </c>
      <c r="AF1122" s="48"/>
      <c r="AG1122" s="44"/>
      <c r="AH1122" s="7">
        <f t="shared" si="17"/>
        <v>0</v>
      </c>
      <c r="AI1122" s="18"/>
      <c r="AJ1122" s="18"/>
    </row>
    <row r="1123" spans="1:38" ht="26.65" customHeight="1" x14ac:dyDescent="0.25">
      <c r="A1123" s="10" t="s">
        <v>6984</v>
      </c>
      <c r="B1123" s="9" t="s">
        <v>6905</v>
      </c>
      <c r="C1123" s="9" t="s">
        <v>43</v>
      </c>
      <c r="D1123" s="9" t="s">
        <v>6906</v>
      </c>
      <c r="E1123" s="9" t="s">
        <v>35</v>
      </c>
      <c r="F1123" s="9" t="s">
        <v>36</v>
      </c>
      <c r="G1123" s="9">
        <v>5</v>
      </c>
      <c r="H1123" s="9">
        <v>84213990</v>
      </c>
      <c r="I1123" s="11" t="s">
        <v>37</v>
      </c>
      <c r="J1123" s="12">
        <v>1.6500000000000001E-2</v>
      </c>
      <c r="K1123" s="12">
        <v>7.5999999999999998E-2</v>
      </c>
      <c r="L1123" s="12">
        <v>0</v>
      </c>
      <c r="M1123" s="13">
        <v>8003453181885</v>
      </c>
      <c r="N1123" s="14">
        <v>0.15</v>
      </c>
      <c r="O1123" s="14">
        <v>0.21</v>
      </c>
      <c r="P1123" s="15">
        <v>44531</v>
      </c>
      <c r="Q1123" s="16" t="s">
        <v>6985</v>
      </c>
      <c r="R1123" s="17" t="s">
        <v>6986</v>
      </c>
      <c r="S1123" s="17" t="s">
        <v>6987</v>
      </c>
      <c r="T1123" s="17" t="s">
        <v>35</v>
      </c>
      <c r="U1123" s="17" t="s">
        <v>6988</v>
      </c>
      <c r="V1123" s="17" t="s">
        <v>35</v>
      </c>
      <c r="W1123" s="17" t="s">
        <v>35</v>
      </c>
      <c r="X1123" s="17" t="s">
        <v>35</v>
      </c>
      <c r="Y1123" s="17" t="s">
        <v>35</v>
      </c>
      <c r="Z1123" s="17" t="s">
        <v>35</v>
      </c>
      <c r="AA1123" s="17" t="s">
        <v>35</v>
      </c>
      <c r="AB1123" s="17" t="s">
        <v>35</v>
      </c>
      <c r="AC1123" s="17" t="s">
        <v>9539</v>
      </c>
      <c r="AD1123" s="41">
        <v>36.549999999999997</v>
      </c>
      <c r="AE1123" s="41">
        <v>36.549999999999997</v>
      </c>
      <c r="AF1123" s="48"/>
      <c r="AG1123" s="44"/>
      <c r="AH1123" s="7">
        <f t="shared" si="17"/>
        <v>0</v>
      </c>
      <c r="AI1123" s="18"/>
      <c r="AJ1123" s="18"/>
    </row>
    <row r="1124" spans="1:38" ht="26.65" customHeight="1" x14ac:dyDescent="0.25">
      <c r="A1124" s="10" t="s">
        <v>6989</v>
      </c>
      <c r="B1124" s="9" t="s">
        <v>6905</v>
      </c>
      <c r="C1124" s="9" t="s">
        <v>43</v>
      </c>
      <c r="D1124" s="9" t="s">
        <v>6906</v>
      </c>
      <c r="E1124" s="9" t="s">
        <v>35</v>
      </c>
      <c r="F1124" s="9" t="s">
        <v>36</v>
      </c>
      <c r="G1124" s="9">
        <v>5</v>
      </c>
      <c r="H1124" s="9">
        <v>84213990</v>
      </c>
      <c r="I1124" s="11" t="s">
        <v>37</v>
      </c>
      <c r="J1124" s="12">
        <v>1.6500000000000001E-2</v>
      </c>
      <c r="K1124" s="12">
        <v>7.5999999999999998E-2</v>
      </c>
      <c r="L1124" s="12">
        <v>0</v>
      </c>
      <c r="M1124" s="13">
        <v>8003453181892</v>
      </c>
      <c r="N1124" s="14">
        <v>0.14000000000000001</v>
      </c>
      <c r="O1124" s="14">
        <v>0.2</v>
      </c>
      <c r="P1124" s="15">
        <v>44531</v>
      </c>
      <c r="Q1124" s="16" t="s">
        <v>6990</v>
      </c>
      <c r="R1124" s="17" t="s">
        <v>6991</v>
      </c>
      <c r="S1124" s="17" t="s">
        <v>6992</v>
      </c>
      <c r="T1124" s="17" t="s">
        <v>35</v>
      </c>
      <c r="U1124" s="17" t="s">
        <v>6993</v>
      </c>
      <c r="V1124" s="17" t="s">
        <v>35</v>
      </c>
      <c r="W1124" s="17" t="s">
        <v>35</v>
      </c>
      <c r="X1124" s="17" t="s">
        <v>35</v>
      </c>
      <c r="Y1124" s="17" t="s">
        <v>35</v>
      </c>
      <c r="Z1124" s="17" t="s">
        <v>35</v>
      </c>
      <c r="AA1124" s="17" t="s">
        <v>35</v>
      </c>
      <c r="AB1124" s="17" t="s">
        <v>35</v>
      </c>
      <c r="AC1124" s="17" t="s">
        <v>9539</v>
      </c>
      <c r="AD1124" s="42">
        <v>53.41</v>
      </c>
      <c r="AE1124" s="42">
        <v>53.41</v>
      </c>
      <c r="AF1124" s="48"/>
      <c r="AG1124" s="44"/>
      <c r="AH1124" s="7">
        <f t="shared" si="17"/>
        <v>0</v>
      </c>
      <c r="AI1124" s="18"/>
      <c r="AJ1124" s="18"/>
    </row>
    <row r="1125" spans="1:38" ht="26.65" customHeight="1" x14ac:dyDescent="0.25">
      <c r="A1125" s="10" t="s">
        <v>6994</v>
      </c>
      <c r="B1125" s="9" t="s">
        <v>6905</v>
      </c>
      <c r="C1125" s="9" t="s">
        <v>43</v>
      </c>
      <c r="D1125" s="9" t="s">
        <v>6906</v>
      </c>
      <c r="E1125" s="9" t="s">
        <v>35</v>
      </c>
      <c r="F1125" s="9" t="s">
        <v>36</v>
      </c>
      <c r="G1125" s="9">
        <v>5</v>
      </c>
      <c r="H1125" s="9">
        <v>84213990</v>
      </c>
      <c r="I1125" s="11" t="s">
        <v>37</v>
      </c>
      <c r="J1125" s="12">
        <v>1.6500000000000001E-2</v>
      </c>
      <c r="K1125" s="12">
        <v>7.5999999999999998E-2</v>
      </c>
      <c r="L1125" s="12">
        <v>0</v>
      </c>
      <c r="M1125" s="13">
        <v>8003453182103</v>
      </c>
      <c r="N1125" s="14">
        <v>0.25</v>
      </c>
      <c r="O1125" s="14">
        <v>0.34</v>
      </c>
      <c r="P1125" s="15">
        <v>45108</v>
      </c>
      <c r="Q1125" s="16" t="s">
        <v>6995</v>
      </c>
      <c r="R1125" s="17" t="s">
        <v>6996</v>
      </c>
      <c r="S1125" s="17" t="s">
        <v>6997</v>
      </c>
      <c r="T1125" s="17" t="s">
        <v>6998</v>
      </c>
      <c r="U1125" s="17" t="s">
        <v>6999</v>
      </c>
      <c r="V1125" s="17" t="s">
        <v>35</v>
      </c>
      <c r="W1125" s="17" t="s">
        <v>35</v>
      </c>
      <c r="X1125" s="17" t="s">
        <v>7000</v>
      </c>
      <c r="Y1125" s="17" t="s">
        <v>7001</v>
      </c>
      <c r="Z1125" s="17" t="s">
        <v>35</v>
      </c>
      <c r="AA1125" s="17" t="s">
        <v>35</v>
      </c>
      <c r="AB1125" s="17" t="s">
        <v>35</v>
      </c>
      <c r="AC1125" s="17" t="s">
        <v>9539</v>
      </c>
      <c r="AD1125" s="42">
        <v>58.1</v>
      </c>
      <c r="AE1125" s="42">
        <v>58.1</v>
      </c>
      <c r="AF1125" s="48"/>
      <c r="AG1125" s="44"/>
      <c r="AH1125" s="7">
        <f t="shared" si="17"/>
        <v>0</v>
      </c>
      <c r="AI1125" s="18"/>
      <c r="AJ1125" s="18"/>
    </row>
    <row r="1126" spans="1:38" ht="26.65" customHeight="1" x14ac:dyDescent="0.25">
      <c r="A1126" s="10" t="s">
        <v>7002</v>
      </c>
      <c r="B1126" s="9" t="s">
        <v>6905</v>
      </c>
      <c r="C1126" s="9" t="s">
        <v>43</v>
      </c>
      <c r="D1126" s="9" t="s">
        <v>6906</v>
      </c>
      <c r="E1126" s="9" t="s">
        <v>35</v>
      </c>
      <c r="F1126" s="9" t="s">
        <v>36</v>
      </c>
      <c r="G1126" s="9">
        <v>5</v>
      </c>
      <c r="H1126" s="9">
        <v>84213990</v>
      </c>
      <c r="I1126" s="11" t="s">
        <v>37</v>
      </c>
      <c r="J1126" s="12">
        <v>1.6500000000000001E-2</v>
      </c>
      <c r="K1126" s="12">
        <v>7.5999999999999998E-2</v>
      </c>
      <c r="L1126" s="12">
        <v>0</v>
      </c>
      <c r="M1126" s="13">
        <v>8003453182110</v>
      </c>
      <c r="N1126" s="14">
        <v>0.16</v>
      </c>
      <c r="O1126" s="14">
        <v>0.23</v>
      </c>
      <c r="P1126" s="15">
        <v>44531</v>
      </c>
      <c r="Q1126" s="16" t="s">
        <v>7003</v>
      </c>
      <c r="R1126" s="17" t="s">
        <v>7004</v>
      </c>
      <c r="S1126" s="17" t="s">
        <v>7005</v>
      </c>
      <c r="T1126" s="17" t="s">
        <v>7006</v>
      </c>
      <c r="U1126" s="17" t="s">
        <v>35</v>
      </c>
      <c r="V1126" s="17" t="s">
        <v>35</v>
      </c>
      <c r="W1126" s="17" t="s">
        <v>35</v>
      </c>
      <c r="X1126" s="17" t="s">
        <v>35</v>
      </c>
      <c r="Y1126" s="17" t="s">
        <v>35</v>
      </c>
      <c r="Z1126" s="17" t="s">
        <v>35</v>
      </c>
      <c r="AA1126" s="17" t="s">
        <v>35</v>
      </c>
      <c r="AB1126" s="17" t="s">
        <v>35</v>
      </c>
      <c r="AC1126" s="17" t="s">
        <v>9539</v>
      </c>
      <c r="AD1126" s="41">
        <v>72.290000000000006</v>
      </c>
      <c r="AE1126" s="41">
        <v>72.290000000000006</v>
      </c>
      <c r="AF1126" s="48"/>
      <c r="AG1126" s="44"/>
      <c r="AH1126" s="7">
        <f t="shared" si="17"/>
        <v>0</v>
      </c>
      <c r="AI1126" s="18"/>
      <c r="AJ1126" s="18"/>
      <c r="AL1126" s="18"/>
    </row>
    <row r="1127" spans="1:38" ht="26.65" customHeight="1" x14ac:dyDescent="0.25">
      <c r="A1127" s="10" t="s">
        <v>7007</v>
      </c>
      <c r="B1127" s="9" t="s">
        <v>6905</v>
      </c>
      <c r="C1127" s="9" t="s">
        <v>43</v>
      </c>
      <c r="D1127" s="9" t="s">
        <v>6906</v>
      </c>
      <c r="E1127" s="9" t="s">
        <v>35</v>
      </c>
      <c r="F1127" s="9" t="s">
        <v>36</v>
      </c>
      <c r="G1127" s="9">
        <v>5</v>
      </c>
      <c r="H1127" s="9">
        <v>84213990</v>
      </c>
      <c r="I1127" s="11" t="s">
        <v>37</v>
      </c>
      <c r="J1127" s="12">
        <v>1.6500000000000001E-2</v>
      </c>
      <c r="K1127" s="12">
        <v>7.5999999999999998E-2</v>
      </c>
      <c r="L1127" s="12">
        <v>0</v>
      </c>
      <c r="M1127" s="13">
        <v>8003453182547</v>
      </c>
      <c r="N1127" s="14">
        <v>0.24</v>
      </c>
      <c r="O1127" s="14">
        <v>0.3</v>
      </c>
      <c r="P1127" s="15">
        <v>45139</v>
      </c>
      <c r="Q1127" s="16" t="s">
        <v>7008</v>
      </c>
      <c r="R1127" s="17" t="s">
        <v>7009</v>
      </c>
      <c r="S1127" s="17" t="s">
        <v>7010</v>
      </c>
      <c r="T1127" s="17" t="s">
        <v>35</v>
      </c>
      <c r="U1127" s="17" t="s">
        <v>35</v>
      </c>
      <c r="V1127" s="17" t="s">
        <v>35</v>
      </c>
      <c r="W1127" s="17" t="s">
        <v>35</v>
      </c>
      <c r="X1127" s="17" t="s">
        <v>35</v>
      </c>
      <c r="Y1127" s="17" t="s">
        <v>35</v>
      </c>
      <c r="Z1127" s="17" t="s">
        <v>35</v>
      </c>
      <c r="AA1127" s="17" t="s">
        <v>35</v>
      </c>
      <c r="AB1127" s="17" t="s">
        <v>35</v>
      </c>
      <c r="AC1127" s="17" t="s">
        <v>9539</v>
      </c>
      <c r="AD1127" s="42">
        <v>81.760000000000005</v>
      </c>
      <c r="AE1127" s="42">
        <v>81.760000000000005</v>
      </c>
      <c r="AF1127" s="48"/>
      <c r="AG1127" s="44"/>
      <c r="AH1127" s="7">
        <f t="shared" si="17"/>
        <v>0</v>
      </c>
      <c r="AI1127" s="18"/>
      <c r="AJ1127" s="18"/>
    </row>
    <row r="1128" spans="1:38" ht="26.65" customHeight="1" x14ac:dyDescent="0.25">
      <c r="A1128" s="10" t="s">
        <v>7011</v>
      </c>
      <c r="B1128" s="9" t="s">
        <v>6905</v>
      </c>
      <c r="C1128" s="9" t="s">
        <v>43</v>
      </c>
      <c r="D1128" s="9" t="s">
        <v>6906</v>
      </c>
      <c r="E1128" s="9" t="s">
        <v>35</v>
      </c>
      <c r="F1128" s="9" t="s">
        <v>36</v>
      </c>
      <c r="G1128" s="9">
        <v>5</v>
      </c>
      <c r="H1128" s="9">
        <v>84213990</v>
      </c>
      <c r="I1128" s="11" t="s">
        <v>37</v>
      </c>
      <c r="J1128" s="12">
        <v>1.6500000000000001E-2</v>
      </c>
      <c r="K1128" s="12">
        <v>7.5999999999999998E-2</v>
      </c>
      <c r="L1128" s="12">
        <v>0</v>
      </c>
      <c r="M1128" s="13">
        <v>8003453182578</v>
      </c>
      <c r="N1128" s="14">
        <v>0.27</v>
      </c>
      <c r="O1128" s="14">
        <v>0.34</v>
      </c>
      <c r="P1128" s="15">
        <v>45139</v>
      </c>
      <c r="Q1128" s="16" t="s">
        <v>7012</v>
      </c>
      <c r="R1128" s="17" t="s">
        <v>7013</v>
      </c>
      <c r="S1128" s="17" t="s">
        <v>7014</v>
      </c>
      <c r="T1128" s="17" t="s">
        <v>7015</v>
      </c>
      <c r="U1128" s="17" t="s">
        <v>35</v>
      </c>
      <c r="V1128" s="17" t="s">
        <v>35</v>
      </c>
      <c r="W1128" s="17" t="s">
        <v>35</v>
      </c>
      <c r="X1128" s="17" t="s">
        <v>35</v>
      </c>
      <c r="Y1128" s="17" t="s">
        <v>35</v>
      </c>
      <c r="Z1128" s="17" t="s">
        <v>35</v>
      </c>
      <c r="AA1128" s="17" t="s">
        <v>35</v>
      </c>
      <c r="AB1128" s="17" t="s">
        <v>35</v>
      </c>
      <c r="AC1128" s="17" t="s">
        <v>9539</v>
      </c>
      <c r="AD1128" s="42">
        <v>58.46</v>
      </c>
      <c r="AE1128" s="42">
        <v>58.46</v>
      </c>
      <c r="AF1128" s="48"/>
      <c r="AG1128" s="44"/>
      <c r="AH1128" s="7">
        <f t="shared" si="17"/>
        <v>0</v>
      </c>
      <c r="AI1128" s="18"/>
      <c r="AJ1128" s="18"/>
    </row>
    <row r="1129" spans="1:38" ht="26.65" customHeight="1" x14ac:dyDescent="0.25">
      <c r="A1129" s="10" t="s">
        <v>7016</v>
      </c>
      <c r="B1129" s="9" t="s">
        <v>6905</v>
      </c>
      <c r="C1129" s="9" t="s">
        <v>43</v>
      </c>
      <c r="D1129" s="9" t="s">
        <v>6906</v>
      </c>
      <c r="E1129" s="9" t="s">
        <v>35</v>
      </c>
      <c r="F1129" s="9" t="s">
        <v>36</v>
      </c>
      <c r="G1129" s="9">
        <v>5</v>
      </c>
      <c r="H1129" s="9">
        <v>84213990</v>
      </c>
      <c r="I1129" s="11" t="s">
        <v>37</v>
      </c>
      <c r="J1129" s="12">
        <v>1.6500000000000001E-2</v>
      </c>
      <c r="K1129" s="12">
        <v>7.5999999999999998E-2</v>
      </c>
      <c r="L1129" s="12">
        <v>0</v>
      </c>
      <c r="M1129" s="13">
        <v>8003453182349</v>
      </c>
      <c r="N1129" s="14">
        <v>0.1</v>
      </c>
      <c r="O1129" s="14">
        <v>0.15</v>
      </c>
      <c r="P1129" s="15">
        <v>45139</v>
      </c>
      <c r="Q1129" s="16" t="s">
        <v>7017</v>
      </c>
      <c r="R1129" s="17" t="s">
        <v>7018</v>
      </c>
      <c r="S1129" s="17" t="s">
        <v>7019</v>
      </c>
      <c r="T1129" s="17" t="s">
        <v>7020</v>
      </c>
      <c r="U1129" s="17" t="s">
        <v>35</v>
      </c>
      <c r="V1129" s="17" t="s">
        <v>35</v>
      </c>
      <c r="W1129" s="17" t="s">
        <v>35</v>
      </c>
      <c r="X1129" s="17" t="s">
        <v>35</v>
      </c>
      <c r="Y1129" s="17" t="s">
        <v>7021</v>
      </c>
      <c r="Z1129" s="17" t="s">
        <v>35</v>
      </c>
      <c r="AA1129" s="17" t="s">
        <v>35</v>
      </c>
      <c r="AB1129" s="17" t="s">
        <v>35</v>
      </c>
      <c r="AC1129" s="17" t="s">
        <v>9539</v>
      </c>
      <c r="AD1129" s="41">
        <v>36.75</v>
      </c>
      <c r="AE1129" s="41">
        <v>36.75</v>
      </c>
      <c r="AF1129" s="48"/>
      <c r="AG1129" s="44"/>
      <c r="AH1129" s="7">
        <f t="shared" si="17"/>
        <v>0</v>
      </c>
      <c r="AI1129" s="18"/>
      <c r="AJ1129" s="18"/>
    </row>
    <row r="1130" spans="1:38" ht="26.65" customHeight="1" x14ac:dyDescent="0.25">
      <c r="A1130" s="38" t="s">
        <v>7022</v>
      </c>
      <c r="B1130" s="9" t="s">
        <v>6924</v>
      </c>
      <c r="C1130" s="9" t="s">
        <v>43</v>
      </c>
      <c r="D1130" s="9" t="s">
        <v>6906</v>
      </c>
      <c r="E1130" s="9" t="s">
        <v>35</v>
      </c>
      <c r="F1130" s="9" t="s">
        <v>36</v>
      </c>
      <c r="G1130" s="9">
        <v>5</v>
      </c>
      <c r="H1130" s="9">
        <v>84213990</v>
      </c>
      <c r="I1130" s="11" t="s">
        <v>37</v>
      </c>
      <c r="J1130" s="12">
        <v>1.6500000000000001E-2</v>
      </c>
      <c r="K1130" s="12">
        <v>7.5999999999999998E-2</v>
      </c>
      <c r="L1130" s="12">
        <v>0</v>
      </c>
      <c r="M1130" s="13">
        <v>8003453182806</v>
      </c>
      <c r="N1130" s="14">
        <v>0.1</v>
      </c>
      <c r="O1130" s="14">
        <v>0.15</v>
      </c>
      <c r="P1130" s="15">
        <v>45170</v>
      </c>
      <c r="Q1130" s="16" t="s">
        <v>7023</v>
      </c>
      <c r="R1130" s="17" t="s">
        <v>7024</v>
      </c>
      <c r="S1130" s="17" t="s">
        <v>7025</v>
      </c>
      <c r="T1130" s="17" t="s">
        <v>7026</v>
      </c>
      <c r="U1130" s="17" t="s">
        <v>7027</v>
      </c>
      <c r="V1130" s="17" t="s">
        <v>7028</v>
      </c>
      <c r="W1130" s="17" t="s">
        <v>35</v>
      </c>
      <c r="X1130" s="17" t="s">
        <v>35</v>
      </c>
      <c r="Y1130" s="17" t="s">
        <v>7029</v>
      </c>
      <c r="Z1130" s="17" t="s">
        <v>35</v>
      </c>
      <c r="AA1130" s="17" t="s">
        <v>35</v>
      </c>
      <c r="AB1130" s="17" t="s">
        <v>35</v>
      </c>
      <c r="AC1130" s="17" t="s">
        <v>9538</v>
      </c>
      <c r="AD1130" s="42">
        <v>37.53</v>
      </c>
      <c r="AE1130" s="42">
        <v>37.53</v>
      </c>
      <c r="AF1130" s="48"/>
      <c r="AG1130" s="44"/>
      <c r="AH1130" s="7">
        <f t="shared" si="17"/>
        <v>0</v>
      </c>
      <c r="AI1130" s="18"/>
      <c r="AJ1130" s="18"/>
    </row>
    <row r="1131" spans="1:38" ht="26.65" customHeight="1" x14ac:dyDescent="0.25">
      <c r="A1131" s="10" t="s">
        <v>7030</v>
      </c>
      <c r="B1131" s="9" t="s">
        <v>6905</v>
      </c>
      <c r="C1131" s="9" t="s">
        <v>43</v>
      </c>
      <c r="D1131" s="9" t="s">
        <v>6906</v>
      </c>
      <c r="E1131" s="9" t="s">
        <v>35</v>
      </c>
      <c r="F1131" s="9" t="s">
        <v>36</v>
      </c>
      <c r="G1131" s="9">
        <v>6</v>
      </c>
      <c r="H1131" s="9">
        <v>84213990</v>
      </c>
      <c r="I1131" s="11" t="s">
        <v>37</v>
      </c>
      <c r="J1131" s="12">
        <v>1.6500000000000001E-2</v>
      </c>
      <c r="K1131" s="12">
        <v>7.5999999999999998E-2</v>
      </c>
      <c r="L1131" s="12">
        <v>0</v>
      </c>
      <c r="M1131" s="13">
        <v>8003453174474</v>
      </c>
      <c r="N1131" s="14">
        <v>0.23</v>
      </c>
      <c r="O1131" s="14">
        <v>0.3</v>
      </c>
      <c r="P1131" s="15">
        <v>45108</v>
      </c>
      <c r="Q1131" s="16" t="s">
        <v>7031</v>
      </c>
      <c r="R1131" s="17" t="s">
        <v>7032</v>
      </c>
      <c r="S1131" s="17" t="s">
        <v>7033</v>
      </c>
      <c r="T1131" s="17" t="s">
        <v>7034</v>
      </c>
      <c r="U1131" s="17" t="s">
        <v>7035</v>
      </c>
      <c r="V1131" s="17" t="s">
        <v>35</v>
      </c>
      <c r="W1131" s="17" t="s">
        <v>35</v>
      </c>
      <c r="X1131" s="17" t="s">
        <v>35</v>
      </c>
      <c r="Y1131" s="17" t="s">
        <v>7036</v>
      </c>
      <c r="Z1131" s="17" t="s">
        <v>35</v>
      </c>
      <c r="AA1131" s="17" t="s">
        <v>35</v>
      </c>
      <c r="AB1131" s="17" t="s">
        <v>35</v>
      </c>
      <c r="AC1131" s="17" t="s">
        <v>9539</v>
      </c>
      <c r="AD1131" s="42">
        <v>86.94</v>
      </c>
      <c r="AE1131" s="42">
        <v>86.94</v>
      </c>
      <c r="AF1131" s="48"/>
      <c r="AG1131" s="44"/>
      <c r="AH1131" s="7">
        <f t="shared" si="17"/>
        <v>0</v>
      </c>
      <c r="AI1131" s="18"/>
      <c r="AJ1131" s="18"/>
    </row>
    <row r="1132" spans="1:38" ht="26.65" customHeight="1" x14ac:dyDescent="0.25">
      <c r="A1132" s="10" t="s">
        <v>7037</v>
      </c>
      <c r="B1132" s="9" t="s">
        <v>6905</v>
      </c>
      <c r="C1132" s="9" t="s">
        <v>43</v>
      </c>
      <c r="D1132" s="9" t="s">
        <v>6906</v>
      </c>
      <c r="E1132" s="9" t="s">
        <v>35</v>
      </c>
      <c r="F1132" s="9" t="s">
        <v>36</v>
      </c>
      <c r="G1132" s="9">
        <v>5</v>
      </c>
      <c r="H1132" s="9">
        <v>84213990</v>
      </c>
      <c r="I1132" s="11" t="s">
        <v>37</v>
      </c>
      <c r="J1132" s="12">
        <v>1.6500000000000001E-2</v>
      </c>
      <c r="K1132" s="12">
        <v>7.5999999999999998E-2</v>
      </c>
      <c r="L1132" s="12">
        <v>0</v>
      </c>
      <c r="M1132" s="13">
        <v>8003453174504</v>
      </c>
      <c r="N1132" s="14">
        <v>0.2</v>
      </c>
      <c r="O1132" s="14">
        <v>0.28999999999999998</v>
      </c>
      <c r="P1132" s="15">
        <v>45200</v>
      </c>
      <c r="Q1132" s="16" t="s">
        <v>7038</v>
      </c>
      <c r="R1132" s="17" t="s">
        <v>7039</v>
      </c>
      <c r="S1132" s="17" t="s">
        <v>7040</v>
      </c>
      <c r="T1132" s="17" t="s">
        <v>7041</v>
      </c>
      <c r="U1132" s="17" t="s">
        <v>7042</v>
      </c>
      <c r="V1132" s="17" t="s">
        <v>35</v>
      </c>
      <c r="W1132" s="17" t="s">
        <v>35</v>
      </c>
      <c r="X1132" s="17" t="s">
        <v>35</v>
      </c>
      <c r="Y1132" s="17" t="s">
        <v>35</v>
      </c>
      <c r="Z1132" s="17" t="s">
        <v>35</v>
      </c>
      <c r="AA1132" s="17" t="s">
        <v>35</v>
      </c>
      <c r="AB1132" s="17" t="s">
        <v>35</v>
      </c>
      <c r="AC1132" s="17" t="s">
        <v>9539</v>
      </c>
      <c r="AD1132" s="41">
        <v>57.58</v>
      </c>
      <c r="AE1132" s="41">
        <v>57.58</v>
      </c>
      <c r="AF1132" s="48"/>
      <c r="AG1132" s="44"/>
      <c r="AH1132" s="7">
        <f t="shared" si="17"/>
        <v>0</v>
      </c>
      <c r="AI1132" s="18"/>
      <c r="AJ1132" s="18"/>
      <c r="AL1132" s="18"/>
    </row>
    <row r="1133" spans="1:38" ht="26.65" customHeight="1" x14ac:dyDescent="0.25">
      <c r="A1133" s="10" t="s">
        <v>9357</v>
      </c>
      <c r="B1133" s="9" t="s">
        <v>6905</v>
      </c>
      <c r="C1133" s="9" t="s">
        <v>43</v>
      </c>
      <c r="D1133" s="9" t="s">
        <v>6906</v>
      </c>
      <c r="E1133" s="9" t="s">
        <v>35</v>
      </c>
      <c r="F1133" s="9" t="s">
        <v>36</v>
      </c>
      <c r="G1133" s="9">
        <v>4</v>
      </c>
      <c r="H1133" s="9">
        <v>84213990</v>
      </c>
      <c r="I1133" s="11" t="s">
        <v>37</v>
      </c>
      <c r="J1133" s="12">
        <v>1.6500000000000001E-2</v>
      </c>
      <c r="K1133" s="12">
        <v>7.5999999999999998E-2</v>
      </c>
      <c r="L1133" s="12">
        <v>0</v>
      </c>
      <c r="M1133" s="13" t="s">
        <v>35</v>
      </c>
      <c r="N1133" s="14">
        <v>0</v>
      </c>
      <c r="O1133" s="14">
        <v>0</v>
      </c>
      <c r="P1133" s="15">
        <v>45444</v>
      </c>
      <c r="Q1133" s="16" t="s">
        <v>9358</v>
      </c>
      <c r="R1133" s="17" t="s">
        <v>35</v>
      </c>
      <c r="S1133" s="17" t="s">
        <v>9359</v>
      </c>
      <c r="T1133" s="17" t="s">
        <v>9360</v>
      </c>
      <c r="U1133" s="17" t="s">
        <v>9361</v>
      </c>
      <c r="V1133" s="17" t="s">
        <v>35</v>
      </c>
      <c r="W1133" s="17" t="s">
        <v>35</v>
      </c>
      <c r="X1133" s="17" t="s">
        <v>35</v>
      </c>
      <c r="Y1133" s="17" t="s">
        <v>9362</v>
      </c>
      <c r="Z1133" s="17" t="s">
        <v>35</v>
      </c>
      <c r="AA1133" s="17" t="s">
        <v>35</v>
      </c>
      <c r="AB1133" s="17" t="s">
        <v>35</v>
      </c>
      <c r="AC1133" s="17" t="s">
        <v>9539</v>
      </c>
      <c r="AD1133" s="42">
        <v>63.12</v>
      </c>
      <c r="AE1133" s="42">
        <v>63.12</v>
      </c>
      <c r="AF1133" s="48"/>
      <c r="AG1133" s="44"/>
      <c r="AH1133" s="7">
        <f t="shared" si="17"/>
        <v>0</v>
      </c>
      <c r="AI1133" s="18"/>
      <c r="AJ1133" s="18"/>
    </row>
    <row r="1134" spans="1:38" ht="26.65" customHeight="1" x14ac:dyDescent="0.25">
      <c r="A1134" s="10" t="s">
        <v>7043</v>
      </c>
      <c r="B1134" s="9" t="s">
        <v>6905</v>
      </c>
      <c r="C1134" s="9" t="s">
        <v>43</v>
      </c>
      <c r="D1134" s="9" t="s">
        <v>6906</v>
      </c>
      <c r="E1134" s="9" t="s">
        <v>35</v>
      </c>
      <c r="F1134" s="9" t="s">
        <v>36</v>
      </c>
      <c r="G1134" s="9">
        <v>5</v>
      </c>
      <c r="H1134" s="9">
        <v>84213990</v>
      </c>
      <c r="I1134" s="11" t="s">
        <v>37</v>
      </c>
      <c r="J1134" s="12">
        <v>1.6500000000000001E-2</v>
      </c>
      <c r="K1134" s="12">
        <v>7.5999999999999998E-2</v>
      </c>
      <c r="L1134" s="12">
        <v>0</v>
      </c>
      <c r="M1134" s="13">
        <v>8003453174603</v>
      </c>
      <c r="N1134" s="14">
        <v>0.15</v>
      </c>
      <c r="O1134" s="14">
        <v>0.2</v>
      </c>
      <c r="P1134" s="15">
        <v>45139</v>
      </c>
      <c r="Q1134" s="16" t="s">
        <v>7044</v>
      </c>
      <c r="R1134" s="17" t="s">
        <v>7045</v>
      </c>
      <c r="S1134" s="17" t="s">
        <v>7046</v>
      </c>
      <c r="T1134" s="17" t="s">
        <v>35</v>
      </c>
      <c r="U1134" s="17" t="s">
        <v>35</v>
      </c>
      <c r="V1134" s="17" t="s">
        <v>35</v>
      </c>
      <c r="W1134" s="17" t="s">
        <v>35</v>
      </c>
      <c r="X1134" s="17" t="s">
        <v>35</v>
      </c>
      <c r="Y1134" s="17" t="s">
        <v>35</v>
      </c>
      <c r="Z1134" s="17" t="s">
        <v>35</v>
      </c>
      <c r="AA1134" s="17" t="s">
        <v>35</v>
      </c>
      <c r="AB1134" s="17" t="s">
        <v>35</v>
      </c>
      <c r="AC1134" s="17" t="s">
        <v>9539</v>
      </c>
      <c r="AD1134" s="42">
        <v>51.85</v>
      </c>
      <c r="AE1134" s="42">
        <v>51.85</v>
      </c>
      <c r="AF1134" s="48"/>
      <c r="AG1134" s="44"/>
      <c r="AH1134" s="7">
        <f t="shared" si="17"/>
        <v>0</v>
      </c>
      <c r="AI1134" s="18"/>
      <c r="AJ1134" s="18"/>
    </row>
    <row r="1135" spans="1:38" ht="26.65" customHeight="1" x14ac:dyDescent="0.25">
      <c r="A1135" s="10" t="s">
        <v>8950</v>
      </c>
      <c r="B1135" s="9" t="s">
        <v>6905</v>
      </c>
      <c r="C1135" s="9" t="s">
        <v>43</v>
      </c>
      <c r="D1135" s="9" t="s">
        <v>6906</v>
      </c>
      <c r="E1135" s="9" t="s">
        <v>35</v>
      </c>
      <c r="F1135" s="9" t="s">
        <v>36</v>
      </c>
      <c r="G1135" s="9">
        <v>5</v>
      </c>
      <c r="H1135" s="9">
        <v>84213990</v>
      </c>
      <c r="I1135" s="11" t="s">
        <v>37</v>
      </c>
      <c r="J1135" s="12">
        <v>1.6500000000000001E-2</v>
      </c>
      <c r="K1135" s="12">
        <v>7.5999999999999998E-2</v>
      </c>
      <c r="L1135" s="12">
        <v>0</v>
      </c>
      <c r="M1135" s="13">
        <v>8003453174627</v>
      </c>
      <c r="N1135" s="14">
        <v>0.08</v>
      </c>
      <c r="O1135" s="14">
        <v>0.14000000000000001</v>
      </c>
      <c r="P1135" s="15">
        <v>45352</v>
      </c>
      <c r="Q1135" s="16" t="s">
        <v>8951</v>
      </c>
      <c r="R1135" s="17" t="s">
        <v>8952</v>
      </c>
      <c r="S1135" s="17" t="s">
        <v>8953</v>
      </c>
      <c r="T1135" s="17" t="s">
        <v>35</v>
      </c>
      <c r="U1135" s="17" t="s">
        <v>35</v>
      </c>
      <c r="V1135" s="17" t="s">
        <v>35</v>
      </c>
      <c r="W1135" s="17" t="s">
        <v>35</v>
      </c>
      <c r="X1135" s="17" t="s">
        <v>35</v>
      </c>
      <c r="Y1135" s="17" t="s">
        <v>8954</v>
      </c>
      <c r="Z1135" s="17" t="s">
        <v>35</v>
      </c>
      <c r="AA1135" s="17" t="s">
        <v>35</v>
      </c>
      <c r="AB1135" s="17" t="s">
        <v>35</v>
      </c>
      <c r="AC1135" s="17" t="s">
        <v>9539</v>
      </c>
      <c r="AD1135" s="42">
        <v>34.630000000000003</v>
      </c>
      <c r="AE1135" s="42">
        <v>34.630000000000003</v>
      </c>
      <c r="AF1135" s="48"/>
      <c r="AG1135" s="44"/>
      <c r="AH1135" s="7">
        <f t="shared" si="17"/>
        <v>0</v>
      </c>
      <c r="AI1135" s="18"/>
      <c r="AJ1135" s="18"/>
    </row>
    <row r="1136" spans="1:38" ht="26.65" customHeight="1" x14ac:dyDescent="0.25">
      <c r="A1136" s="10" t="s">
        <v>7047</v>
      </c>
      <c r="B1136" s="9" t="s">
        <v>6905</v>
      </c>
      <c r="C1136" s="9" t="s">
        <v>43</v>
      </c>
      <c r="D1136" s="9" t="s">
        <v>6906</v>
      </c>
      <c r="E1136" s="9" t="s">
        <v>35</v>
      </c>
      <c r="F1136" s="9" t="s">
        <v>36</v>
      </c>
      <c r="G1136" s="9">
        <v>5</v>
      </c>
      <c r="H1136" s="9">
        <v>84213990</v>
      </c>
      <c r="I1136" s="11" t="s">
        <v>37</v>
      </c>
      <c r="J1136" s="12">
        <v>1.6500000000000001E-2</v>
      </c>
      <c r="K1136" s="12">
        <v>7.5999999999999998E-2</v>
      </c>
      <c r="L1136" s="12">
        <v>0</v>
      </c>
      <c r="M1136" s="13">
        <v>8003453182950</v>
      </c>
      <c r="N1136" s="14">
        <v>0.16</v>
      </c>
      <c r="O1136" s="14">
        <v>0.22</v>
      </c>
      <c r="P1136" s="15">
        <v>44986</v>
      </c>
      <c r="Q1136" s="16" t="s">
        <v>7048</v>
      </c>
      <c r="R1136" s="17" t="s">
        <v>7049</v>
      </c>
      <c r="S1136" s="17" t="s">
        <v>7050</v>
      </c>
      <c r="T1136" s="17" t="s">
        <v>7051</v>
      </c>
      <c r="U1136" s="17" t="s">
        <v>35</v>
      </c>
      <c r="V1136" s="17" t="s">
        <v>35</v>
      </c>
      <c r="W1136" s="17" t="s">
        <v>35</v>
      </c>
      <c r="X1136" s="17" t="s">
        <v>35</v>
      </c>
      <c r="Y1136" s="17" t="s">
        <v>7052</v>
      </c>
      <c r="Z1136" s="17" t="s">
        <v>35</v>
      </c>
      <c r="AA1136" s="17" t="s">
        <v>35</v>
      </c>
      <c r="AB1136" s="17" t="s">
        <v>35</v>
      </c>
      <c r="AC1136" s="17" t="s">
        <v>9539</v>
      </c>
      <c r="AD1136" s="42">
        <v>62.94</v>
      </c>
      <c r="AE1136" s="42">
        <v>62.94</v>
      </c>
      <c r="AF1136" s="48"/>
      <c r="AG1136" s="44"/>
      <c r="AH1136" s="7">
        <f t="shared" si="17"/>
        <v>0</v>
      </c>
      <c r="AI1136" s="18"/>
      <c r="AJ1136" s="18"/>
    </row>
    <row r="1137" spans="1:38" ht="26.65" customHeight="1" x14ac:dyDescent="0.25">
      <c r="A1137" s="10" t="s">
        <v>8955</v>
      </c>
      <c r="B1137" s="9" t="s">
        <v>8139</v>
      </c>
      <c r="C1137" s="9" t="s">
        <v>34</v>
      </c>
      <c r="D1137" s="9" t="s">
        <v>8140</v>
      </c>
      <c r="E1137" s="9" t="s">
        <v>122</v>
      </c>
      <c r="F1137" s="9" t="s">
        <v>36</v>
      </c>
      <c r="G1137" s="9">
        <v>1</v>
      </c>
      <c r="H1137" s="9">
        <v>84219999</v>
      </c>
      <c r="I1137" s="11" t="s">
        <v>37</v>
      </c>
      <c r="J1137" s="12">
        <v>1.6500000000000001E-2</v>
      </c>
      <c r="K1137" s="12">
        <v>7.5999999999999998E-2</v>
      </c>
      <c r="L1137" s="12">
        <v>5.1999999999999998E-2</v>
      </c>
      <c r="M1137" s="13" t="s">
        <v>35</v>
      </c>
      <c r="N1137" s="14" t="s">
        <v>35</v>
      </c>
      <c r="O1137" s="14" t="s">
        <v>35</v>
      </c>
      <c r="P1137" s="15">
        <v>45352</v>
      </c>
      <c r="Q1137" s="16" t="s">
        <v>8956</v>
      </c>
      <c r="R1137" s="17" t="s">
        <v>35</v>
      </c>
      <c r="S1137" s="17" t="s">
        <v>35</v>
      </c>
      <c r="T1137" s="17" t="s">
        <v>35</v>
      </c>
      <c r="U1137" s="17" t="s">
        <v>35</v>
      </c>
      <c r="V1137" s="17" t="s">
        <v>35</v>
      </c>
      <c r="W1137" s="17" t="s">
        <v>35</v>
      </c>
      <c r="X1137" s="17" t="s">
        <v>35</v>
      </c>
      <c r="Y1137" s="17" t="s">
        <v>35</v>
      </c>
      <c r="Z1137" s="17" t="s">
        <v>35</v>
      </c>
      <c r="AA1137" s="17" t="s">
        <v>8957</v>
      </c>
      <c r="AB1137" s="17" t="s">
        <v>35</v>
      </c>
      <c r="AC1137" s="17" t="s">
        <v>9539</v>
      </c>
      <c r="AD1137" s="41">
        <v>155.66999999999999</v>
      </c>
      <c r="AE1137" s="41">
        <v>163.76</v>
      </c>
      <c r="AF1137" s="48"/>
      <c r="AG1137" s="44"/>
      <c r="AH1137" s="7">
        <f t="shared" si="17"/>
        <v>0</v>
      </c>
      <c r="AI1137" s="18"/>
      <c r="AJ1137" s="18"/>
    </row>
    <row r="1138" spans="1:38" ht="26.65" customHeight="1" x14ac:dyDescent="0.25">
      <c r="A1138" s="10" t="s">
        <v>9363</v>
      </c>
      <c r="B1138" s="9" t="s">
        <v>7054</v>
      </c>
      <c r="C1138" s="9" t="s">
        <v>58</v>
      </c>
      <c r="D1138" s="9" t="s">
        <v>7055</v>
      </c>
      <c r="E1138" s="9" t="s">
        <v>35</v>
      </c>
      <c r="F1138" s="9" t="s">
        <v>36</v>
      </c>
      <c r="G1138" s="9">
        <v>6</v>
      </c>
      <c r="H1138" s="9">
        <v>84219999</v>
      </c>
      <c r="I1138" s="11" t="s">
        <v>37</v>
      </c>
      <c r="J1138" s="12">
        <v>1.6500000000000001E-2</v>
      </c>
      <c r="K1138" s="12">
        <v>7.5999999999999998E-2</v>
      </c>
      <c r="L1138" s="12">
        <v>5.1999999999999998E-2</v>
      </c>
      <c r="M1138" s="13">
        <v>8003453810334</v>
      </c>
      <c r="N1138" s="14">
        <v>0.14399999999999999</v>
      </c>
      <c r="O1138" s="14">
        <v>0.14599999999999999</v>
      </c>
      <c r="P1138" s="15">
        <v>45444</v>
      </c>
      <c r="Q1138" s="16" t="s">
        <v>9364</v>
      </c>
      <c r="R1138" s="17" t="s">
        <v>9365</v>
      </c>
      <c r="S1138" s="17" t="s">
        <v>9366</v>
      </c>
      <c r="T1138" s="17" t="s">
        <v>9367</v>
      </c>
      <c r="U1138" s="17" t="s">
        <v>9368</v>
      </c>
      <c r="V1138" s="17" t="s">
        <v>9369</v>
      </c>
      <c r="W1138" s="17" t="s">
        <v>9370</v>
      </c>
      <c r="X1138" s="17" t="s">
        <v>35</v>
      </c>
      <c r="Y1138" s="17" t="s">
        <v>9371</v>
      </c>
      <c r="Z1138" s="17" t="s">
        <v>9372</v>
      </c>
      <c r="AA1138" s="17" t="s">
        <v>35</v>
      </c>
      <c r="AB1138" s="17" t="s">
        <v>9373</v>
      </c>
      <c r="AC1138" s="17" t="s">
        <v>9539</v>
      </c>
      <c r="AD1138" s="42">
        <v>80.67</v>
      </c>
      <c r="AE1138" s="42">
        <v>84.86</v>
      </c>
      <c r="AF1138" s="48"/>
      <c r="AG1138" s="44"/>
      <c r="AH1138" s="7">
        <f t="shared" si="17"/>
        <v>0</v>
      </c>
      <c r="AI1138" s="18"/>
      <c r="AJ1138" s="18"/>
    </row>
    <row r="1139" spans="1:38" ht="26.65" customHeight="1" x14ac:dyDescent="0.25">
      <c r="A1139" s="38" t="s">
        <v>7053</v>
      </c>
      <c r="B1139" s="9" t="s">
        <v>7054</v>
      </c>
      <c r="C1139" s="9" t="s">
        <v>58</v>
      </c>
      <c r="D1139" s="9" t="s">
        <v>7055</v>
      </c>
      <c r="E1139" s="9" t="s">
        <v>35</v>
      </c>
      <c r="F1139" s="9" t="s">
        <v>36</v>
      </c>
      <c r="G1139" s="9">
        <v>6</v>
      </c>
      <c r="H1139" s="9">
        <v>84219999</v>
      </c>
      <c r="I1139" s="11" t="s">
        <v>37</v>
      </c>
      <c r="J1139" s="12">
        <v>1.6500000000000001E-2</v>
      </c>
      <c r="K1139" s="12">
        <v>7.5999999999999998E-2</v>
      </c>
      <c r="L1139" s="12">
        <v>5.1999999999999998E-2</v>
      </c>
      <c r="M1139" s="13">
        <v>8003453808768</v>
      </c>
      <c r="N1139" s="14">
        <v>0.3</v>
      </c>
      <c r="O1139" s="14">
        <v>0.46</v>
      </c>
      <c r="P1139" s="15">
        <v>45139</v>
      </c>
      <c r="Q1139" s="16" t="s">
        <v>7056</v>
      </c>
      <c r="R1139" s="17" t="s">
        <v>7057</v>
      </c>
      <c r="S1139" s="17" t="s">
        <v>7058</v>
      </c>
      <c r="T1139" s="17" t="s">
        <v>7059</v>
      </c>
      <c r="U1139" s="17" t="s">
        <v>35</v>
      </c>
      <c r="V1139" s="17" t="s">
        <v>7060</v>
      </c>
      <c r="W1139" s="17" t="s">
        <v>7061</v>
      </c>
      <c r="X1139" s="17" t="s">
        <v>35</v>
      </c>
      <c r="Y1139" s="17" t="s">
        <v>7062</v>
      </c>
      <c r="Z1139" s="17" t="s">
        <v>7063</v>
      </c>
      <c r="AA1139" s="17" t="s">
        <v>35</v>
      </c>
      <c r="AB1139" s="17" t="s">
        <v>35</v>
      </c>
      <c r="AC1139" s="17" t="s">
        <v>9538</v>
      </c>
      <c r="AD1139" s="42">
        <v>47.34</v>
      </c>
      <c r="AE1139" s="42">
        <v>49.8</v>
      </c>
      <c r="AF1139" s="48"/>
      <c r="AG1139" s="44"/>
      <c r="AH1139" s="7">
        <f t="shared" si="17"/>
        <v>0</v>
      </c>
      <c r="AI1139" s="18"/>
      <c r="AJ1139" s="18"/>
    </row>
    <row r="1140" spans="1:38" ht="26.65" customHeight="1" x14ac:dyDescent="0.25">
      <c r="A1140" s="38" t="s">
        <v>7064</v>
      </c>
      <c r="B1140" s="9" t="s">
        <v>7054</v>
      </c>
      <c r="C1140" s="9" t="s">
        <v>154</v>
      </c>
      <c r="D1140" s="9" t="s">
        <v>7055</v>
      </c>
      <c r="E1140" s="9" t="s">
        <v>35</v>
      </c>
      <c r="F1140" s="9" t="s">
        <v>36</v>
      </c>
      <c r="G1140" s="9">
        <v>1</v>
      </c>
      <c r="H1140" s="9">
        <v>84219999</v>
      </c>
      <c r="I1140" s="11" t="s">
        <v>37</v>
      </c>
      <c r="J1140" s="12">
        <v>1.6500000000000001E-2</v>
      </c>
      <c r="K1140" s="12">
        <v>7.5999999999999998E-2</v>
      </c>
      <c r="L1140" s="12">
        <v>5.1999999999999998E-2</v>
      </c>
      <c r="M1140" s="13">
        <v>8003453230057</v>
      </c>
      <c r="N1140" s="14">
        <v>1E-3</v>
      </c>
      <c r="O1140" s="14">
        <v>2E-3</v>
      </c>
      <c r="P1140" s="15">
        <v>44958</v>
      </c>
      <c r="Q1140" s="16" t="s">
        <v>7065</v>
      </c>
      <c r="R1140" s="17" t="s">
        <v>7066</v>
      </c>
      <c r="S1140" s="17" t="s">
        <v>7067</v>
      </c>
      <c r="T1140" s="17" t="s">
        <v>35</v>
      </c>
      <c r="U1140" s="17" t="s">
        <v>35</v>
      </c>
      <c r="V1140" s="17" t="s">
        <v>35</v>
      </c>
      <c r="W1140" s="17" t="s">
        <v>35</v>
      </c>
      <c r="X1140" s="17" t="s">
        <v>35</v>
      </c>
      <c r="Y1140" s="17" t="s">
        <v>35</v>
      </c>
      <c r="Z1140" s="17" t="s">
        <v>35</v>
      </c>
      <c r="AA1140" s="17" t="s">
        <v>35</v>
      </c>
      <c r="AB1140" s="17" t="s">
        <v>35</v>
      </c>
      <c r="AC1140" s="17" t="s">
        <v>9538</v>
      </c>
      <c r="AD1140" s="42">
        <v>38.76</v>
      </c>
      <c r="AE1140" s="42">
        <v>40.78</v>
      </c>
      <c r="AF1140" s="48"/>
      <c r="AG1140" s="44"/>
      <c r="AH1140" s="7">
        <f t="shared" si="17"/>
        <v>0</v>
      </c>
      <c r="AI1140" s="18"/>
      <c r="AJ1140" s="18"/>
    </row>
    <row r="1141" spans="1:38" ht="26.65" customHeight="1" x14ac:dyDescent="0.25">
      <c r="A1141" s="10" t="s">
        <v>10409</v>
      </c>
      <c r="B1141" s="9" t="s">
        <v>7054</v>
      </c>
      <c r="C1141" s="9" t="s">
        <v>58</v>
      </c>
      <c r="D1141" s="9" t="s">
        <v>10410</v>
      </c>
      <c r="E1141" s="9" t="s">
        <v>35</v>
      </c>
      <c r="F1141" s="9" t="s">
        <v>36</v>
      </c>
      <c r="G1141" s="9">
        <v>1</v>
      </c>
      <c r="H1141" s="9">
        <v>84219999</v>
      </c>
      <c r="I1141" s="11" t="s">
        <v>37</v>
      </c>
      <c r="J1141" s="12">
        <v>1.6500000000000001E-2</v>
      </c>
      <c r="K1141" s="12">
        <v>7.5999999999999998E-2</v>
      </c>
      <c r="L1141" s="12">
        <v>5.1999999999999998E-2</v>
      </c>
      <c r="M1141" s="13">
        <v>8003453803510</v>
      </c>
      <c r="N1141" s="14">
        <v>0</v>
      </c>
      <c r="O1141" s="14">
        <v>0</v>
      </c>
      <c r="P1141" s="15">
        <v>45566</v>
      </c>
      <c r="Q1141" s="16" t="s">
        <v>10411</v>
      </c>
      <c r="R1141" s="17" t="s">
        <v>10412</v>
      </c>
      <c r="S1141" s="17" t="s">
        <v>10412</v>
      </c>
      <c r="T1141" s="17" t="s">
        <v>35</v>
      </c>
      <c r="U1141" s="17" t="s">
        <v>35</v>
      </c>
      <c r="V1141" s="17" t="s">
        <v>35</v>
      </c>
      <c r="W1141" s="17" t="s">
        <v>35</v>
      </c>
      <c r="X1141" s="17" t="s">
        <v>35</v>
      </c>
      <c r="Y1141" s="17" t="s">
        <v>10413</v>
      </c>
      <c r="Z1141" s="17" t="s">
        <v>10414</v>
      </c>
      <c r="AA1141" s="17" t="s">
        <v>35</v>
      </c>
      <c r="AB1141" s="17" t="s">
        <v>35</v>
      </c>
      <c r="AC1141" s="17" t="s">
        <v>9539</v>
      </c>
      <c r="AD1141" s="41">
        <v>15.46</v>
      </c>
      <c r="AE1141" s="41">
        <v>16.260000000000002</v>
      </c>
      <c r="AF1141" s="48"/>
      <c r="AG1141" s="44"/>
      <c r="AH1141" s="7">
        <f t="shared" si="17"/>
        <v>0</v>
      </c>
      <c r="AI1141" s="18"/>
      <c r="AJ1141" s="18"/>
    </row>
    <row r="1142" spans="1:38" ht="26.65" customHeight="1" x14ac:dyDescent="0.25">
      <c r="A1142" s="38" t="s">
        <v>7068</v>
      </c>
      <c r="B1142" s="9" t="s">
        <v>7054</v>
      </c>
      <c r="C1142" s="9" t="s">
        <v>58</v>
      </c>
      <c r="D1142" s="9" t="s">
        <v>7055</v>
      </c>
      <c r="E1142" s="9" t="s">
        <v>35</v>
      </c>
      <c r="F1142" s="9" t="s">
        <v>36</v>
      </c>
      <c r="G1142" s="9">
        <v>6</v>
      </c>
      <c r="H1142" s="9">
        <v>84219999</v>
      </c>
      <c r="I1142" s="11" t="s">
        <v>37</v>
      </c>
      <c r="J1142" s="12">
        <v>1.6500000000000001E-2</v>
      </c>
      <c r="K1142" s="12">
        <v>7.5999999999999998E-2</v>
      </c>
      <c r="L1142" s="12">
        <v>5.1999999999999998E-2</v>
      </c>
      <c r="M1142" s="13">
        <v>8003453809079</v>
      </c>
      <c r="N1142" s="14">
        <v>6.4000000000000001E-2</v>
      </c>
      <c r="O1142" s="14">
        <v>0.14799999999999999</v>
      </c>
      <c r="P1142" s="15">
        <v>45231</v>
      </c>
      <c r="Q1142" s="16" t="s">
        <v>7069</v>
      </c>
      <c r="R1142" s="17" t="s">
        <v>7070</v>
      </c>
      <c r="S1142" s="17" t="s">
        <v>7071</v>
      </c>
      <c r="T1142" s="17" t="s">
        <v>7072</v>
      </c>
      <c r="U1142" s="17" t="s">
        <v>7073</v>
      </c>
      <c r="V1142" s="17" t="s">
        <v>7074</v>
      </c>
      <c r="W1142" s="17" t="s">
        <v>35</v>
      </c>
      <c r="X1142" s="17" t="s">
        <v>35</v>
      </c>
      <c r="Y1142" s="17" t="s">
        <v>7075</v>
      </c>
      <c r="Z1142" s="17" t="s">
        <v>35</v>
      </c>
      <c r="AA1142" s="17" t="s">
        <v>35</v>
      </c>
      <c r="AB1142" s="17" t="s">
        <v>7076</v>
      </c>
      <c r="AC1142" s="17" t="s">
        <v>9538</v>
      </c>
      <c r="AD1142" s="42">
        <v>64.150000000000006</v>
      </c>
      <c r="AE1142" s="42">
        <v>67.489999999999995</v>
      </c>
      <c r="AF1142" s="48"/>
      <c r="AG1142" s="44"/>
      <c r="AH1142" s="7">
        <f t="shared" si="17"/>
        <v>0</v>
      </c>
      <c r="AI1142" s="18"/>
      <c r="AJ1142" s="18"/>
    </row>
    <row r="1143" spans="1:38" ht="26.65" customHeight="1" x14ac:dyDescent="0.25">
      <c r="A1143" s="10" t="s">
        <v>8958</v>
      </c>
      <c r="B1143" s="9" t="s">
        <v>8959</v>
      </c>
      <c r="C1143" s="9" t="s">
        <v>58</v>
      </c>
      <c r="D1143" s="9" t="s">
        <v>8960</v>
      </c>
      <c r="E1143" s="9" t="s">
        <v>122</v>
      </c>
      <c r="F1143" s="9" t="s">
        <v>36</v>
      </c>
      <c r="G1143" s="9">
        <v>5</v>
      </c>
      <c r="H1143" s="9">
        <v>84213990</v>
      </c>
      <c r="I1143" s="11" t="s">
        <v>37</v>
      </c>
      <c r="J1143" s="12">
        <v>1.6500000000000001E-2</v>
      </c>
      <c r="K1143" s="12">
        <v>7.5999999999999998E-2</v>
      </c>
      <c r="L1143" s="12">
        <v>0</v>
      </c>
      <c r="M1143" s="13">
        <v>8003453260054</v>
      </c>
      <c r="N1143" s="14">
        <v>0</v>
      </c>
      <c r="O1143" s="14">
        <v>0</v>
      </c>
      <c r="P1143" s="15">
        <v>45352</v>
      </c>
      <c r="Q1143" s="16" t="s">
        <v>8961</v>
      </c>
      <c r="R1143" s="17" t="s">
        <v>35</v>
      </c>
      <c r="S1143" s="17" t="s">
        <v>35</v>
      </c>
      <c r="T1143" s="17" t="s">
        <v>35</v>
      </c>
      <c r="U1143" s="17" t="s">
        <v>35</v>
      </c>
      <c r="V1143" s="17" t="s">
        <v>35</v>
      </c>
      <c r="W1143" s="17" t="s">
        <v>35</v>
      </c>
      <c r="X1143" s="17" t="s">
        <v>35</v>
      </c>
      <c r="Y1143" s="17" t="s">
        <v>8962</v>
      </c>
      <c r="Z1143" s="17" t="s">
        <v>35</v>
      </c>
      <c r="AA1143" s="17" t="s">
        <v>35</v>
      </c>
      <c r="AB1143" s="17" t="s">
        <v>35</v>
      </c>
      <c r="AC1143" s="17" t="s">
        <v>9539</v>
      </c>
      <c r="AD1143" s="42">
        <v>155.07</v>
      </c>
      <c r="AE1143" s="42">
        <v>155.07</v>
      </c>
      <c r="AF1143" s="48"/>
      <c r="AG1143" s="44"/>
      <c r="AH1143" s="7">
        <f t="shared" si="17"/>
        <v>0</v>
      </c>
      <c r="AI1143" s="18"/>
      <c r="AJ1143" s="18"/>
    </row>
    <row r="1144" spans="1:38" ht="26.65" customHeight="1" x14ac:dyDescent="0.25">
      <c r="A1144" s="10" t="s">
        <v>9374</v>
      </c>
      <c r="B1144" s="9" t="s">
        <v>8139</v>
      </c>
      <c r="C1144" s="9" t="s">
        <v>34</v>
      </c>
      <c r="D1144" s="9" t="s">
        <v>8140</v>
      </c>
      <c r="E1144" s="9" t="s">
        <v>122</v>
      </c>
      <c r="F1144" s="9" t="s">
        <v>36</v>
      </c>
      <c r="G1144" s="9">
        <v>1</v>
      </c>
      <c r="H1144" s="9">
        <v>84219999</v>
      </c>
      <c r="I1144" s="11" t="s">
        <v>37</v>
      </c>
      <c r="J1144" s="12">
        <v>1.6500000000000001E-2</v>
      </c>
      <c r="K1144" s="12">
        <v>7.5999999999999998E-2</v>
      </c>
      <c r="L1144" s="12">
        <v>5.1999999999999998E-2</v>
      </c>
      <c r="M1144" s="13" t="s">
        <v>35</v>
      </c>
      <c r="N1144" s="14">
        <v>0</v>
      </c>
      <c r="O1144" s="14">
        <v>0</v>
      </c>
      <c r="P1144" s="15">
        <v>45444</v>
      </c>
      <c r="Q1144" s="16" t="s">
        <v>9375</v>
      </c>
      <c r="R1144" s="17">
        <v>11533310</v>
      </c>
      <c r="S1144" s="17" t="s">
        <v>35</v>
      </c>
      <c r="T1144" s="17" t="s">
        <v>35</v>
      </c>
      <c r="U1144" s="17" t="s">
        <v>35</v>
      </c>
      <c r="V1144" s="17" t="s">
        <v>35</v>
      </c>
      <c r="W1144" s="17" t="s">
        <v>35</v>
      </c>
      <c r="X1144" s="17" t="s">
        <v>35</v>
      </c>
      <c r="Y1144" s="17" t="s">
        <v>35</v>
      </c>
      <c r="Z1144" s="17" t="s">
        <v>35</v>
      </c>
      <c r="AA1144" s="17" t="s">
        <v>35</v>
      </c>
      <c r="AB1144" s="17" t="s">
        <v>35</v>
      </c>
      <c r="AC1144" s="17" t="s">
        <v>9539</v>
      </c>
      <c r="AD1144" s="41">
        <v>184.97</v>
      </c>
      <c r="AE1144" s="41">
        <v>194.59</v>
      </c>
      <c r="AF1144" s="48"/>
      <c r="AG1144" s="44"/>
      <c r="AH1144" s="7">
        <f t="shared" si="17"/>
        <v>0</v>
      </c>
      <c r="AI1144" s="18"/>
      <c r="AJ1144" s="18"/>
    </row>
    <row r="1145" spans="1:38" ht="26.65" customHeight="1" x14ac:dyDescent="0.25">
      <c r="A1145" s="10" t="s">
        <v>9376</v>
      </c>
      <c r="B1145" s="9" t="s">
        <v>8139</v>
      </c>
      <c r="C1145" s="9" t="s">
        <v>34</v>
      </c>
      <c r="D1145" s="9" t="s">
        <v>8140</v>
      </c>
      <c r="E1145" s="9" t="s">
        <v>122</v>
      </c>
      <c r="F1145" s="9" t="s">
        <v>36</v>
      </c>
      <c r="G1145" s="9">
        <v>1</v>
      </c>
      <c r="H1145" s="9">
        <v>84219999</v>
      </c>
      <c r="I1145" s="11" t="s">
        <v>37</v>
      </c>
      <c r="J1145" s="12">
        <v>1.6500000000000001E-2</v>
      </c>
      <c r="K1145" s="12">
        <v>7.5999999999999998E-2</v>
      </c>
      <c r="L1145" s="12">
        <v>5.1999999999999998E-2</v>
      </c>
      <c r="M1145" s="13" t="s">
        <v>35</v>
      </c>
      <c r="N1145" s="14">
        <v>0</v>
      </c>
      <c r="O1145" s="14">
        <v>0</v>
      </c>
      <c r="P1145" s="15">
        <v>45444</v>
      </c>
      <c r="Q1145" s="16" t="s">
        <v>9375</v>
      </c>
      <c r="R1145" s="17">
        <v>11568930</v>
      </c>
      <c r="S1145" s="17" t="s">
        <v>35</v>
      </c>
      <c r="T1145" s="17" t="s">
        <v>35</v>
      </c>
      <c r="U1145" s="17" t="s">
        <v>35</v>
      </c>
      <c r="V1145" s="17" t="s">
        <v>35</v>
      </c>
      <c r="W1145" s="17" t="s">
        <v>35</v>
      </c>
      <c r="X1145" s="17" t="s">
        <v>35</v>
      </c>
      <c r="Y1145" s="17" t="s">
        <v>35</v>
      </c>
      <c r="Z1145" s="17" t="s">
        <v>35</v>
      </c>
      <c r="AA1145" s="17" t="s">
        <v>35</v>
      </c>
      <c r="AB1145" s="17" t="s">
        <v>35</v>
      </c>
      <c r="AC1145" s="17" t="s">
        <v>9539</v>
      </c>
      <c r="AD1145" s="41">
        <v>193.4</v>
      </c>
      <c r="AE1145" s="41">
        <v>203.46</v>
      </c>
      <c r="AF1145" s="48"/>
      <c r="AG1145" s="44"/>
      <c r="AH1145" s="7">
        <f t="shared" si="17"/>
        <v>0</v>
      </c>
      <c r="AI1145" s="18"/>
      <c r="AJ1145" s="18"/>
    </row>
    <row r="1146" spans="1:38" ht="26.65" customHeight="1" x14ac:dyDescent="0.25">
      <c r="A1146" s="38" t="s">
        <v>7077</v>
      </c>
      <c r="B1146" s="9" t="s">
        <v>5140</v>
      </c>
      <c r="C1146" s="9" t="s">
        <v>43</v>
      </c>
      <c r="D1146" s="9" t="s">
        <v>5141</v>
      </c>
      <c r="E1146" s="9" t="s">
        <v>35</v>
      </c>
      <c r="F1146" s="9" t="s">
        <v>36</v>
      </c>
      <c r="G1146" s="9">
        <v>5</v>
      </c>
      <c r="H1146" s="9">
        <v>84213990</v>
      </c>
      <c r="I1146" s="11" t="s">
        <v>37</v>
      </c>
      <c r="J1146" s="12">
        <v>1.6500000000000001E-2</v>
      </c>
      <c r="K1146" s="12">
        <v>7.5999999999999998E-2</v>
      </c>
      <c r="L1146" s="12">
        <v>0</v>
      </c>
      <c r="M1146" s="13">
        <v>8003453170049</v>
      </c>
      <c r="N1146" s="14">
        <v>7.0999999999999994E-2</v>
      </c>
      <c r="O1146" s="14">
        <v>0.14699999999999999</v>
      </c>
      <c r="P1146" s="15" t="s">
        <v>35</v>
      </c>
      <c r="Q1146" s="16" t="s">
        <v>7078</v>
      </c>
      <c r="R1146" s="17" t="s">
        <v>35</v>
      </c>
      <c r="S1146" s="17" t="s">
        <v>7079</v>
      </c>
      <c r="T1146" s="17" t="s">
        <v>7080</v>
      </c>
      <c r="U1146" s="17" t="s">
        <v>7081</v>
      </c>
      <c r="V1146" s="17" t="s">
        <v>7082</v>
      </c>
      <c r="W1146" s="17" t="s">
        <v>7083</v>
      </c>
      <c r="X1146" s="17" t="s">
        <v>7084</v>
      </c>
      <c r="Y1146" s="17" t="s">
        <v>7085</v>
      </c>
      <c r="Z1146" s="17" t="s">
        <v>35</v>
      </c>
      <c r="AA1146" s="17" t="s">
        <v>35</v>
      </c>
      <c r="AB1146" s="17" t="s">
        <v>35</v>
      </c>
      <c r="AC1146" s="17" t="s">
        <v>9538</v>
      </c>
      <c r="AD1146" s="41">
        <v>23.59</v>
      </c>
      <c r="AE1146" s="41">
        <v>23.59</v>
      </c>
      <c r="AF1146" s="48"/>
      <c r="AG1146" s="44"/>
      <c r="AH1146" s="7">
        <f t="shared" si="17"/>
        <v>0</v>
      </c>
      <c r="AI1146" s="18"/>
      <c r="AJ1146" s="18"/>
      <c r="AL1146" s="18"/>
    </row>
    <row r="1147" spans="1:38" ht="26.65" customHeight="1" x14ac:dyDescent="0.25">
      <c r="A1147" s="10" t="s">
        <v>7086</v>
      </c>
      <c r="B1147" s="9" t="s">
        <v>5140</v>
      </c>
      <c r="C1147" s="9" t="s">
        <v>43</v>
      </c>
      <c r="D1147" s="9" t="s">
        <v>7087</v>
      </c>
      <c r="E1147" s="9" t="s">
        <v>35</v>
      </c>
      <c r="F1147" s="9" t="s">
        <v>36</v>
      </c>
      <c r="G1147" s="9">
        <v>5</v>
      </c>
      <c r="H1147" s="9">
        <v>84213990</v>
      </c>
      <c r="I1147" s="11" t="s">
        <v>37</v>
      </c>
      <c r="J1147" s="12">
        <v>1.6500000000000001E-2</v>
      </c>
      <c r="K1147" s="12">
        <v>7.5999999999999998E-2</v>
      </c>
      <c r="L1147" s="12">
        <v>0</v>
      </c>
      <c r="M1147" s="13">
        <v>8003453170070</v>
      </c>
      <c r="N1147" s="14">
        <v>0.1</v>
      </c>
      <c r="O1147" s="14">
        <v>0.20599999999999999</v>
      </c>
      <c r="P1147" s="15">
        <v>44531</v>
      </c>
      <c r="Q1147" s="16" t="s">
        <v>7088</v>
      </c>
      <c r="R1147" s="17">
        <v>2108300718</v>
      </c>
      <c r="S1147" s="17" t="s">
        <v>7089</v>
      </c>
      <c r="T1147" s="17" t="s">
        <v>35</v>
      </c>
      <c r="U1147" s="17" t="s">
        <v>35</v>
      </c>
      <c r="V1147" s="17" t="s">
        <v>7090</v>
      </c>
      <c r="W1147" s="17" t="s">
        <v>35</v>
      </c>
      <c r="X1147" s="17" t="s">
        <v>7091</v>
      </c>
      <c r="Y1147" s="17" t="s">
        <v>7092</v>
      </c>
      <c r="Z1147" s="17" t="s">
        <v>35</v>
      </c>
      <c r="AA1147" s="17" t="s">
        <v>35</v>
      </c>
      <c r="AB1147" s="17" t="s">
        <v>35</v>
      </c>
      <c r="AC1147" s="17" t="s">
        <v>9539</v>
      </c>
      <c r="AD1147" s="42">
        <v>33.49</v>
      </c>
      <c r="AE1147" s="42">
        <v>33.49</v>
      </c>
      <c r="AF1147" s="48"/>
      <c r="AG1147" s="44"/>
      <c r="AH1147" s="7">
        <f t="shared" si="17"/>
        <v>0</v>
      </c>
      <c r="AI1147" s="18"/>
      <c r="AJ1147" s="18"/>
    </row>
    <row r="1148" spans="1:38" ht="26.65" customHeight="1" x14ac:dyDescent="0.25">
      <c r="A1148" s="10" t="s">
        <v>7093</v>
      </c>
      <c r="B1148" s="9" t="s">
        <v>5140</v>
      </c>
      <c r="C1148" s="9" t="s">
        <v>43</v>
      </c>
      <c r="D1148" s="9" t="s">
        <v>5141</v>
      </c>
      <c r="E1148" s="9" t="s">
        <v>35</v>
      </c>
      <c r="F1148" s="9" t="s">
        <v>36</v>
      </c>
      <c r="G1148" s="9">
        <v>5</v>
      </c>
      <c r="H1148" s="9">
        <v>84213990</v>
      </c>
      <c r="I1148" s="11" t="s">
        <v>37</v>
      </c>
      <c r="J1148" s="12">
        <v>1.6500000000000001E-2</v>
      </c>
      <c r="K1148" s="12">
        <v>7.5999999999999998E-2</v>
      </c>
      <c r="L1148" s="12">
        <v>0</v>
      </c>
      <c r="M1148" s="13">
        <v>8003453170117</v>
      </c>
      <c r="N1148" s="14">
        <v>9.0999999999999998E-2</v>
      </c>
      <c r="O1148" s="14">
        <v>0.17499999999999999</v>
      </c>
      <c r="P1148" s="15" t="s">
        <v>35</v>
      </c>
      <c r="Q1148" s="16" t="s">
        <v>7094</v>
      </c>
      <c r="R1148" s="17" t="s">
        <v>35</v>
      </c>
      <c r="S1148" s="17" t="s">
        <v>7095</v>
      </c>
      <c r="T1148" s="17" t="s">
        <v>7096</v>
      </c>
      <c r="U1148" s="17" t="s">
        <v>7097</v>
      </c>
      <c r="V1148" s="17" t="s">
        <v>35</v>
      </c>
      <c r="W1148" s="17" t="s">
        <v>35</v>
      </c>
      <c r="X1148" s="17" t="s">
        <v>7098</v>
      </c>
      <c r="Y1148" s="17" t="s">
        <v>7099</v>
      </c>
      <c r="Z1148" s="17" t="s">
        <v>35</v>
      </c>
      <c r="AA1148" s="17" t="s">
        <v>35</v>
      </c>
      <c r="AB1148" s="17" t="s">
        <v>35</v>
      </c>
      <c r="AC1148" s="17" t="s">
        <v>9539</v>
      </c>
      <c r="AD1148" s="41">
        <v>9.58</v>
      </c>
      <c r="AE1148" s="41">
        <v>9.58</v>
      </c>
      <c r="AF1148" s="48"/>
      <c r="AG1148" s="44"/>
      <c r="AH1148" s="7">
        <f t="shared" si="17"/>
        <v>0</v>
      </c>
      <c r="AI1148" s="18"/>
      <c r="AJ1148" s="18"/>
    </row>
    <row r="1149" spans="1:38" ht="26.65" customHeight="1" x14ac:dyDescent="0.25">
      <c r="A1149" s="10" t="s">
        <v>9914</v>
      </c>
      <c r="B1149" s="9" t="s">
        <v>5140</v>
      </c>
      <c r="C1149" s="9" t="s">
        <v>43</v>
      </c>
      <c r="D1149" s="9" t="s">
        <v>5141</v>
      </c>
      <c r="E1149" s="9" t="s">
        <v>35</v>
      </c>
      <c r="F1149" s="9" t="s">
        <v>36</v>
      </c>
      <c r="G1149" s="9">
        <v>5</v>
      </c>
      <c r="H1149" s="9">
        <v>84213990</v>
      </c>
      <c r="I1149" s="11" t="s">
        <v>37</v>
      </c>
      <c r="J1149" s="12">
        <v>1.6500000000000001E-2</v>
      </c>
      <c r="K1149" s="12">
        <v>7.5999999999999998E-2</v>
      </c>
      <c r="L1149" s="12">
        <v>0</v>
      </c>
      <c r="M1149" s="13">
        <v>8003453170285</v>
      </c>
      <c r="N1149" s="14">
        <v>0.11</v>
      </c>
      <c r="O1149" s="14">
        <v>0.19900000000000001</v>
      </c>
      <c r="P1149" s="15">
        <v>45536</v>
      </c>
      <c r="Q1149" s="16" t="s">
        <v>9915</v>
      </c>
      <c r="R1149" s="17" t="s">
        <v>35</v>
      </c>
      <c r="S1149" s="17" t="s">
        <v>9916</v>
      </c>
      <c r="T1149" s="17" t="s">
        <v>9917</v>
      </c>
      <c r="U1149" s="17" t="s">
        <v>9918</v>
      </c>
      <c r="V1149" s="17" t="s">
        <v>35</v>
      </c>
      <c r="W1149" s="17" t="s">
        <v>35</v>
      </c>
      <c r="X1149" s="17" t="s">
        <v>9919</v>
      </c>
      <c r="Y1149" s="17" t="s">
        <v>9920</v>
      </c>
      <c r="Z1149" s="17" t="s">
        <v>35</v>
      </c>
      <c r="AA1149" s="17" t="s">
        <v>35</v>
      </c>
      <c r="AB1149" s="17" t="s">
        <v>35</v>
      </c>
      <c r="AC1149" s="17" t="s">
        <v>9539</v>
      </c>
      <c r="AD1149" s="42">
        <v>22.2</v>
      </c>
      <c r="AE1149" s="42">
        <v>22.2</v>
      </c>
      <c r="AF1149" s="48"/>
      <c r="AG1149" s="44"/>
      <c r="AH1149" s="7">
        <f t="shared" si="17"/>
        <v>0</v>
      </c>
      <c r="AI1149" s="18"/>
      <c r="AJ1149" s="18"/>
    </row>
    <row r="1150" spans="1:38" ht="26.65" customHeight="1" x14ac:dyDescent="0.25">
      <c r="A1150" s="10" t="s">
        <v>7100</v>
      </c>
      <c r="B1150" s="9" t="s">
        <v>5140</v>
      </c>
      <c r="C1150" s="9" t="s">
        <v>43</v>
      </c>
      <c r="D1150" s="9" t="s">
        <v>5141</v>
      </c>
      <c r="E1150" s="9" t="s">
        <v>35</v>
      </c>
      <c r="F1150" s="9" t="s">
        <v>2072</v>
      </c>
      <c r="G1150" s="9">
        <v>5</v>
      </c>
      <c r="H1150" s="9">
        <v>84213990</v>
      </c>
      <c r="I1150" s="11" t="s">
        <v>2073</v>
      </c>
      <c r="J1150" s="12">
        <v>1.6500000000000001E-2</v>
      </c>
      <c r="K1150" s="12">
        <v>7.5999999999999998E-2</v>
      </c>
      <c r="L1150" s="12">
        <v>0</v>
      </c>
      <c r="M1150" s="13">
        <v>8003453807969</v>
      </c>
      <c r="N1150" s="14">
        <v>0.4</v>
      </c>
      <c r="O1150" s="14">
        <v>0.9</v>
      </c>
      <c r="P1150" s="15">
        <v>44927</v>
      </c>
      <c r="Q1150" s="16" t="s">
        <v>7101</v>
      </c>
      <c r="R1150" s="17" t="s">
        <v>7102</v>
      </c>
      <c r="S1150" s="17" t="s">
        <v>7103</v>
      </c>
      <c r="T1150" s="17" t="s">
        <v>7104</v>
      </c>
      <c r="U1150" s="17" t="s">
        <v>7105</v>
      </c>
      <c r="V1150" s="17" t="s">
        <v>7106</v>
      </c>
      <c r="W1150" s="17" t="s">
        <v>7107</v>
      </c>
      <c r="X1150" s="17" t="s">
        <v>7108</v>
      </c>
      <c r="Y1150" s="17" t="s">
        <v>7109</v>
      </c>
      <c r="Z1150" s="17" t="s">
        <v>35</v>
      </c>
      <c r="AA1150" s="17" t="s">
        <v>35</v>
      </c>
      <c r="AB1150" s="17" t="s">
        <v>35</v>
      </c>
      <c r="AC1150" s="17" t="s">
        <v>9539</v>
      </c>
      <c r="AD1150" s="41">
        <v>7.35</v>
      </c>
      <c r="AE1150" s="41">
        <v>7.35</v>
      </c>
      <c r="AF1150" s="48"/>
      <c r="AG1150" s="44"/>
      <c r="AH1150" s="7">
        <f t="shared" si="17"/>
        <v>0</v>
      </c>
      <c r="AI1150" s="18"/>
      <c r="AJ1150" s="18"/>
    </row>
    <row r="1151" spans="1:38" ht="26.65" customHeight="1" x14ac:dyDescent="0.25">
      <c r="A1151" s="38" t="s">
        <v>7110</v>
      </c>
      <c r="B1151" s="9" t="s">
        <v>5140</v>
      </c>
      <c r="C1151" s="9" t="s">
        <v>43</v>
      </c>
      <c r="D1151" s="9" t="s">
        <v>5141</v>
      </c>
      <c r="E1151" s="9" t="s">
        <v>35</v>
      </c>
      <c r="F1151" s="9" t="s">
        <v>36</v>
      </c>
      <c r="G1151" s="9">
        <v>5</v>
      </c>
      <c r="H1151" s="9">
        <v>84213990</v>
      </c>
      <c r="I1151" s="11" t="s">
        <v>37</v>
      </c>
      <c r="J1151" s="12">
        <v>1.6500000000000001E-2</v>
      </c>
      <c r="K1151" s="12">
        <v>7.5999999999999998E-2</v>
      </c>
      <c r="L1151" s="12">
        <v>0</v>
      </c>
      <c r="M1151" s="13">
        <v>8003453170421</v>
      </c>
      <c r="N1151" s="14">
        <v>5.7000000000000002E-2</v>
      </c>
      <c r="O1151" s="14">
        <v>0.152</v>
      </c>
      <c r="P1151" s="15">
        <v>44868</v>
      </c>
      <c r="Q1151" s="16" t="s">
        <v>7111</v>
      </c>
      <c r="R1151" s="17" t="s">
        <v>7112</v>
      </c>
      <c r="S1151" s="17" t="s">
        <v>7113</v>
      </c>
      <c r="T1151" s="17" t="s">
        <v>7114</v>
      </c>
      <c r="U1151" s="17" t="s">
        <v>7115</v>
      </c>
      <c r="V1151" s="17" t="s">
        <v>7116</v>
      </c>
      <c r="W1151" s="17" t="s">
        <v>7117</v>
      </c>
      <c r="X1151" s="17" t="s">
        <v>7118</v>
      </c>
      <c r="Y1151" s="17" t="s">
        <v>7119</v>
      </c>
      <c r="Z1151" s="17" t="s">
        <v>35</v>
      </c>
      <c r="AA1151" s="17" t="s">
        <v>35</v>
      </c>
      <c r="AB1151" s="17" t="s">
        <v>35</v>
      </c>
      <c r="AC1151" s="17" t="s">
        <v>9538</v>
      </c>
      <c r="AD1151" s="42">
        <v>18.34</v>
      </c>
      <c r="AE1151" s="42">
        <v>18.34</v>
      </c>
      <c r="AF1151" s="48"/>
      <c r="AG1151" s="44"/>
      <c r="AH1151" s="7">
        <f t="shared" si="17"/>
        <v>0</v>
      </c>
      <c r="AI1151" s="18"/>
      <c r="AJ1151" s="18"/>
    </row>
    <row r="1152" spans="1:38" ht="26.65" customHeight="1" x14ac:dyDescent="0.25">
      <c r="A1152" s="10" t="s">
        <v>10415</v>
      </c>
      <c r="B1152" s="9" t="s">
        <v>5140</v>
      </c>
      <c r="C1152" s="9" t="s">
        <v>43</v>
      </c>
      <c r="D1152" s="9" t="s">
        <v>5141</v>
      </c>
      <c r="E1152" s="9" t="s">
        <v>35</v>
      </c>
      <c r="F1152" s="9" t="s">
        <v>2072</v>
      </c>
      <c r="G1152" s="9">
        <v>5</v>
      </c>
      <c r="H1152" s="9">
        <v>84213990</v>
      </c>
      <c r="I1152" s="11" t="s">
        <v>2073</v>
      </c>
      <c r="J1152" s="12">
        <v>1.6500000000000001E-2</v>
      </c>
      <c r="K1152" s="12">
        <v>7.5999999999999998E-2</v>
      </c>
      <c r="L1152" s="12">
        <v>0</v>
      </c>
      <c r="M1152" s="13">
        <v>8003453170421</v>
      </c>
      <c r="N1152" s="14">
        <v>0</v>
      </c>
      <c r="O1152" s="14">
        <v>0</v>
      </c>
      <c r="P1152" s="15">
        <v>45566</v>
      </c>
      <c r="Q1152" s="16" t="s">
        <v>7111</v>
      </c>
      <c r="R1152" s="17" t="s">
        <v>35</v>
      </c>
      <c r="S1152" s="17" t="s">
        <v>7113</v>
      </c>
      <c r="T1152" s="17" t="s">
        <v>7114</v>
      </c>
      <c r="U1152" s="17" t="s">
        <v>7115</v>
      </c>
      <c r="V1152" s="17" t="s">
        <v>7116</v>
      </c>
      <c r="W1152" s="17" t="s">
        <v>7117</v>
      </c>
      <c r="X1152" s="17" t="s">
        <v>7118</v>
      </c>
      <c r="Y1152" s="17" t="s">
        <v>7119</v>
      </c>
      <c r="Z1152" s="17" t="s">
        <v>35</v>
      </c>
      <c r="AA1152" s="17" t="s">
        <v>35</v>
      </c>
      <c r="AB1152" s="17" t="s">
        <v>35</v>
      </c>
      <c r="AC1152" s="17" t="s">
        <v>9539</v>
      </c>
      <c r="AD1152" s="41">
        <v>10.24</v>
      </c>
      <c r="AE1152" s="41">
        <v>10.24</v>
      </c>
      <c r="AF1152" s="48"/>
      <c r="AG1152" s="44"/>
      <c r="AH1152" s="7">
        <f t="shared" si="17"/>
        <v>0</v>
      </c>
      <c r="AI1152" s="18"/>
      <c r="AJ1152" s="18"/>
    </row>
    <row r="1153" spans="1:38" ht="26.65" customHeight="1" x14ac:dyDescent="0.25">
      <c r="A1153" s="10" t="s">
        <v>7120</v>
      </c>
      <c r="B1153" s="9" t="s">
        <v>5140</v>
      </c>
      <c r="C1153" s="9" t="s">
        <v>43</v>
      </c>
      <c r="D1153" s="9" t="s">
        <v>5141</v>
      </c>
      <c r="E1153" s="9" t="s">
        <v>35</v>
      </c>
      <c r="F1153" s="9" t="s">
        <v>36</v>
      </c>
      <c r="G1153" s="9">
        <v>5</v>
      </c>
      <c r="H1153" s="9">
        <v>84213990</v>
      </c>
      <c r="I1153" s="11" t="s">
        <v>37</v>
      </c>
      <c r="J1153" s="12">
        <v>1.6500000000000001E-2</v>
      </c>
      <c r="K1153" s="12">
        <v>7.5999999999999998E-2</v>
      </c>
      <c r="L1153" s="12">
        <v>0</v>
      </c>
      <c r="M1153" s="13">
        <v>8003453170506</v>
      </c>
      <c r="N1153" s="14">
        <v>0.04</v>
      </c>
      <c r="O1153" s="14">
        <v>0.12</v>
      </c>
      <c r="P1153" s="15" t="s">
        <v>35</v>
      </c>
      <c r="Q1153" s="16" t="s">
        <v>7121</v>
      </c>
      <c r="R1153" s="17" t="s">
        <v>35</v>
      </c>
      <c r="S1153" s="17" t="s">
        <v>7122</v>
      </c>
      <c r="T1153" s="17" t="s">
        <v>7123</v>
      </c>
      <c r="U1153" s="17" t="s">
        <v>7124</v>
      </c>
      <c r="V1153" s="17" t="s">
        <v>7125</v>
      </c>
      <c r="W1153" s="17" t="s">
        <v>7126</v>
      </c>
      <c r="X1153" s="17" t="s">
        <v>7127</v>
      </c>
      <c r="Y1153" s="17" t="s">
        <v>7128</v>
      </c>
      <c r="Z1153" s="17" t="s">
        <v>35</v>
      </c>
      <c r="AA1153" s="17" t="s">
        <v>35</v>
      </c>
      <c r="AB1153" s="17" t="s">
        <v>35</v>
      </c>
      <c r="AC1153" s="17" t="s">
        <v>9539</v>
      </c>
      <c r="AD1153" s="42">
        <v>8.14</v>
      </c>
      <c r="AE1153" s="42">
        <v>8.14</v>
      </c>
      <c r="AF1153" s="48"/>
      <c r="AG1153" s="44"/>
      <c r="AH1153" s="7">
        <f t="shared" si="17"/>
        <v>0</v>
      </c>
      <c r="AI1153" s="18"/>
      <c r="AJ1153" s="18"/>
    </row>
    <row r="1154" spans="1:38" ht="26.65" customHeight="1" x14ac:dyDescent="0.25">
      <c r="A1154" s="38" t="s">
        <v>7129</v>
      </c>
      <c r="B1154" s="9" t="s">
        <v>5140</v>
      </c>
      <c r="C1154" s="9" t="s">
        <v>58</v>
      </c>
      <c r="D1154" s="9" t="s">
        <v>5141</v>
      </c>
      <c r="E1154" s="9" t="s">
        <v>35</v>
      </c>
      <c r="F1154" s="9" t="s">
        <v>36</v>
      </c>
      <c r="G1154" s="9">
        <v>5</v>
      </c>
      <c r="H1154" s="9">
        <v>84213990</v>
      </c>
      <c r="I1154" s="11" t="s">
        <v>37</v>
      </c>
      <c r="J1154" s="12">
        <v>1.6500000000000001E-2</v>
      </c>
      <c r="K1154" s="12">
        <v>7.5999999999999998E-2</v>
      </c>
      <c r="L1154" s="12">
        <v>0</v>
      </c>
      <c r="M1154" s="13">
        <v>8003453170629</v>
      </c>
      <c r="N1154" s="14">
        <v>6.0999999999999999E-2</v>
      </c>
      <c r="O1154" s="14">
        <v>0.14099999999999999</v>
      </c>
      <c r="P1154" s="15" t="s">
        <v>35</v>
      </c>
      <c r="Q1154" s="16" t="s">
        <v>7130</v>
      </c>
      <c r="R1154" s="17" t="s">
        <v>35</v>
      </c>
      <c r="S1154" s="17" t="s">
        <v>7131</v>
      </c>
      <c r="T1154" s="17" t="s">
        <v>7132</v>
      </c>
      <c r="U1154" s="17" t="s">
        <v>7133</v>
      </c>
      <c r="V1154" s="17" t="s">
        <v>7134</v>
      </c>
      <c r="W1154" s="17" t="s">
        <v>35</v>
      </c>
      <c r="X1154" s="17" t="s">
        <v>35</v>
      </c>
      <c r="Y1154" s="17" t="s">
        <v>7135</v>
      </c>
      <c r="Z1154" s="17" t="s">
        <v>7136</v>
      </c>
      <c r="AA1154" s="17" t="s">
        <v>35</v>
      </c>
      <c r="AB1154" s="17" t="s">
        <v>35</v>
      </c>
      <c r="AC1154" s="17" t="s">
        <v>9538</v>
      </c>
      <c r="AD1154" s="42">
        <v>30.73</v>
      </c>
      <c r="AE1154" s="42">
        <v>30.73</v>
      </c>
      <c r="AF1154" s="48"/>
      <c r="AG1154" s="44"/>
      <c r="AH1154" s="7">
        <f t="shared" si="17"/>
        <v>0</v>
      </c>
      <c r="AI1154" s="18"/>
      <c r="AJ1154" s="18"/>
    </row>
    <row r="1155" spans="1:38" ht="26.65" customHeight="1" x14ac:dyDescent="0.25">
      <c r="A1155" s="10" t="s">
        <v>7137</v>
      </c>
      <c r="B1155" s="9" t="s">
        <v>5140</v>
      </c>
      <c r="C1155" s="9" t="s">
        <v>43</v>
      </c>
      <c r="D1155" s="9" t="s">
        <v>5141</v>
      </c>
      <c r="E1155" s="9" t="s">
        <v>35</v>
      </c>
      <c r="F1155" s="9" t="s">
        <v>36</v>
      </c>
      <c r="G1155" s="9">
        <v>5</v>
      </c>
      <c r="H1155" s="9">
        <v>84213990</v>
      </c>
      <c r="I1155" s="11" t="s">
        <v>37</v>
      </c>
      <c r="J1155" s="12">
        <v>1.6500000000000001E-2</v>
      </c>
      <c r="K1155" s="12">
        <v>7.5999999999999998E-2</v>
      </c>
      <c r="L1155" s="12">
        <v>0</v>
      </c>
      <c r="M1155" s="13">
        <v>8003453170698</v>
      </c>
      <c r="N1155" s="14">
        <v>0.1</v>
      </c>
      <c r="O1155" s="14">
        <v>0.20399999999999999</v>
      </c>
      <c r="P1155" s="15" t="s">
        <v>35</v>
      </c>
      <c r="Q1155" s="16" t="s">
        <v>7138</v>
      </c>
      <c r="R1155" s="17" t="s">
        <v>35</v>
      </c>
      <c r="S1155" s="17" t="s">
        <v>7139</v>
      </c>
      <c r="T1155" s="17" t="s">
        <v>7140</v>
      </c>
      <c r="U1155" s="17" t="s">
        <v>7141</v>
      </c>
      <c r="V1155" s="17" t="s">
        <v>35</v>
      </c>
      <c r="W1155" s="17" t="s">
        <v>35</v>
      </c>
      <c r="X1155" s="17" t="s">
        <v>7142</v>
      </c>
      <c r="Y1155" s="17" t="s">
        <v>7143</v>
      </c>
      <c r="Z1155" s="17" t="s">
        <v>35</v>
      </c>
      <c r="AA1155" s="17" t="s">
        <v>35</v>
      </c>
      <c r="AB1155" s="17" t="s">
        <v>35</v>
      </c>
      <c r="AC1155" s="17" t="s">
        <v>9539</v>
      </c>
      <c r="AD1155" s="41">
        <v>18.07</v>
      </c>
      <c r="AE1155" s="41">
        <v>18.07</v>
      </c>
      <c r="AF1155" s="48"/>
      <c r="AG1155" s="44"/>
      <c r="AH1155" s="7">
        <f t="shared" si="17"/>
        <v>0</v>
      </c>
      <c r="AI1155" s="18"/>
      <c r="AJ1155" s="18"/>
      <c r="AL1155" s="18"/>
    </row>
    <row r="1156" spans="1:38" ht="26.65" customHeight="1" x14ac:dyDescent="0.25">
      <c r="A1156" s="10" t="s">
        <v>7144</v>
      </c>
      <c r="B1156" s="9" t="s">
        <v>5140</v>
      </c>
      <c r="C1156" s="9" t="s">
        <v>43</v>
      </c>
      <c r="D1156" s="9" t="s">
        <v>5141</v>
      </c>
      <c r="E1156" s="9" t="s">
        <v>35</v>
      </c>
      <c r="F1156" s="9" t="s">
        <v>36</v>
      </c>
      <c r="G1156" s="9">
        <v>5</v>
      </c>
      <c r="H1156" s="9">
        <v>84213990</v>
      </c>
      <c r="I1156" s="11" t="s">
        <v>37</v>
      </c>
      <c r="J1156" s="12">
        <v>1.6500000000000001E-2</v>
      </c>
      <c r="K1156" s="12">
        <v>7.5999999999999998E-2</v>
      </c>
      <c r="L1156" s="12">
        <v>0</v>
      </c>
      <c r="M1156" s="13">
        <v>8003453170742</v>
      </c>
      <c r="N1156" s="14">
        <v>5.6000000000000001E-2</v>
      </c>
      <c r="O1156" s="14">
        <v>0.122</v>
      </c>
      <c r="P1156" s="15" t="s">
        <v>35</v>
      </c>
      <c r="Q1156" s="16" t="s">
        <v>7145</v>
      </c>
      <c r="R1156" s="17" t="s">
        <v>35</v>
      </c>
      <c r="S1156" s="17" t="s">
        <v>7146</v>
      </c>
      <c r="T1156" s="17" t="s">
        <v>7147</v>
      </c>
      <c r="U1156" s="17" t="s">
        <v>7148</v>
      </c>
      <c r="V1156" s="17" t="s">
        <v>7149</v>
      </c>
      <c r="W1156" s="17" t="s">
        <v>7150</v>
      </c>
      <c r="X1156" s="17" t="s">
        <v>7151</v>
      </c>
      <c r="Y1156" s="17" t="s">
        <v>7152</v>
      </c>
      <c r="Z1156" s="17" t="s">
        <v>35</v>
      </c>
      <c r="AA1156" s="17" t="s">
        <v>35</v>
      </c>
      <c r="AB1156" s="17" t="s">
        <v>35</v>
      </c>
      <c r="AC1156" s="17" t="s">
        <v>9539</v>
      </c>
      <c r="AD1156" s="41">
        <v>9.19</v>
      </c>
      <c r="AE1156" s="41">
        <v>9.19</v>
      </c>
      <c r="AF1156" s="48"/>
      <c r="AG1156" s="44"/>
      <c r="AH1156" s="7">
        <f t="shared" ref="AH1156:AH1219" si="18">AG1156*AE1156</f>
        <v>0</v>
      </c>
      <c r="AI1156" s="18"/>
      <c r="AJ1156" s="18"/>
    </row>
    <row r="1157" spans="1:38" ht="26.65" customHeight="1" x14ac:dyDescent="0.25">
      <c r="A1157" s="10" t="s">
        <v>7153</v>
      </c>
      <c r="B1157" s="9" t="s">
        <v>5140</v>
      </c>
      <c r="C1157" s="9" t="s">
        <v>43</v>
      </c>
      <c r="D1157" s="9" t="s">
        <v>5141</v>
      </c>
      <c r="E1157" s="9" t="s">
        <v>35</v>
      </c>
      <c r="F1157" s="9" t="s">
        <v>36</v>
      </c>
      <c r="G1157" s="9">
        <v>5</v>
      </c>
      <c r="H1157" s="9">
        <v>84213990</v>
      </c>
      <c r="I1157" s="11" t="s">
        <v>37</v>
      </c>
      <c r="J1157" s="12">
        <v>1.6500000000000001E-2</v>
      </c>
      <c r="K1157" s="12">
        <v>7.5999999999999998E-2</v>
      </c>
      <c r="L1157" s="12">
        <v>0</v>
      </c>
      <c r="M1157" s="13">
        <v>8003453170834</v>
      </c>
      <c r="N1157" s="14">
        <v>9.4E-2</v>
      </c>
      <c r="O1157" s="14">
        <v>0.151</v>
      </c>
      <c r="P1157" s="15" t="s">
        <v>35</v>
      </c>
      <c r="Q1157" s="16" t="s">
        <v>7154</v>
      </c>
      <c r="R1157" s="17" t="s">
        <v>35</v>
      </c>
      <c r="S1157" s="17" t="s">
        <v>7155</v>
      </c>
      <c r="T1157" s="17" t="s">
        <v>7156</v>
      </c>
      <c r="U1157" s="17" t="s">
        <v>7157</v>
      </c>
      <c r="V1157" s="17" t="s">
        <v>7158</v>
      </c>
      <c r="W1157" s="17" t="s">
        <v>35</v>
      </c>
      <c r="X1157" s="17" t="s">
        <v>7159</v>
      </c>
      <c r="Y1157" s="17" t="s">
        <v>7160</v>
      </c>
      <c r="Z1157" s="17" t="s">
        <v>35</v>
      </c>
      <c r="AA1157" s="17" t="s">
        <v>35</v>
      </c>
      <c r="AB1157" s="17" t="s">
        <v>35</v>
      </c>
      <c r="AC1157" s="17" t="s">
        <v>9539</v>
      </c>
      <c r="AD1157" s="41">
        <v>8.43</v>
      </c>
      <c r="AE1157" s="41">
        <v>8.43</v>
      </c>
      <c r="AF1157" s="48"/>
      <c r="AG1157" s="44"/>
      <c r="AH1157" s="7">
        <f t="shared" si="18"/>
        <v>0</v>
      </c>
      <c r="AI1157" s="18"/>
      <c r="AJ1157" s="18"/>
    </row>
    <row r="1158" spans="1:38" ht="26.65" customHeight="1" x14ac:dyDescent="0.25">
      <c r="A1158" s="10" t="s">
        <v>7161</v>
      </c>
      <c r="B1158" s="9" t="s">
        <v>5140</v>
      </c>
      <c r="C1158" s="9" t="s">
        <v>43</v>
      </c>
      <c r="D1158" s="9" t="s">
        <v>5141</v>
      </c>
      <c r="E1158" s="9" t="s">
        <v>35</v>
      </c>
      <c r="F1158" s="9" t="s">
        <v>36</v>
      </c>
      <c r="G1158" s="9">
        <v>5</v>
      </c>
      <c r="H1158" s="9">
        <v>84213990</v>
      </c>
      <c r="I1158" s="11" t="s">
        <v>37</v>
      </c>
      <c r="J1158" s="12">
        <v>1.6500000000000001E-2</v>
      </c>
      <c r="K1158" s="12">
        <v>7.5999999999999998E-2</v>
      </c>
      <c r="L1158" s="12">
        <v>0</v>
      </c>
      <c r="M1158" s="13">
        <v>8003453170865</v>
      </c>
      <c r="N1158" s="14">
        <v>0.06</v>
      </c>
      <c r="O1158" s="14">
        <v>0.124</v>
      </c>
      <c r="P1158" s="15" t="s">
        <v>35</v>
      </c>
      <c r="Q1158" s="16" t="s">
        <v>7162</v>
      </c>
      <c r="R1158" s="17" t="s">
        <v>35</v>
      </c>
      <c r="S1158" s="17" t="s">
        <v>7163</v>
      </c>
      <c r="T1158" s="17" t="s">
        <v>7164</v>
      </c>
      <c r="U1158" s="17" t="s">
        <v>7165</v>
      </c>
      <c r="V1158" s="17" t="s">
        <v>35</v>
      </c>
      <c r="W1158" s="17" t="s">
        <v>35</v>
      </c>
      <c r="X1158" s="17" t="s">
        <v>7166</v>
      </c>
      <c r="Y1158" s="17" t="s">
        <v>7167</v>
      </c>
      <c r="Z1158" s="17" t="s">
        <v>35</v>
      </c>
      <c r="AA1158" s="17" t="s">
        <v>35</v>
      </c>
      <c r="AB1158" s="17" t="s">
        <v>35</v>
      </c>
      <c r="AC1158" s="17" t="s">
        <v>9539</v>
      </c>
      <c r="AD1158" s="41">
        <v>11.57</v>
      </c>
      <c r="AE1158" s="41">
        <v>11.57</v>
      </c>
      <c r="AF1158" s="48"/>
      <c r="AG1158" s="44"/>
      <c r="AH1158" s="7">
        <f t="shared" si="18"/>
        <v>0</v>
      </c>
      <c r="AI1158" s="18"/>
      <c r="AJ1158" s="18"/>
      <c r="AL1158" s="18"/>
    </row>
    <row r="1159" spans="1:38" ht="26.65" customHeight="1" x14ac:dyDescent="0.25">
      <c r="A1159" s="10" t="s">
        <v>7168</v>
      </c>
      <c r="B1159" s="9" t="s">
        <v>5140</v>
      </c>
      <c r="C1159" s="9" t="s">
        <v>43</v>
      </c>
      <c r="D1159" s="9" t="s">
        <v>7087</v>
      </c>
      <c r="E1159" s="9" t="s">
        <v>35</v>
      </c>
      <c r="F1159" s="9" t="s">
        <v>36</v>
      </c>
      <c r="G1159" s="9">
        <v>5</v>
      </c>
      <c r="H1159" s="9">
        <v>84213990</v>
      </c>
      <c r="I1159" s="11" t="s">
        <v>37</v>
      </c>
      <c r="J1159" s="12">
        <v>1.6500000000000001E-2</v>
      </c>
      <c r="K1159" s="12">
        <v>7.5999999999999998E-2</v>
      </c>
      <c r="L1159" s="12">
        <v>0</v>
      </c>
      <c r="M1159" s="13">
        <v>8003453170872</v>
      </c>
      <c r="N1159" s="14">
        <v>8.7999999999999995E-2</v>
      </c>
      <c r="O1159" s="14">
        <v>0.16400000000000001</v>
      </c>
      <c r="P1159" s="15">
        <v>44531</v>
      </c>
      <c r="Q1159" s="16" t="s">
        <v>7169</v>
      </c>
      <c r="R1159" s="17">
        <v>7701047513</v>
      </c>
      <c r="S1159" s="17" t="s">
        <v>7170</v>
      </c>
      <c r="T1159" s="17" t="s">
        <v>7171</v>
      </c>
      <c r="U1159" s="17" t="s">
        <v>7172</v>
      </c>
      <c r="V1159" s="17" t="s">
        <v>35</v>
      </c>
      <c r="W1159" s="17" t="s">
        <v>35</v>
      </c>
      <c r="X1159" s="17" t="s">
        <v>7173</v>
      </c>
      <c r="Y1159" s="17" t="s">
        <v>7174</v>
      </c>
      <c r="Z1159" s="17" t="s">
        <v>35</v>
      </c>
      <c r="AA1159" s="17" t="s">
        <v>35</v>
      </c>
      <c r="AB1159" s="17" t="s">
        <v>35</v>
      </c>
      <c r="AC1159" s="17" t="s">
        <v>9539</v>
      </c>
      <c r="AD1159" s="41">
        <v>13.33</v>
      </c>
      <c r="AE1159" s="41">
        <v>13.33</v>
      </c>
      <c r="AF1159" s="48"/>
      <c r="AG1159" s="44"/>
      <c r="AH1159" s="7">
        <f t="shared" si="18"/>
        <v>0</v>
      </c>
      <c r="AI1159" s="18"/>
      <c r="AJ1159" s="18"/>
      <c r="AL1159" s="18"/>
    </row>
    <row r="1160" spans="1:38" ht="26.65" customHeight="1" x14ac:dyDescent="0.25">
      <c r="A1160" s="10" t="s">
        <v>7175</v>
      </c>
      <c r="B1160" s="9" t="s">
        <v>5140</v>
      </c>
      <c r="C1160" s="9" t="s">
        <v>43</v>
      </c>
      <c r="D1160" s="9" t="s">
        <v>5141</v>
      </c>
      <c r="E1160" s="9" t="s">
        <v>35</v>
      </c>
      <c r="F1160" s="9" t="s">
        <v>36</v>
      </c>
      <c r="G1160" s="9">
        <v>5</v>
      </c>
      <c r="H1160" s="9">
        <v>84213990</v>
      </c>
      <c r="I1160" s="11" t="s">
        <v>37</v>
      </c>
      <c r="J1160" s="12">
        <v>1.6500000000000001E-2</v>
      </c>
      <c r="K1160" s="12">
        <v>7.5999999999999998E-2</v>
      </c>
      <c r="L1160" s="12">
        <v>0</v>
      </c>
      <c r="M1160" s="13">
        <v>8003453170889</v>
      </c>
      <c r="N1160" s="14">
        <v>2.5000000000000001E-2</v>
      </c>
      <c r="O1160" s="14">
        <v>0.99</v>
      </c>
      <c r="P1160" s="15" t="s">
        <v>35</v>
      </c>
      <c r="Q1160" s="16" t="s">
        <v>7176</v>
      </c>
      <c r="R1160" s="17" t="s">
        <v>35</v>
      </c>
      <c r="S1160" s="17" t="s">
        <v>7177</v>
      </c>
      <c r="T1160" s="17" t="s">
        <v>7178</v>
      </c>
      <c r="U1160" s="17" t="s">
        <v>7179</v>
      </c>
      <c r="V1160" s="17" t="s">
        <v>7180</v>
      </c>
      <c r="W1160" s="17" t="s">
        <v>7181</v>
      </c>
      <c r="X1160" s="17" t="s">
        <v>7182</v>
      </c>
      <c r="Y1160" s="17" t="s">
        <v>7183</v>
      </c>
      <c r="Z1160" s="17" t="s">
        <v>35</v>
      </c>
      <c r="AA1160" s="17" t="s">
        <v>35</v>
      </c>
      <c r="AB1160" s="17" t="s">
        <v>35</v>
      </c>
      <c r="AC1160" s="17" t="s">
        <v>9539</v>
      </c>
      <c r="AD1160" s="42">
        <v>13.5</v>
      </c>
      <c r="AE1160" s="42">
        <v>13.5</v>
      </c>
      <c r="AF1160" s="48"/>
      <c r="AG1160" s="44"/>
      <c r="AH1160" s="7">
        <f t="shared" si="18"/>
        <v>0</v>
      </c>
      <c r="AI1160" s="18"/>
      <c r="AJ1160" s="18"/>
    </row>
    <row r="1161" spans="1:38" ht="26.65" customHeight="1" x14ac:dyDescent="0.25">
      <c r="A1161" s="38" t="s">
        <v>7184</v>
      </c>
      <c r="B1161" s="9" t="s">
        <v>5140</v>
      </c>
      <c r="C1161" s="9" t="s">
        <v>58</v>
      </c>
      <c r="D1161" s="9" t="s">
        <v>5141</v>
      </c>
      <c r="E1161" s="9" t="s">
        <v>35</v>
      </c>
      <c r="F1161" s="9" t="s">
        <v>36</v>
      </c>
      <c r="G1161" s="9">
        <v>5</v>
      </c>
      <c r="H1161" s="9">
        <v>84213990</v>
      </c>
      <c r="I1161" s="11" t="s">
        <v>37</v>
      </c>
      <c r="J1161" s="12">
        <v>1.6500000000000001E-2</v>
      </c>
      <c r="K1161" s="12">
        <v>7.5999999999999998E-2</v>
      </c>
      <c r="L1161" s="12">
        <v>0</v>
      </c>
      <c r="M1161" s="13">
        <v>8003453170896</v>
      </c>
      <c r="N1161" s="14">
        <v>0.17399999999999999</v>
      </c>
      <c r="O1161" s="14">
        <v>0.23799999999999999</v>
      </c>
      <c r="P1161" s="15">
        <v>44896</v>
      </c>
      <c r="Q1161" s="16" t="s">
        <v>7185</v>
      </c>
      <c r="R1161" s="17" t="s">
        <v>7186</v>
      </c>
      <c r="S1161" s="17" t="s">
        <v>7187</v>
      </c>
      <c r="T1161" s="17" t="s">
        <v>7188</v>
      </c>
      <c r="U1161" s="17" t="s">
        <v>7189</v>
      </c>
      <c r="V1161" s="17" t="s">
        <v>7190</v>
      </c>
      <c r="W1161" s="17" t="s">
        <v>7191</v>
      </c>
      <c r="X1161" s="17" t="s">
        <v>7192</v>
      </c>
      <c r="Y1161" s="17" t="s">
        <v>7193</v>
      </c>
      <c r="Z1161" s="17" t="s">
        <v>7194</v>
      </c>
      <c r="AA1161" s="17" t="s">
        <v>35</v>
      </c>
      <c r="AB1161" s="17" t="s">
        <v>7195</v>
      </c>
      <c r="AC1161" s="17" t="s">
        <v>9538</v>
      </c>
      <c r="AD1161" s="41">
        <v>25.9</v>
      </c>
      <c r="AE1161" s="41">
        <v>25.9</v>
      </c>
      <c r="AF1161" s="48"/>
      <c r="AG1161" s="44"/>
      <c r="AH1161" s="7">
        <f t="shared" si="18"/>
        <v>0</v>
      </c>
      <c r="AI1161" s="18"/>
      <c r="AJ1161" s="18"/>
      <c r="AL1161" s="18"/>
    </row>
    <row r="1162" spans="1:38" ht="26.65" customHeight="1" x14ac:dyDescent="0.25">
      <c r="A1162" s="10" t="s">
        <v>7196</v>
      </c>
      <c r="B1162" s="9" t="s">
        <v>5140</v>
      </c>
      <c r="C1162" s="9" t="s">
        <v>43</v>
      </c>
      <c r="D1162" s="9" t="s">
        <v>5141</v>
      </c>
      <c r="E1162" s="9" t="s">
        <v>35</v>
      </c>
      <c r="F1162" s="9" t="s">
        <v>36</v>
      </c>
      <c r="G1162" s="9">
        <v>5</v>
      </c>
      <c r="H1162" s="9">
        <v>84213990</v>
      </c>
      <c r="I1162" s="11" t="s">
        <v>37</v>
      </c>
      <c r="J1162" s="12">
        <v>1.6500000000000001E-2</v>
      </c>
      <c r="K1162" s="12">
        <v>7.5999999999999998E-2</v>
      </c>
      <c r="L1162" s="12">
        <v>0</v>
      </c>
      <c r="M1162" s="13">
        <v>8003453170940</v>
      </c>
      <c r="N1162" s="14">
        <v>0.09</v>
      </c>
      <c r="O1162" s="14">
        <v>0.17499999999999999</v>
      </c>
      <c r="P1162" s="15" t="s">
        <v>35</v>
      </c>
      <c r="Q1162" s="16" t="s">
        <v>7197</v>
      </c>
      <c r="R1162" s="17" t="s">
        <v>35</v>
      </c>
      <c r="S1162" s="17" t="s">
        <v>7198</v>
      </c>
      <c r="T1162" s="17" t="s">
        <v>7199</v>
      </c>
      <c r="U1162" s="17" t="s">
        <v>7200</v>
      </c>
      <c r="V1162" s="17" t="s">
        <v>35</v>
      </c>
      <c r="W1162" s="17" t="s">
        <v>35</v>
      </c>
      <c r="X1162" s="17" t="s">
        <v>7201</v>
      </c>
      <c r="Y1162" s="17" t="s">
        <v>7202</v>
      </c>
      <c r="Z1162" s="17" t="s">
        <v>35</v>
      </c>
      <c r="AA1162" s="17" t="s">
        <v>35</v>
      </c>
      <c r="AB1162" s="17" t="s">
        <v>35</v>
      </c>
      <c r="AC1162" s="17" t="s">
        <v>9539</v>
      </c>
      <c r="AD1162" s="42">
        <v>24.13</v>
      </c>
      <c r="AE1162" s="42">
        <v>24.13</v>
      </c>
      <c r="AF1162" s="48"/>
      <c r="AG1162" s="44"/>
      <c r="AH1162" s="7">
        <f t="shared" si="18"/>
        <v>0</v>
      </c>
      <c r="AI1162" s="18"/>
      <c r="AJ1162" s="18"/>
    </row>
    <row r="1163" spans="1:38" ht="26.65" customHeight="1" x14ac:dyDescent="0.25">
      <c r="A1163" s="10" t="s">
        <v>7203</v>
      </c>
      <c r="B1163" s="9" t="s">
        <v>5140</v>
      </c>
      <c r="C1163" s="9" t="s">
        <v>43</v>
      </c>
      <c r="D1163" s="9" t="s">
        <v>5141</v>
      </c>
      <c r="E1163" s="9" t="s">
        <v>35</v>
      </c>
      <c r="F1163" s="9" t="s">
        <v>36</v>
      </c>
      <c r="G1163" s="9">
        <v>5</v>
      </c>
      <c r="H1163" s="9">
        <v>84213990</v>
      </c>
      <c r="I1163" s="11" t="s">
        <v>37</v>
      </c>
      <c r="J1163" s="12">
        <v>1.6500000000000001E-2</v>
      </c>
      <c r="K1163" s="12">
        <v>7.5999999999999998E-2</v>
      </c>
      <c r="L1163" s="12">
        <v>0</v>
      </c>
      <c r="M1163" s="13">
        <v>8003453171015</v>
      </c>
      <c r="N1163" s="14">
        <v>0.13400000000000001</v>
      </c>
      <c r="O1163" s="14">
        <v>0.21299999999999999</v>
      </c>
      <c r="P1163" s="15" t="s">
        <v>35</v>
      </c>
      <c r="Q1163" s="16" t="s">
        <v>7204</v>
      </c>
      <c r="R1163" s="17" t="s">
        <v>35</v>
      </c>
      <c r="S1163" s="17" t="s">
        <v>7205</v>
      </c>
      <c r="T1163" s="17" t="s">
        <v>7206</v>
      </c>
      <c r="U1163" s="17" t="s">
        <v>7207</v>
      </c>
      <c r="V1163" s="17" t="s">
        <v>35</v>
      </c>
      <c r="W1163" s="17" t="s">
        <v>35</v>
      </c>
      <c r="X1163" s="17" t="s">
        <v>7208</v>
      </c>
      <c r="Y1163" s="17" t="s">
        <v>7209</v>
      </c>
      <c r="Z1163" s="17" t="s">
        <v>35</v>
      </c>
      <c r="AA1163" s="17" t="s">
        <v>35</v>
      </c>
      <c r="AB1163" s="17" t="s">
        <v>35</v>
      </c>
      <c r="AC1163" s="17" t="s">
        <v>9539</v>
      </c>
      <c r="AD1163" s="41">
        <v>22.92</v>
      </c>
      <c r="AE1163" s="41">
        <v>22.92</v>
      </c>
      <c r="AF1163" s="48"/>
      <c r="AG1163" s="44"/>
      <c r="AH1163" s="7">
        <f t="shared" si="18"/>
        <v>0</v>
      </c>
      <c r="AI1163" s="18"/>
      <c r="AJ1163" s="18"/>
      <c r="AL1163" s="18"/>
    </row>
    <row r="1164" spans="1:38" ht="26.65" customHeight="1" x14ac:dyDescent="0.25">
      <c r="A1164" s="10" t="s">
        <v>7210</v>
      </c>
      <c r="B1164" s="9" t="s">
        <v>5140</v>
      </c>
      <c r="C1164" s="9" t="s">
        <v>43</v>
      </c>
      <c r="D1164" s="9" t="s">
        <v>5141</v>
      </c>
      <c r="E1164" s="9" t="s">
        <v>35</v>
      </c>
      <c r="F1164" s="9" t="s">
        <v>36</v>
      </c>
      <c r="G1164" s="9">
        <v>5</v>
      </c>
      <c r="H1164" s="9">
        <v>84213990</v>
      </c>
      <c r="I1164" s="11" t="s">
        <v>37</v>
      </c>
      <c r="J1164" s="12">
        <v>1.6500000000000001E-2</v>
      </c>
      <c r="K1164" s="12">
        <v>7.5999999999999998E-2</v>
      </c>
      <c r="L1164" s="12">
        <v>0</v>
      </c>
      <c r="M1164" s="13">
        <v>8003453171039</v>
      </c>
      <c r="N1164" s="14">
        <v>3.7999999999999999E-2</v>
      </c>
      <c r="O1164" s="14">
        <v>0.112</v>
      </c>
      <c r="P1164" s="15" t="s">
        <v>35</v>
      </c>
      <c r="Q1164" s="16" t="s">
        <v>7211</v>
      </c>
      <c r="R1164" s="17" t="s">
        <v>7212</v>
      </c>
      <c r="S1164" s="17" t="s">
        <v>7213</v>
      </c>
      <c r="T1164" s="17" t="s">
        <v>7214</v>
      </c>
      <c r="U1164" s="17" t="s">
        <v>7215</v>
      </c>
      <c r="V1164" s="17" t="s">
        <v>7216</v>
      </c>
      <c r="W1164" s="17" t="s">
        <v>7217</v>
      </c>
      <c r="X1164" s="17" t="s">
        <v>7218</v>
      </c>
      <c r="Y1164" s="17" t="s">
        <v>7219</v>
      </c>
      <c r="Z1164" s="17" t="s">
        <v>35</v>
      </c>
      <c r="AA1164" s="17" t="s">
        <v>35</v>
      </c>
      <c r="AB1164" s="17" t="s">
        <v>35</v>
      </c>
      <c r="AC1164" s="17" t="s">
        <v>9539</v>
      </c>
      <c r="AD1164" s="42">
        <v>10.27</v>
      </c>
      <c r="AE1164" s="42">
        <v>10.27</v>
      </c>
      <c r="AF1164" s="48"/>
      <c r="AG1164" s="44"/>
      <c r="AH1164" s="7">
        <f t="shared" si="18"/>
        <v>0</v>
      </c>
      <c r="AI1164" s="18"/>
      <c r="AJ1164" s="18"/>
    </row>
    <row r="1165" spans="1:38" ht="26.65" customHeight="1" x14ac:dyDescent="0.25">
      <c r="A1165" s="10" t="s">
        <v>7220</v>
      </c>
      <c r="B1165" s="9" t="s">
        <v>5140</v>
      </c>
      <c r="C1165" s="9" t="s">
        <v>43</v>
      </c>
      <c r="D1165" s="9" t="s">
        <v>5141</v>
      </c>
      <c r="E1165" s="9" t="s">
        <v>35</v>
      </c>
      <c r="F1165" s="9" t="s">
        <v>36</v>
      </c>
      <c r="G1165" s="9">
        <v>5</v>
      </c>
      <c r="H1165" s="9">
        <v>84213990</v>
      </c>
      <c r="I1165" s="11" t="s">
        <v>37</v>
      </c>
      <c r="J1165" s="12">
        <v>1.6500000000000001E-2</v>
      </c>
      <c r="K1165" s="12">
        <v>7.5999999999999998E-2</v>
      </c>
      <c r="L1165" s="12">
        <v>0</v>
      </c>
      <c r="M1165" s="13">
        <v>8003453171077</v>
      </c>
      <c r="N1165" s="14">
        <v>0.56999999999999995</v>
      </c>
      <c r="O1165" s="14">
        <v>1.22</v>
      </c>
      <c r="P1165" s="15" t="s">
        <v>35</v>
      </c>
      <c r="Q1165" s="16" t="s">
        <v>7221</v>
      </c>
      <c r="R1165" s="17" t="s">
        <v>35</v>
      </c>
      <c r="S1165" s="17" t="s">
        <v>7222</v>
      </c>
      <c r="T1165" s="17" t="s">
        <v>7223</v>
      </c>
      <c r="U1165" s="17" t="s">
        <v>7224</v>
      </c>
      <c r="V1165" s="17" t="s">
        <v>7225</v>
      </c>
      <c r="W1165" s="17" t="s">
        <v>7226</v>
      </c>
      <c r="X1165" s="17" t="s">
        <v>7227</v>
      </c>
      <c r="Y1165" s="17" t="s">
        <v>7228</v>
      </c>
      <c r="Z1165" s="17" t="s">
        <v>35</v>
      </c>
      <c r="AA1165" s="17" t="s">
        <v>35</v>
      </c>
      <c r="AB1165" s="17" t="s">
        <v>35</v>
      </c>
      <c r="AC1165" s="17" t="s">
        <v>9539</v>
      </c>
      <c r="AD1165" s="41">
        <v>18.3</v>
      </c>
      <c r="AE1165" s="41">
        <v>18.3</v>
      </c>
      <c r="AF1165" s="48"/>
      <c r="AG1165" s="44"/>
      <c r="AH1165" s="7">
        <f t="shared" si="18"/>
        <v>0</v>
      </c>
      <c r="AI1165" s="18"/>
      <c r="AJ1165" s="18"/>
      <c r="AL1165" s="18"/>
    </row>
    <row r="1166" spans="1:38" ht="26.65" customHeight="1" x14ac:dyDescent="0.25">
      <c r="A1166" s="10" t="s">
        <v>7229</v>
      </c>
      <c r="B1166" s="9" t="s">
        <v>5140</v>
      </c>
      <c r="C1166" s="9" t="s">
        <v>43</v>
      </c>
      <c r="D1166" s="9" t="s">
        <v>5141</v>
      </c>
      <c r="E1166" s="9" t="s">
        <v>35</v>
      </c>
      <c r="F1166" s="9" t="s">
        <v>36</v>
      </c>
      <c r="G1166" s="9">
        <v>5</v>
      </c>
      <c r="H1166" s="9">
        <v>84213990</v>
      </c>
      <c r="I1166" s="11" t="s">
        <v>37</v>
      </c>
      <c r="J1166" s="12">
        <v>1.6500000000000001E-2</v>
      </c>
      <c r="K1166" s="12">
        <v>7.5999999999999998E-2</v>
      </c>
      <c r="L1166" s="12">
        <v>0</v>
      </c>
      <c r="M1166" s="13">
        <v>8003453171091</v>
      </c>
      <c r="N1166" s="14">
        <v>0.05</v>
      </c>
      <c r="O1166" s="14">
        <v>0.126</v>
      </c>
      <c r="P1166" s="15" t="s">
        <v>35</v>
      </c>
      <c r="Q1166" s="16" t="s">
        <v>7230</v>
      </c>
      <c r="R1166" s="17" t="s">
        <v>35</v>
      </c>
      <c r="S1166" s="17" t="s">
        <v>7231</v>
      </c>
      <c r="T1166" s="17" t="s">
        <v>7232</v>
      </c>
      <c r="U1166" s="17" t="s">
        <v>7233</v>
      </c>
      <c r="V1166" s="17" t="s">
        <v>7234</v>
      </c>
      <c r="W1166" s="17" t="s">
        <v>7235</v>
      </c>
      <c r="X1166" s="17" t="s">
        <v>7236</v>
      </c>
      <c r="Y1166" s="17" t="s">
        <v>7237</v>
      </c>
      <c r="Z1166" s="17" t="s">
        <v>35</v>
      </c>
      <c r="AA1166" s="17" t="s">
        <v>35</v>
      </c>
      <c r="AB1166" s="17" t="s">
        <v>35</v>
      </c>
      <c r="AC1166" s="17" t="s">
        <v>9539</v>
      </c>
      <c r="AD1166" s="41">
        <v>9.92</v>
      </c>
      <c r="AE1166" s="41">
        <v>9.92</v>
      </c>
      <c r="AF1166" s="48"/>
      <c r="AG1166" s="44"/>
      <c r="AH1166" s="7">
        <f t="shared" si="18"/>
        <v>0</v>
      </c>
      <c r="AI1166" s="18"/>
      <c r="AJ1166" s="18"/>
    </row>
    <row r="1167" spans="1:38" ht="26.65" customHeight="1" x14ac:dyDescent="0.25">
      <c r="A1167" s="10" t="s">
        <v>7238</v>
      </c>
      <c r="B1167" s="9" t="s">
        <v>5140</v>
      </c>
      <c r="C1167" s="9" t="s">
        <v>43</v>
      </c>
      <c r="D1167" s="9" t="s">
        <v>5141</v>
      </c>
      <c r="E1167" s="9" t="s">
        <v>35</v>
      </c>
      <c r="F1167" s="9" t="s">
        <v>36</v>
      </c>
      <c r="G1167" s="9">
        <v>5</v>
      </c>
      <c r="H1167" s="9">
        <v>84213990</v>
      </c>
      <c r="I1167" s="11" t="s">
        <v>37</v>
      </c>
      <c r="J1167" s="12">
        <v>1.6500000000000001E-2</v>
      </c>
      <c r="K1167" s="12">
        <v>7.5999999999999998E-2</v>
      </c>
      <c r="L1167" s="12">
        <v>0</v>
      </c>
      <c r="M1167" s="13">
        <v>8003453171244</v>
      </c>
      <c r="N1167" s="14">
        <v>0.14000000000000001</v>
      </c>
      <c r="O1167" s="14">
        <v>0.22</v>
      </c>
      <c r="P1167" s="15">
        <v>44896</v>
      </c>
      <c r="Q1167" s="16" t="s">
        <v>7239</v>
      </c>
      <c r="R1167" s="17" t="s">
        <v>7240</v>
      </c>
      <c r="S1167" s="17" t="s">
        <v>7241</v>
      </c>
      <c r="T1167" s="17" t="s">
        <v>7242</v>
      </c>
      <c r="U1167" s="17" t="s">
        <v>7243</v>
      </c>
      <c r="V1167" s="17" t="s">
        <v>7244</v>
      </c>
      <c r="W1167" s="17" t="s">
        <v>7245</v>
      </c>
      <c r="X1167" s="17" t="s">
        <v>7246</v>
      </c>
      <c r="Y1167" s="17" t="s">
        <v>7247</v>
      </c>
      <c r="Z1167" s="17" t="s">
        <v>35</v>
      </c>
      <c r="AA1167" s="17" t="s">
        <v>35</v>
      </c>
      <c r="AB1167" s="17" t="s">
        <v>35</v>
      </c>
      <c r="AC1167" s="17" t="s">
        <v>9539</v>
      </c>
      <c r="AD1167" s="42">
        <v>19.11</v>
      </c>
      <c r="AE1167" s="42">
        <v>19.11</v>
      </c>
      <c r="AF1167" s="48"/>
      <c r="AG1167" s="44"/>
      <c r="AH1167" s="7">
        <f t="shared" si="18"/>
        <v>0</v>
      </c>
      <c r="AI1167" s="18"/>
      <c r="AJ1167" s="18"/>
    </row>
    <row r="1168" spans="1:38" ht="26.65" customHeight="1" x14ac:dyDescent="0.25">
      <c r="A1168" s="38" t="s">
        <v>7248</v>
      </c>
      <c r="B1168" s="9" t="s">
        <v>5140</v>
      </c>
      <c r="C1168" s="9" t="s">
        <v>43</v>
      </c>
      <c r="D1168" s="9" t="s">
        <v>7087</v>
      </c>
      <c r="E1168" s="9" t="s">
        <v>35</v>
      </c>
      <c r="F1168" s="9" t="s">
        <v>36</v>
      </c>
      <c r="G1168" s="9">
        <v>6</v>
      </c>
      <c r="H1168" s="9">
        <v>84213990</v>
      </c>
      <c r="I1168" s="11" t="s">
        <v>37</v>
      </c>
      <c r="J1168" s="12">
        <v>1.6500000000000001E-2</v>
      </c>
      <c r="K1168" s="12">
        <v>7.5999999999999998E-2</v>
      </c>
      <c r="L1168" s="12">
        <v>0</v>
      </c>
      <c r="M1168" s="13">
        <v>8003453171305</v>
      </c>
      <c r="N1168" s="14">
        <v>0.05</v>
      </c>
      <c r="O1168" s="14">
        <v>0.13</v>
      </c>
      <c r="P1168" s="15">
        <v>45108</v>
      </c>
      <c r="Q1168" s="16" t="s">
        <v>7249</v>
      </c>
      <c r="R1168" s="17" t="s">
        <v>35</v>
      </c>
      <c r="S1168" s="17" t="s">
        <v>35</v>
      </c>
      <c r="T1168" s="17" t="s">
        <v>7250</v>
      </c>
      <c r="U1168" s="17" t="s">
        <v>35</v>
      </c>
      <c r="V1168" s="17" t="s">
        <v>7251</v>
      </c>
      <c r="W1168" s="17" t="s">
        <v>7252</v>
      </c>
      <c r="X1168" s="17" t="s">
        <v>7253</v>
      </c>
      <c r="Y1168" s="17" t="s">
        <v>7254</v>
      </c>
      <c r="Z1168" s="17" t="s">
        <v>35</v>
      </c>
      <c r="AA1168" s="17" t="s">
        <v>35</v>
      </c>
      <c r="AB1168" s="17" t="s">
        <v>35</v>
      </c>
      <c r="AC1168" s="17" t="s">
        <v>9538</v>
      </c>
      <c r="AD1168" s="42">
        <v>12.26</v>
      </c>
      <c r="AE1168" s="42">
        <v>12.26</v>
      </c>
      <c r="AF1168" s="48"/>
      <c r="AG1168" s="44"/>
      <c r="AH1168" s="7">
        <f t="shared" si="18"/>
        <v>0</v>
      </c>
      <c r="AI1168" s="18"/>
      <c r="AJ1168" s="18"/>
    </row>
    <row r="1169" spans="1:38" ht="26.65" customHeight="1" x14ac:dyDescent="0.25">
      <c r="A1169" s="38" t="s">
        <v>7255</v>
      </c>
      <c r="B1169" s="9" t="s">
        <v>5140</v>
      </c>
      <c r="C1169" s="9" t="s">
        <v>43</v>
      </c>
      <c r="D1169" s="9" t="s">
        <v>5141</v>
      </c>
      <c r="E1169" s="9" t="s">
        <v>35</v>
      </c>
      <c r="F1169" s="9" t="s">
        <v>36</v>
      </c>
      <c r="G1169" s="9">
        <v>5</v>
      </c>
      <c r="H1169" s="9">
        <v>84213990</v>
      </c>
      <c r="I1169" s="11" t="s">
        <v>37</v>
      </c>
      <c r="J1169" s="12">
        <v>1.6500000000000001E-2</v>
      </c>
      <c r="K1169" s="12">
        <v>7.5999999999999998E-2</v>
      </c>
      <c r="L1169" s="12">
        <v>0</v>
      </c>
      <c r="M1169" s="13">
        <v>8003453171374</v>
      </c>
      <c r="N1169" s="14">
        <v>0.112</v>
      </c>
      <c r="O1169" s="14">
        <v>0.192</v>
      </c>
      <c r="P1169" s="15" t="s">
        <v>35</v>
      </c>
      <c r="Q1169" s="16" t="s">
        <v>7256</v>
      </c>
      <c r="R1169" s="17" t="s">
        <v>35</v>
      </c>
      <c r="S1169" s="17" t="s">
        <v>7257</v>
      </c>
      <c r="T1169" s="17" t="s">
        <v>7258</v>
      </c>
      <c r="U1169" s="17" t="s">
        <v>7259</v>
      </c>
      <c r="V1169" s="17" t="s">
        <v>7260</v>
      </c>
      <c r="W1169" s="17" t="s">
        <v>7261</v>
      </c>
      <c r="X1169" s="17" t="s">
        <v>7262</v>
      </c>
      <c r="Y1169" s="17" t="s">
        <v>7263</v>
      </c>
      <c r="Z1169" s="17" t="s">
        <v>35</v>
      </c>
      <c r="AA1169" s="17" t="s">
        <v>35</v>
      </c>
      <c r="AB1169" s="17" t="s">
        <v>35</v>
      </c>
      <c r="AC1169" s="17" t="s">
        <v>9538</v>
      </c>
      <c r="AD1169" s="42">
        <v>30.46</v>
      </c>
      <c r="AE1169" s="42">
        <v>30.46</v>
      </c>
      <c r="AF1169" s="48"/>
      <c r="AG1169" s="44"/>
      <c r="AH1169" s="7">
        <f t="shared" si="18"/>
        <v>0</v>
      </c>
      <c r="AI1169" s="18"/>
      <c r="AJ1169" s="18"/>
    </row>
    <row r="1170" spans="1:38" ht="26.65" customHeight="1" x14ac:dyDescent="0.25">
      <c r="A1170" s="38" t="s">
        <v>7264</v>
      </c>
      <c r="B1170" s="9" t="s">
        <v>5140</v>
      </c>
      <c r="C1170" s="9" t="s">
        <v>58</v>
      </c>
      <c r="D1170" s="9" t="s">
        <v>7087</v>
      </c>
      <c r="E1170" s="9" t="s">
        <v>35</v>
      </c>
      <c r="F1170" s="9" t="s">
        <v>36</v>
      </c>
      <c r="G1170" s="9">
        <v>5</v>
      </c>
      <c r="H1170" s="9">
        <v>84213990</v>
      </c>
      <c r="I1170" s="11" t="s">
        <v>37</v>
      </c>
      <c r="J1170" s="12">
        <v>1.6500000000000001E-2</v>
      </c>
      <c r="K1170" s="12">
        <v>7.5999999999999998E-2</v>
      </c>
      <c r="L1170" s="12">
        <v>0</v>
      </c>
      <c r="M1170" s="13">
        <v>8003453171398</v>
      </c>
      <c r="N1170" s="14">
        <v>0.151</v>
      </c>
      <c r="O1170" s="14">
        <v>0.20699999999999999</v>
      </c>
      <c r="P1170" s="15">
        <v>44531</v>
      </c>
      <c r="Q1170" s="16" t="s">
        <v>7265</v>
      </c>
      <c r="R1170" s="17" t="s">
        <v>7266</v>
      </c>
      <c r="S1170" s="17" t="s">
        <v>7267</v>
      </c>
      <c r="T1170" s="17" t="s">
        <v>7268</v>
      </c>
      <c r="U1170" s="17" t="s">
        <v>35</v>
      </c>
      <c r="V1170" s="17" t="s">
        <v>35</v>
      </c>
      <c r="W1170" s="17" t="s">
        <v>35</v>
      </c>
      <c r="X1170" s="17" t="s">
        <v>35</v>
      </c>
      <c r="Y1170" s="17" t="s">
        <v>7269</v>
      </c>
      <c r="Z1170" s="17" t="s">
        <v>7270</v>
      </c>
      <c r="AA1170" s="17" t="s">
        <v>35</v>
      </c>
      <c r="AB1170" s="17" t="s">
        <v>7271</v>
      </c>
      <c r="AC1170" s="17" t="s">
        <v>9538</v>
      </c>
      <c r="AD1170" s="41">
        <v>40.630000000000003</v>
      </c>
      <c r="AE1170" s="41">
        <v>40.630000000000003</v>
      </c>
      <c r="AF1170" s="48"/>
      <c r="AG1170" s="44"/>
      <c r="AH1170" s="7">
        <f t="shared" si="18"/>
        <v>0</v>
      </c>
      <c r="AI1170" s="18"/>
      <c r="AJ1170" s="18"/>
      <c r="AL1170" s="18"/>
    </row>
    <row r="1171" spans="1:38" ht="26.65" customHeight="1" x14ac:dyDescent="0.25">
      <c r="A1171" s="10" t="s">
        <v>7272</v>
      </c>
      <c r="B1171" s="9" t="s">
        <v>5140</v>
      </c>
      <c r="C1171" s="9" t="s">
        <v>43</v>
      </c>
      <c r="D1171" s="9" t="s">
        <v>5141</v>
      </c>
      <c r="E1171" s="9" t="s">
        <v>35</v>
      </c>
      <c r="F1171" s="9" t="s">
        <v>36</v>
      </c>
      <c r="G1171" s="9">
        <v>5</v>
      </c>
      <c r="H1171" s="9">
        <v>84213990</v>
      </c>
      <c r="I1171" s="11" t="s">
        <v>37</v>
      </c>
      <c r="J1171" s="12">
        <v>1.6500000000000001E-2</v>
      </c>
      <c r="K1171" s="12">
        <v>7.5999999999999998E-2</v>
      </c>
      <c r="L1171" s="12">
        <v>0</v>
      </c>
      <c r="M1171" s="13">
        <v>8003453171442</v>
      </c>
      <c r="N1171" s="14">
        <v>0.05</v>
      </c>
      <c r="O1171" s="14">
        <v>0.12</v>
      </c>
      <c r="P1171" s="15" t="s">
        <v>35</v>
      </c>
      <c r="Q1171" s="16" t="s">
        <v>7273</v>
      </c>
      <c r="R1171" s="17" t="s">
        <v>35</v>
      </c>
      <c r="S1171" s="17" t="s">
        <v>7274</v>
      </c>
      <c r="T1171" s="17" t="s">
        <v>7275</v>
      </c>
      <c r="U1171" s="17" t="s">
        <v>7276</v>
      </c>
      <c r="V1171" s="17" t="s">
        <v>7277</v>
      </c>
      <c r="W1171" s="17" t="s">
        <v>7278</v>
      </c>
      <c r="X1171" s="17" t="s">
        <v>7279</v>
      </c>
      <c r="Y1171" s="17" t="s">
        <v>7280</v>
      </c>
      <c r="Z1171" s="17" t="s">
        <v>35</v>
      </c>
      <c r="AA1171" s="17" t="s">
        <v>35</v>
      </c>
      <c r="AB1171" s="17" t="s">
        <v>35</v>
      </c>
      <c r="AC1171" s="17" t="s">
        <v>9539</v>
      </c>
      <c r="AD1171" s="41">
        <v>9.69</v>
      </c>
      <c r="AE1171" s="41">
        <v>9.69</v>
      </c>
      <c r="AF1171" s="48"/>
      <c r="AG1171" s="44"/>
      <c r="AH1171" s="7">
        <f t="shared" si="18"/>
        <v>0</v>
      </c>
      <c r="AI1171" s="18"/>
      <c r="AJ1171" s="18"/>
      <c r="AL1171" s="18"/>
    </row>
    <row r="1172" spans="1:38" ht="26.65" customHeight="1" x14ac:dyDescent="0.25">
      <c r="A1172" s="10" t="s">
        <v>10416</v>
      </c>
      <c r="B1172" s="9" t="s">
        <v>6924</v>
      </c>
      <c r="C1172" s="9" t="s">
        <v>43</v>
      </c>
      <c r="D1172" s="9" t="s">
        <v>5141</v>
      </c>
      <c r="E1172" s="9" t="s">
        <v>35</v>
      </c>
      <c r="F1172" s="9" t="s">
        <v>2072</v>
      </c>
      <c r="G1172" s="9">
        <v>5</v>
      </c>
      <c r="H1172" s="9">
        <v>84213990</v>
      </c>
      <c r="I1172" s="11" t="s">
        <v>2073</v>
      </c>
      <c r="J1172" s="12">
        <v>1.6500000000000001E-2</v>
      </c>
      <c r="K1172" s="12">
        <v>7.5999999999999998E-2</v>
      </c>
      <c r="L1172" s="12">
        <v>0</v>
      </c>
      <c r="M1172" s="13">
        <v>8003453171466</v>
      </c>
      <c r="N1172" s="14" t="s">
        <v>35</v>
      </c>
      <c r="O1172" s="14" t="s">
        <v>35</v>
      </c>
      <c r="P1172" s="15">
        <v>45566</v>
      </c>
      <c r="Q1172" s="16" t="s">
        <v>10417</v>
      </c>
      <c r="R1172" s="17" t="s">
        <v>35</v>
      </c>
      <c r="S1172" s="17" t="s">
        <v>10418</v>
      </c>
      <c r="T1172" s="17" t="s">
        <v>35</v>
      </c>
      <c r="U1172" s="17" t="s">
        <v>10419</v>
      </c>
      <c r="V1172" s="17" t="s">
        <v>10420</v>
      </c>
      <c r="W1172" s="17" t="s">
        <v>35</v>
      </c>
      <c r="X1172" s="17" t="s">
        <v>35</v>
      </c>
      <c r="Y1172" s="17" t="s">
        <v>10421</v>
      </c>
      <c r="Z1172" s="17" t="s">
        <v>35</v>
      </c>
      <c r="AA1172" s="17" t="s">
        <v>35</v>
      </c>
      <c r="AB1172" s="17" t="s">
        <v>35</v>
      </c>
      <c r="AC1172" s="17" t="s">
        <v>9539</v>
      </c>
      <c r="AD1172" s="41">
        <v>6.96</v>
      </c>
      <c r="AE1172" s="41">
        <v>6.96</v>
      </c>
      <c r="AF1172" s="48"/>
      <c r="AG1172" s="44"/>
      <c r="AH1172" s="7">
        <f t="shared" si="18"/>
        <v>0</v>
      </c>
      <c r="AI1172" s="18"/>
      <c r="AJ1172" s="18"/>
    </row>
    <row r="1173" spans="1:38" ht="26.65" customHeight="1" x14ac:dyDescent="0.25">
      <c r="A1173" s="10" t="s">
        <v>7281</v>
      </c>
      <c r="B1173" s="9" t="s">
        <v>5140</v>
      </c>
      <c r="C1173" s="9" t="s">
        <v>43</v>
      </c>
      <c r="D1173" s="9" t="s">
        <v>5141</v>
      </c>
      <c r="E1173" s="9" t="s">
        <v>35</v>
      </c>
      <c r="F1173" s="9" t="s">
        <v>36</v>
      </c>
      <c r="G1173" s="9">
        <v>5</v>
      </c>
      <c r="H1173" s="9">
        <v>84213990</v>
      </c>
      <c r="I1173" s="11" t="s">
        <v>37</v>
      </c>
      <c r="J1173" s="12">
        <v>1.6500000000000001E-2</v>
      </c>
      <c r="K1173" s="12">
        <v>7.5999999999999998E-2</v>
      </c>
      <c r="L1173" s="12">
        <v>0</v>
      </c>
      <c r="M1173" s="13">
        <v>8003453171473</v>
      </c>
      <c r="N1173" s="14">
        <v>0.12</v>
      </c>
      <c r="O1173" s="14">
        <v>0.22900000000000001</v>
      </c>
      <c r="P1173" s="15">
        <v>44868</v>
      </c>
      <c r="Q1173" s="16" t="s">
        <v>7282</v>
      </c>
      <c r="R1173" s="17" t="s">
        <v>7283</v>
      </c>
      <c r="S1173" s="17" t="s">
        <v>7284</v>
      </c>
      <c r="T1173" s="17" t="s">
        <v>7285</v>
      </c>
      <c r="U1173" s="17" t="s">
        <v>7286</v>
      </c>
      <c r="V1173" s="17" t="s">
        <v>7287</v>
      </c>
      <c r="W1173" s="17" t="s">
        <v>7288</v>
      </c>
      <c r="X1173" s="17" t="s">
        <v>7289</v>
      </c>
      <c r="Y1173" s="17" t="s">
        <v>7290</v>
      </c>
      <c r="Z1173" s="17" t="s">
        <v>35</v>
      </c>
      <c r="AA1173" s="17" t="s">
        <v>35</v>
      </c>
      <c r="AB1173" s="17" t="s">
        <v>35</v>
      </c>
      <c r="AC1173" s="17" t="s">
        <v>9539</v>
      </c>
      <c r="AD1173" s="42">
        <v>20.83</v>
      </c>
      <c r="AE1173" s="42">
        <v>20.83</v>
      </c>
      <c r="AF1173" s="48"/>
      <c r="AG1173" s="44"/>
      <c r="AH1173" s="7">
        <f t="shared" si="18"/>
        <v>0</v>
      </c>
      <c r="AI1173" s="18"/>
      <c r="AJ1173" s="18"/>
    </row>
    <row r="1174" spans="1:38" ht="26.65" customHeight="1" x14ac:dyDescent="0.25">
      <c r="A1174" s="10" t="s">
        <v>7291</v>
      </c>
      <c r="B1174" s="9" t="s">
        <v>5140</v>
      </c>
      <c r="C1174" s="9" t="s">
        <v>43</v>
      </c>
      <c r="D1174" s="9" t="s">
        <v>5141</v>
      </c>
      <c r="E1174" s="9" t="s">
        <v>35</v>
      </c>
      <c r="F1174" s="9" t="s">
        <v>36</v>
      </c>
      <c r="G1174" s="9">
        <v>5</v>
      </c>
      <c r="H1174" s="9">
        <v>84213990</v>
      </c>
      <c r="I1174" s="11" t="s">
        <v>37</v>
      </c>
      <c r="J1174" s="12">
        <v>1.6500000000000001E-2</v>
      </c>
      <c r="K1174" s="12">
        <v>7.5999999999999998E-2</v>
      </c>
      <c r="L1174" s="12">
        <v>0</v>
      </c>
      <c r="M1174" s="13">
        <v>8003453171510</v>
      </c>
      <c r="N1174" s="14">
        <v>0.05</v>
      </c>
      <c r="O1174" s="14">
        <v>0.107</v>
      </c>
      <c r="P1174" s="15">
        <v>44868</v>
      </c>
      <c r="Q1174" s="16" t="s">
        <v>7292</v>
      </c>
      <c r="R1174" s="17" t="s">
        <v>7293</v>
      </c>
      <c r="S1174" s="17" t="s">
        <v>7294</v>
      </c>
      <c r="T1174" s="17" t="s">
        <v>7295</v>
      </c>
      <c r="U1174" s="17" t="s">
        <v>7296</v>
      </c>
      <c r="V1174" s="17" t="s">
        <v>7297</v>
      </c>
      <c r="W1174" s="17" t="s">
        <v>7298</v>
      </c>
      <c r="X1174" s="17" t="s">
        <v>7299</v>
      </c>
      <c r="Y1174" s="17" t="s">
        <v>7300</v>
      </c>
      <c r="Z1174" s="17" t="s">
        <v>35</v>
      </c>
      <c r="AA1174" s="17" t="s">
        <v>35</v>
      </c>
      <c r="AB1174" s="17" t="s">
        <v>35</v>
      </c>
      <c r="AC1174" s="17" t="s">
        <v>9539</v>
      </c>
      <c r="AD1174" s="42">
        <v>13.44</v>
      </c>
      <c r="AE1174" s="42">
        <v>13.44</v>
      </c>
      <c r="AF1174" s="48"/>
      <c r="AG1174" s="44"/>
      <c r="AH1174" s="7">
        <f t="shared" si="18"/>
        <v>0</v>
      </c>
      <c r="AI1174" s="18"/>
      <c r="AJ1174" s="18"/>
    </row>
    <row r="1175" spans="1:38" ht="26.65" customHeight="1" x14ac:dyDescent="0.25">
      <c r="A1175" s="10" t="s">
        <v>7301</v>
      </c>
      <c r="B1175" s="9" t="s">
        <v>5140</v>
      </c>
      <c r="C1175" s="9" t="s">
        <v>43</v>
      </c>
      <c r="D1175" s="9" t="s">
        <v>5141</v>
      </c>
      <c r="E1175" s="9" t="s">
        <v>35</v>
      </c>
      <c r="F1175" s="9" t="s">
        <v>36</v>
      </c>
      <c r="G1175" s="9">
        <v>5</v>
      </c>
      <c r="H1175" s="9">
        <v>84213990</v>
      </c>
      <c r="I1175" s="11" t="s">
        <v>37</v>
      </c>
      <c r="J1175" s="12">
        <v>1.6500000000000001E-2</v>
      </c>
      <c r="K1175" s="12">
        <v>7.5999999999999998E-2</v>
      </c>
      <c r="L1175" s="12">
        <v>0</v>
      </c>
      <c r="M1175" s="13">
        <v>8003453171527</v>
      </c>
      <c r="N1175" s="14">
        <v>4.3999999999999997E-2</v>
      </c>
      <c r="O1175" s="14">
        <v>0.124</v>
      </c>
      <c r="P1175" s="15" t="s">
        <v>35</v>
      </c>
      <c r="Q1175" s="16" t="s">
        <v>5798</v>
      </c>
      <c r="R1175" s="17" t="s">
        <v>35</v>
      </c>
      <c r="S1175" s="17" t="s">
        <v>7302</v>
      </c>
      <c r="T1175" s="17" t="s">
        <v>7303</v>
      </c>
      <c r="U1175" s="17" t="s">
        <v>35</v>
      </c>
      <c r="V1175" s="17" t="s">
        <v>7304</v>
      </c>
      <c r="W1175" s="17" t="s">
        <v>7305</v>
      </c>
      <c r="X1175" s="17" t="s">
        <v>7306</v>
      </c>
      <c r="Y1175" s="17" t="s">
        <v>7307</v>
      </c>
      <c r="Z1175" s="17" t="s">
        <v>35</v>
      </c>
      <c r="AA1175" s="17" t="s">
        <v>35</v>
      </c>
      <c r="AB1175" s="17" t="s">
        <v>35</v>
      </c>
      <c r="AC1175" s="17" t="s">
        <v>9539</v>
      </c>
      <c r="AD1175" s="42">
        <v>18.350000000000001</v>
      </c>
      <c r="AE1175" s="42">
        <v>18.350000000000001</v>
      </c>
      <c r="AF1175" s="48"/>
      <c r="AG1175" s="44"/>
      <c r="AH1175" s="7">
        <f t="shared" si="18"/>
        <v>0</v>
      </c>
      <c r="AI1175" s="18"/>
      <c r="AJ1175" s="18"/>
    </row>
    <row r="1176" spans="1:38" ht="26.65" customHeight="1" x14ac:dyDescent="0.25">
      <c r="A1176" s="38" t="s">
        <v>7308</v>
      </c>
      <c r="B1176" s="9" t="s">
        <v>5140</v>
      </c>
      <c r="C1176" s="9" t="s">
        <v>43</v>
      </c>
      <c r="D1176" s="9" t="s">
        <v>5141</v>
      </c>
      <c r="E1176" s="9" t="s">
        <v>35</v>
      </c>
      <c r="F1176" s="9" t="s">
        <v>36</v>
      </c>
      <c r="G1176" s="9">
        <v>5</v>
      </c>
      <c r="H1176" s="9">
        <v>84213990</v>
      </c>
      <c r="I1176" s="11" t="s">
        <v>37</v>
      </c>
      <c r="J1176" s="12">
        <v>1.6500000000000001E-2</v>
      </c>
      <c r="K1176" s="12">
        <v>7.5999999999999998E-2</v>
      </c>
      <c r="L1176" s="12">
        <v>0</v>
      </c>
      <c r="M1176" s="13">
        <v>8003453171534</v>
      </c>
      <c r="N1176" s="14">
        <v>0.12</v>
      </c>
      <c r="O1176" s="14">
        <v>0.21199999999999999</v>
      </c>
      <c r="P1176" s="15" t="s">
        <v>35</v>
      </c>
      <c r="Q1176" s="16" t="s">
        <v>7309</v>
      </c>
      <c r="R1176" s="17" t="s">
        <v>35</v>
      </c>
      <c r="S1176" s="17" t="s">
        <v>7310</v>
      </c>
      <c r="T1176" s="17" t="s">
        <v>7311</v>
      </c>
      <c r="U1176" s="17" t="s">
        <v>35</v>
      </c>
      <c r="V1176" s="17" t="s">
        <v>7312</v>
      </c>
      <c r="W1176" s="17" t="s">
        <v>7313</v>
      </c>
      <c r="X1176" s="17" t="s">
        <v>7314</v>
      </c>
      <c r="Y1176" s="17" t="s">
        <v>7315</v>
      </c>
      <c r="Z1176" s="17" t="s">
        <v>35</v>
      </c>
      <c r="AA1176" s="17" t="s">
        <v>35</v>
      </c>
      <c r="AB1176" s="17" t="s">
        <v>35</v>
      </c>
      <c r="AC1176" s="17" t="s">
        <v>9538</v>
      </c>
      <c r="AD1176" s="41">
        <v>26.07</v>
      </c>
      <c r="AE1176" s="41">
        <v>26.07</v>
      </c>
      <c r="AF1176" s="48"/>
      <c r="AG1176" s="44"/>
      <c r="AH1176" s="7">
        <f t="shared" si="18"/>
        <v>0</v>
      </c>
      <c r="AI1176" s="18"/>
      <c r="AJ1176" s="18"/>
      <c r="AL1176" s="18"/>
    </row>
    <row r="1177" spans="1:38" ht="26.65" customHeight="1" x14ac:dyDescent="0.25">
      <c r="A1177" s="10" t="s">
        <v>7316</v>
      </c>
      <c r="B1177" s="9" t="s">
        <v>5140</v>
      </c>
      <c r="C1177" s="9" t="s">
        <v>43</v>
      </c>
      <c r="D1177" s="9" t="s">
        <v>5141</v>
      </c>
      <c r="E1177" s="9" t="s">
        <v>35</v>
      </c>
      <c r="F1177" s="9" t="s">
        <v>36</v>
      </c>
      <c r="G1177" s="9">
        <v>5</v>
      </c>
      <c r="H1177" s="9">
        <v>84213990</v>
      </c>
      <c r="I1177" s="11" t="s">
        <v>37</v>
      </c>
      <c r="J1177" s="12">
        <v>1.6500000000000001E-2</v>
      </c>
      <c r="K1177" s="12">
        <v>7.5999999999999998E-2</v>
      </c>
      <c r="L1177" s="12">
        <v>0</v>
      </c>
      <c r="M1177" s="13">
        <v>8003453171565</v>
      </c>
      <c r="N1177" s="14">
        <v>4.9000000000000002E-2</v>
      </c>
      <c r="O1177" s="14">
        <v>9.9000000000000005E-2</v>
      </c>
      <c r="P1177" s="15" t="s">
        <v>35</v>
      </c>
      <c r="Q1177" s="16" t="s">
        <v>7317</v>
      </c>
      <c r="R1177" s="17" t="s">
        <v>7318</v>
      </c>
      <c r="S1177" s="17" t="s">
        <v>7319</v>
      </c>
      <c r="T1177" s="17" t="s">
        <v>7320</v>
      </c>
      <c r="U1177" s="17" t="s">
        <v>7321</v>
      </c>
      <c r="V1177" s="17" t="s">
        <v>7322</v>
      </c>
      <c r="W1177" s="17" t="s">
        <v>7323</v>
      </c>
      <c r="X1177" s="17" t="s">
        <v>7324</v>
      </c>
      <c r="Y1177" s="17" t="s">
        <v>7325</v>
      </c>
      <c r="Z1177" s="17" t="s">
        <v>35</v>
      </c>
      <c r="AA1177" s="17" t="s">
        <v>35</v>
      </c>
      <c r="AB1177" s="17" t="s">
        <v>35</v>
      </c>
      <c r="AC1177" s="17" t="s">
        <v>9539</v>
      </c>
      <c r="AD1177" s="42">
        <v>16.38</v>
      </c>
      <c r="AE1177" s="42">
        <v>16.38</v>
      </c>
      <c r="AF1177" s="48"/>
      <c r="AG1177" s="44"/>
      <c r="AH1177" s="7">
        <f t="shared" si="18"/>
        <v>0</v>
      </c>
      <c r="AI1177" s="18"/>
      <c r="AJ1177" s="18"/>
    </row>
    <row r="1178" spans="1:38" ht="26.65" customHeight="1" x14ac:dyDescent="0.25">
      <c r="A1178" s="10" t="s">
        <v>7326</v>
      </c>
      <c r="B1178" s="9" t="s">
        <v>5140</v>
      </c>
      <c r="C1178" s="9" t="s">
        <v>43</v>
      </c>
      <c r="D1178" s="9" t="s">
        <v>5141</v>
      </c>
      <c r="E1178" s="9" t="s">
        <v>35</v>
      </c>
      <c r="F1178" s="9" t="s">
        <v>36</v>
      </c>
      <c r="G1178" s="9">
        <v>5</v>
      </c>
      <c r="H1178" s="9">
        <v>84213990</v>
      </c>
      <c r="I1178" s="11" t="s">
        <v>37</v>
      </c>
      <c r="J1178" s="12">
        <v>1.6500000000000001E-2</v>
      </c>
      <c r="K1178" s="12">
        <v>7.5999999999999998E-2</v>
      </c>
      <c r="L1178" s="12">
        <v>0</v>
      </c>
      <c r="M1178" s="13">
        <v>8003453171572</v>
      </c>
      <c r="N1178" s="14">
        <v>0.105</v>
      </c>
      <c r="O1178" s="14">
        <v>0.20399999999999999</v>
      </c>
      <c r="P1178" s="15" t="s">
        <v>35</v>
      </c>
      <c r="Q1178" s="16" t="s">
        <v>7327</v>
      </c>
      <c r="R1178" s="17" t="s">
        <v>35</v>
      </c>
      <c r="S1178" s="17" t="s">
        <v>7328</v>
      </c>
      <c r="T1178" s="17" t="s">
        <v>7329</v>
      </c>
      <c r="U1178" s="17" t="s">
        <v>35</v>
      </c>
      <c r="V1178" s="17" t="s">
        <v>7330</v>
      </c>
      <c r="W1178" s="17" t="s">
        <v>35</v>
      </c>
      <c r="X1178" s="17" t="s">
        <v>7331</v>
      </c>
      <c r="Y1178" s="17" t="s">
        <v>7332</v>
      </c>
      <c r="Z1178" s="17" t="s">
        <v>35</v>
      </c>
      <c r="AA1178" s="17" t="s">
        <v>35</v>
      </c>
      <c r="AB1178" s="17" t="s">
        <v>35</v>
      </c>
      <c r="AC1178" s="17" t="s">
        <v>9539</v>
      </c>
      <c r="AD1178" s="41">
        <v>15.86</v>
      </c>
      <c r="AE1178" s="41">
        <v>15.86</v>
      </c>
      <c r="AF1178" s="48"/>
      <c r="AG1178" s="44"/>
      <c r="AH1178" s="7">
        <f t="shared" si="18"/>
        <v>0</v>
      </c>
      <c r="AI1178" s="18"/>
      <c r="AJ1178" s="18"/>
      <c r="AL1178" s="18"/>
    </row>
    <row r="1179" spans="1:38" ht="26.65" customHeight="1" x14ac:dyDescent="0.25">
      <c r="A1179" s="10" t="s">
        <v>7333</v>
      </c>
      <c r="B1179" s="9" t="s">
        <v>5140</v>
      </c>
      <c r="C1179" s="9" t="s">
        <v>43</v>
      </c>
      <c r="D1179" s="9" t="s">
        <v>5141</v>
      </c>
      <c r="E1179" s="9" t="s">
        <v>35</v>
      </c>
      <c r="F1179" s="9" t="s">
        <v>2072</v>
      </c>
      <c r="G1179" s="9">
        <v>5</v>
      </c>
      <c r="H1179" s="9">
        <v>84213990</v>
      </c>
      <c r="I1179" s="11" t="s">
        <v>2073</v>
      </c>
      <c r="J1179" s="12">
        <v>1.6500000000000001E-2</v>
      </c>
      <c r="K1179" s="12">
        <v>7.5999999999999998E-2</v>
      </c>
      <c r="L1179" s="12">
        <v>0</v>
      </c>
      <c r="M1179" s="13">
        <v>8003453808386</v>
      </c>
      <c r="N1179" s="14">
        <v>0</v>
      </c>
      <c r="O1179" s="14">
        <v>0</v>
      </c>
      <c r="P1179" s="15">
        <v>45078</v>
      </c>
      <c r="Q1179" s="16" t="s">
        <v>7334</v>
      </c>
      <c r="R1179" s="17" t="s">
        <v>7335</v>
      </c>
      <c r="S1179" s="17" t="s">
        <v>7336</v>
      </c>
      <c r="T1179" s="17" t="s">
        <v>7337</v>
      </c>
      <c r="U1179" s="17" t="s">
        <v>7338</v>
      </c>
      <c r="V1179" s="17" t="s">
        <v>7339</v>
      </c>
      <c r="W1179" s="17" t="s">
        <v>7340</v>
      </c>
      <c r="X1179" s="17" t="s">
        <v>7341</v>
      </c>
      <c r="Y1179" s="17" t="s">
        <v>7342</v>
      </c>
      <c r="Z1179" s="17" t="s">
        <v>35</v>
      </c>
      <c r="AA1179" s="17" t="s">
        <v>35</v>
      </c>
      <c r="AB1179" s="17" t="s">
        <v>35</v>
      </c>
      <c r="AC1179" s="17" t="s">
        <v>9539</v>
      </c>
      <c r="AD1179" s="41">
        <v>7.71</v>
      </c>
      <c r="AE1179" s="41">
        <v>7.71</v>
      </c>
      <c r="AF1179" s="48"/>
      <c r="AG1179" s="44"/>
      <c r="AH1179" s="7">
        <f t="shared" si="18"/>
        <v>0</v>
      </c>
      <c r="AI1179" s="18"/>
      <c r="AJ1179" s="18"/>
    </row>
    <row r="1180" spans="1:38" ht="26.65" customHeight="1" x14ac:dyDescent="0.25">
      <c r="A1180" s="10" t="s">
        <v>7343</v>
      </c>
      <c r="B1180" s="9" t="s">
        <v>5140</v>
      </c>
      <c r="C1180" s="9" t="s">
        <v>58</v>
      </c>
      <c r="D1180" s="9" t="s">
        <v>5141</v>
      </c>
      <c r="E1180" s="9" t="s">
        <v>35</v>
      </c>
      <c r="F1180" s="9" t="s">
        <v>36</v>
      </c>
      <c r="G1180" s="9">
        <v>5</v>
      </c>
      <c r="H1180" s="9">
        <v>84213990</v>
      </c>
      <c r="I1180" s="11" t="s">
        <v>37</v>
      </c>
      <c r="J1180" s="12">
        <v>1.6500000000000001E-2</v>
      </c>
      <c r="K1180" s="12">
        <v>7.5999999999999998E-2</v>
      </c>
      <c r="L1180" s="12">
        <v>0</v>
      </c>
      <c r="M1180" s="13">
        <v>8003453171602</v>
      </c>
      <c r="N1180" s="14">
        <v>6.6000000000000003E-2</v>
      </c>
      <c r="O1180" s="14">
        <v>0.15</v>
      </c>
      <c r="P1180" s="15" t="s">
        <v>35</v>
      </c>
      <c r="Q1180" s="16" t="s">
        <v>7344</v>
      </c>
      <c r="R1180" s="17">
        <v>3802821</v>
      </c>
      <c r="S1180" s="17" t="s">
        <v>7345</v>
      </c>
      <c r="T1180" s="17" t="s">
        <v>7346</v>
      </c>
      <c r="U1180" s="17" t="s">
        <v>7347</v>
      </c>
      <c r="V1180" s="17" t="s">
        <v>7348</v>
      </c>
      <c r="W1180" s="17" t="s">
        <v>7349</v>
      </c>
      <c r="X1180" s="17" t="s">
        <v>7350</v>
      </c>
      <c r="Y1180" s="17" t="s">
        <v>7351</v>
      </c>
      <c r="Z1180" s="17" t="s">
        <v>7352</v>
      </c>
      <c r="AA1180" s="17" t="s">
        <v>35</v>
      </c>
      <c r="AB1180" s="17" t="s">
        <v>35</v>
      </c>
      <c r="AC1180" s="17" t="s">
        <v>9539</v>
      </c>
      <c r="AD1180" s="41">
        <v>12.5</v>
      </c>
      <c r="AE1180" s="41">
        <v>12.5</v>
      </c>
      <c r="AF1180" s="48"/>
      <c r="AG1180" s="44"/>
      <c r="AH1180" s="7">
        <f t="shared" si="18"/>
        <v>0</v>
      </c>
      <c r="AI1180" s="18"/>
      <c r="AJ1180" s="18"/>
      <c r="AL1180" s="18"/>
    </row>
    <row r="1181" spans="1:38" ht="26.65" customHeight="1" x14ac:dyDescent="0.25">
      <c r="A1181" s="10" t="s">
        <v>10422</v>
      </c>
      <c r="B1181" s="9" t="s">
        <v>5140</v>
      </c>
      <c r="C1181" s="9" t="s">
        <v>58</v>
      </c>
      <c r="D1181" s="9" t="s">
        <v>5141</v>
      </c>
      <c r="E1181" s="9" t="s">
        <v>35</v>
      </c>
      <c r="F1181" s="9" t="s">
        <v>2072</v>
      </c>
      <c r="G1181" s="9">
        <v>5</v>
      </c>
      <c r="H1181" s="9">
        <v>84213990</v>
      </c>
      <c r="I1181" s="11" t="s">
        <v>2073</v>
      </c>
      <c r="J1181" s="12">
        <v>1.6500000000000001E-2</v>
      </c>
      <c r="K1181" s="12">
        <v>7.5999999999999998E-2</v>
      </c>
      <c r="L1181" s="12">
        <v>0</v>
      </c>
      <c r="M1181" s="13">
        <v>8003453171602</v>
      </c>
      <c r="N1181" s="14">
        <v>0</v>
      </c>
      <c r="O1181" s="14">
        <v>0</v>
      </c>
      <c r="P1181" s="15">
        <v>45566</v>
      </c>
      <c r="Q1181" s="16" t="s">
        <v>7344</v>
      </c>
      <c r="R1181" s="17" t="s">
        <v>35</v>
      </c>
      <c r="S1181" s="17" t="s">
        <v>7345</v>
      </c>
      <c r="T1181" s="17" t="s">
        <v>7346</v>
      </c>
      <c r="U1181" s="17" t="s">
        <v>7347</v>
      </c>
      <c r="V1181" s="17" t="s">
        <v>7348</v>
      </c>
      <c r="W1181" s="17" t="s">
        <v>7349</v>
      </c>
      <c r="X1181" s="17" t="s">
        <v>7350</v>
      </c>
      <c r="Y1181" s="17" t="s">
        <v>7351</v>
      </c>
      <c r="Z1181" s="17" t="s">
        <v>7352</v>
      </c>
      <c r="AA1181" s="17" t="s">
        <v>35</v>
      </c>
      <c r="AB1181" s="17" t="s">
        <v>35</v>
      </c>
      <c r="AC1181" s="17" t="s">
        <v>9539</v>
      </c>
      <c r="AD1181" s="41">
        <v>11.67</v>
      </c>
      <c r="AE1181" s="41">
        <v>11.67</v>
      </c>
      <c r="AF1181" s="48"/>
      <c r="AG1181" s="44"/>
      <c r="AH1181" s="7">
        <f t="shared" si="18"/>
        <v>0</v>
      </c>
      <c r="AI1181" s="18"/>
      <c r="AJ1181" s="18"/>
    </row>
    <row r="1182" spans="1:38" ht="26.65" customHeight="1" x14ac:dyDescent="0.25">
      <c r="A1182" s="38" t="s">
        <v>7353</v>
      </c>
      <c r="B1182" s="9" t="s">
        <v>5140</v>
      </c>
      <c r="C1182" s="9" t="s">
        <v>43</v>
      </c>
      <c r="D1182" s="9" t="s">
        <v>5141</v>
      </c>
      <c r="E1182" s="9" t="s">
        <v>35</v>
      </c>
      <c r="F1182" s="9" t="s">
        <v>36</v>
      </c>
      <c r="G1182" s="9">
        <v>5</v>
      </c>
      <c r="H1182" s="9">
        <v>84213990</v>
      </c>
      <c r="I1182" s="11" t="s">
        <v>37</v>
      </c>
      <c r="J1182" s="12">
        <v>1.6500000000000001E-2</v>
      </c>
      <c r="K1182" s="12">
        <v>7.5999999999999998E-2</v>
      </c>
      <c r="L1182" s="12">
        <v>0</v>
      </c>
      <c r="M1182" s="13">
        <v>8003453171633</v>
      </c>
      <c r="N1182" s="14">
        <v>0.06</v>
      </c>
      <c r="O1182" s="14">
        <v>0.11899999999999999</v>
      </c>
      <c r="P1182" s="15" t="s">
        <v>35</v>
      </c>
      <c r="Q1182" s="16" t="s">
        <v>7354</v>
      </c>
      <c r="R1182" s="17" t="s">
        <v>35</v>
      </c>
      <c r="S1182" s="17" t="s">
        <v>7355</v>
      </c>
      <c r="T1182" s="17" t="s">
        <v>7356</v>
      </c>
      <c r="U1182" s="17" t="s">
        <v>35</v>
      </c>
      <c r="V1182" s="17" t="s">
        <v>7357</v>
      </c>
      <c r="W1182" s="17" t="s">
        <v>7358</v>
      </c>
      <c r="X1182" s="17" t="s">
        <v>7359</v>
      </c>
      <c r="Y1182" s="17" t="s">
        <v>7360</v>
      </c>
      <c r="Z1182" s="17" t="s">
        <v>35</v>
      </c>
      <c r="AA1182" s="17" t="s">
        <v>35</v>
      </c>
      <c r="AB1182" s="17" t="s">
        <v>35</v>
      </c>
      <c r="AC1182" s="17" t="s">
        <v>9538</v>
      </c>
      <c r="AD1182" s="42">
        <v>21.84</v>
      </c>
      <c r="AE1182" s="42">
        <v>21.84</v>
      </c>
      <c r="AF1182" s="48"/>
      <c r="AG1182" s="44"/>
      <c r="AH1182" s="7">
        <f t="shared" si="18"/>
        <v>0</v>
      </c>
      <c r="AI1182" s="18"/>
      <c r="AJ1182" s="18"/>
    </row>
    <row r="1183" spans="1:38" ht="26.65" customHeight="1" x14ac:dyDescent="0.25">
      <c r="A1183" s="38" t="s">
        <v>9718</v>
      </c>
      <c r="B1183" s="9" t="s">
        <v>5140</v>
      </c>
      <c r="C1183" s="9" t="s">
        <v>43</v>
      </c>
      <c r="D1183" s="9" t="s">
        <v>5141</v>
      </c>
      <c r="E1183" s="9" t="s">
        <v>35</v>
      </c>
      <c r="F1183" s="9" t="s">
        <v>36</v>
      </c>
      <c r="G1183" s="9">
        <v>5</v>
      </c>
      <c r="H1183" s="9">
        <v>84213990</v>
      </c>
      <c r="I1183" s="11" t="s">
        <v>37</v>
      </c>
      <c r="J1183" s="12">
        <v>1.6500000000000001E-2</v>
      </c>
      <c r="K1183" s="12">
        <v>7.5999999999999998E-2</v>
      </c>
      <c r="L1183" s="12">
        <v>0</v>
      </c>
      <c r="M1183" s="13">
        <v>8003453171701</v>
      </c>
      <c r="N1183" s="14">
        <v>0.17</v>
      </c>
      <c r="O1183" s="14">
        <v>0.26500000000000001</v>
      </c>
      <c r="P1183" s="15">
        <v>45474</v>
      </c>
      <c r="Q1183" s="16" t="s">
        <v>9719</v>
      </c>
      <c r="R1183" s="17" t="s">
        <v>35</v>
      </c>
      <c r="S1183" s="17" t="s">
        <v>9720</v>
      </c>
      <c r="T1183" s="17" t="s">
        <v>9721</v>
      </c>
      <c r="U1183" s="17" t="s">
        <v>7081</v>
      </c>
      <c r="V1183" s="17" t="s">
        <v>7082</v>
      </c>
      <c r="W1183" s="17" t="s">
        <v>7083</v>
      </c>
      <c r="X1183" s="17" t="s">
        <v>9722</v>
      </c>
      <c r="Y1183" s="17" t="s">
        <v>9723</v>
      </c>
      <c r="Z1183" s="17" t="s">
        <v>9724</v>
      </c>
      <c r="AA1183" s="17" t="s">
        <v>35</v>
      </c>
      <c r="AB1183" s="17" t="s">
        <v>35</v>
      </c>
      <c r="AC1183" s="17" t="s">
        <v>9538</v>
      </c>
      <c r="AD1183" s="42">
        <v>13.61</v>
      </c>
      <c r="AE1183" s="42">
        <v>13.61</v>
      </c>
      <c r="AF1183" s="48"/>
      <c r="AG1183" s="44"/>
      <c r="AH1183" s="7">
        <f t="shared" si="18"/>
        <v>0</v>
      </c>
      <c r="AI1183" s="18"/>
      <c r="AJ1183" s="18"/>
    </row>
    <row r="1184" spans="1:38" ht="26.65" customHeight="1" x14ac:dyDescent="0.25">
      <c r="A1184" s="38" t="s">
        <v>10423</v>
      </c>
      <c r="B1184" s="9" t="s">
        <v>5140</v>
      </c>
      <c r="C1184" s="9" t="s">
        <v>43</v>
      </c>
      <c r="D1184" s="9" t="s">
        <v>5141</v>
      </c>
      <c r="E1184" s="9" t="s">
        <v>35</v>
      </c>
      <c r="F1184" s="9" t="s">
        <v>2072</v>
      </c>
      <c r="G1184" s="9">
        <v>5</v>
      </c>
      <c r="H1184" s="9">
        <v>84213990</v>
      </c>
      <c r="I1184" s="11" t="s">
        <v>2073</v>
      </c>
      <c r="J1184" s="12">
        <v>1.6500000000000001E-2</v>
      </c>
      <c r="K1184" s="12">
        <v>7.5999999999999998E-2</v>
      </c>
      <c r="L1184" s="12">
        <v>0</v>
      </c>
      <c r="M1184" s="13">
        <v>8003453171701</v>
      </c>
      <c r="N1184" s="14">
        <v>0</v>
      </c>
      <c r="O1184" s="14">
        <v>0</v>
      </c>
      <c r="P1184" s="15">
        <v>45566</v>
      </c>
      <c r="Q1184" s="16" t="s">
        <v>9719</v>
      </c>
      <c r="R1184" s="17" t="s">
        <v>35</v>
      </c>
      <c r="S1184" s="17" t="s">
        <v>9720</v>
      </c>
      <c r="T1184" s="17" t="s">
        <v>9721</v>
      </c>
      <c r="U1184" s="17" t="s">
        <v>7081</v>
      </c>
      <c r="V1184" s="17" t="s">
        <v>7082</v>
      </c>
      <c r="W1184" s="17" t="s">
        <v>7083</v>
      </c>
      <c r="X1184" s="17" t="s">
        <v>9722</v>
      </c>
      <c r="Y1184" s="17" t="s">
        <v>9723</v>
      </c>
      <c r="Z1184" s="17" t="s">
        <v>9724</v>
      </c>
      <c r="AA1184" s="17" t="s">
        <v>35</v>
      </c>
      <c r="AB1184" s="17" t="s">
        <v>35</v>
      </c>
      <c r="AC1184" s="17" t="s">
        <v>9538</v>
      </c>
      <c r="AD1184" s="41">
        <v>11.63</v>
      </c>
      <c r="AE1184" s="41">
        <v>11.63</v>
      </c>
      <c r="AF1184" s="48"/>
      <c r="AG1184" s="44"/>
      <c r="AH1184" s="7">
        <f t="shared" si="18"/>
        <v>0</v>
      </c>
      <c r="AI1184" s="18"/>
      <c r="AJ1184" s="18"/>
    </row>
    <row r="1185" spans="1:38" ht="26.65" customHeight="1" x14ac:dyDescent="0.25">
      <c r="A1185" s="10" t="s">
        <v>7361</v>
      </c>
      <c r="B1185" s="9" t="s">
        <v>5140</v>
      </c>
      <c r="C1185" s="9" t="s">
        <v>43</v>
      </c>
      <c r="D1185" s="9" t="s">
        <v>5141</v>
      </c>
      <c r="E1185" s="9" t="s">
        <v>35</v>
      </c>
      <c r="F1185" s="9" t="s">
        <v>2072</v>
      </c>
      <c r="G1185" s="9">
        <v>5</v>
      </c>
      <c r="H1185" s="9">
        <v>84213990</v>
      </c>
      <c r="I1185" s="11" t="s">
        <v>2073</v>
      </c>
      <c r="J1185" s="12">
        <v>1.6500000000000001E-2</v>
      </c>
      <c r="K1185" s="12">
        <v>7.5999999999999998E-2</v>
      </c>
      <c r="L1185" s="12">
        <v>0</v>
      </c>
      <c r="M1185" s="13">
        <v>8003453807976</v>
      </c>
      <c r="N1185" s="14">
        <v>3.5999999999999997E-2</v>
      </c>
      <c r="O1185" s="14">
        <v>0.1</v>
      </c>
      <c r="P1185" s="15">
        <v>44927</v>
      </c>
      <c r="Q1185" s="16" t="s">
        <v>7362</v>
      </c>
      <c r="R1185" s="17" t="s">
        <v>7363</v>
      </c>
      <c r="S1185" s="17" t="s">
        <v>7364</v>
      </c>
      <c r="T1185" s="17" t="s">
        <v>7365</v>
      </c>
      <c r="U1185" s="17" t="s">
        <v>7366</v>
      </c>
      <c r="V1185" s="17" t="s">
        <v>7367</v>
      </c>
      <c r="W1185" s="17" t="s">
        <v>7368</v>
      </c>
      <c r="X1185" s="17" t="s">
        <v>7369</v>
      </c>
      <c r="Y1185" s="17" t="s">
        <v>7370</v>
      </c>
      <c r="Z1185" s="17" t="s">
        <v>35</v>
      </c>
      <c r="AA1185" s="17" t="s">
        <v>35</v>
      </c>
      <c r="AB1185" s="17" t="s">
        <v>35</v>
      </c>
      <c r="AC1185" s="17" t="s">
        <v>9539</v>
      </c>
      <c r="AD1185" s="41">
        <v>7.95</v>
      </c>
      <c r="AE1185" s="41">
        <v>7.95</v>
      </c>
      <c r="AF1185" s="48"/>
      <c r="AG1185" s="44"/>
      <c r="AH1185" s="7">
        <f t="shared" si="18"/>
        <v>0</v>
      </c>
      <c r="AI1185" s="18"/>
      <c r="AJ1185" s="18"/>
    </row>
    <row r="1186" spans="1:38" ht="26.65" customHeight="1" x14ac:dyDescent="0.25">
      <c r="A1186" s="10" t="s">
        <v>7371</v>
      </c>
      <c r="B1186" s="9" t="s">
        <v>5140</v>
      </c>
      <c r="C1186" s="9" t="s">
        <v>43</v>
      </c>
      <c r="D1186" s="9" t="s">
        <v>5141</v>
      </c>
      <c r="E1186" s="9" t="s">
        <v>35</v>
      </c>
      <c r="F1186" s="9" t="s">
        <v>2072</v>
      </c>
      <c r="G1186" s="9">
        <v>5</v>
      </c>
      <c r="H1186" s="9">
        <v>84213990</v>
      </c>
      <c r="I1186" s="11" t="s">
        <v>2073</v>
      </c>
      <c r="J1186" s="12">
        <v>1.6500000000000001E-2</v>
      </c>
      <c r="K1186" s="12">
        <v>7.5999999999999998E-2</v>
      </c>
      <c r="L1186" s="12">
        <v>0</v>
      </c>
      <c r="M1186" s="13">
        <v>8003453807983</v>
      </c>
      <c r="N1186" s="14">
        <v>4.8000000000000001E-2</v>
      </c>
      <c r="O1186" s="14">
        <v>0.112</v>
      </c>
      <c r="P1186" s="15">
        <v>44927</v>
      </c>
      <c r="Q1186" s="16" t="s">
        <v>7372</v>
      </c>
      <c r="R1186" s="17" t="s">
        <v>7373</v>
      </c>
      <c r="S1186" s="17" t="s">
        <v>7374</v>
      </c>
      <c r="T1186" s="17" t="s">
        <v>35</v>
      </c>
      <c r="U1186" s="17" t="s">
        <v>7375</v>
      </c>
      <c r="V1186" s="17" t="s">
        <v>7376</v>
      </c>
      <c r="W1186" s="17" t="s">
        <v>7377</v>
      </c>
      <c r="X1186" s="17" t="s">
        <v>35</v>
      </c>
      <c r="Y1186" s="17" t="s">
        <v>7378</v>
      </c>
      <c r="Z1186" s="17" t="s">
        <v>35</v>
      </c>
      <c r="AA1186" s="17" t="s">
        <v>35</v>
      </c>
      <c r="AB1186" s="17" t="s">
        <v>35</v>
      </c>
      <c r="AC1186" s="17" t="s">
        <v>9539</v>
      </c>
      <c r="AD1186" s="41">
        <v>6.34</v>
      </c>
      <c r="AE1186" s="41">
        <v>6.34</v>
      </c>
      <c r="AF1186" s="48"/>
      <c r="AG1186" s="44"/>
      <c r="AH1186" s="7">
        <f t="shared" si="18"/>
        <v>0</v>
      </c>
      <c r="AI1186" s="18"/>
      <c r="AJ1186" s="18"/>
    </row>
    <row r="1187" spans="1:38" ht="26.65" customHeight="1" x14ac:dyDescent="0.25">
      <c r="A1187" s="10" t="s">
        <v>7379</v>
      </c>
      <c r="B1187" s="9" t="s">
        <v>5140</v>
      </c>
      <c r="C1187" s="9" t="s">
        <v>43</v>
      </c>
      <c r="D1187" s="9" t="s">
        <v>5141</v>
      </c>
      <c r="E1187" s="9" t="s">
        <v>35</v>
      </c>
      <c r="F1187" s="9" t="s">
        <v>2072</v>
      </c>
      <c r="G1187" s="9">
        <v>5</v>
      </c>
      <c r="H1187" s="9">
        <v>84213990</v>
      </c>
      <c r="I1187" s="11" t="s">
        <v>2073</v>
      </c>
      <c r="J1187" s="12">
        <v>1.6500000000000001E-2</v>
      </c>
      <c r="K1187" s="12">
        <v>7.5999999999999998E-2</v>
      </c>
      <c r="L1187" s="12">
        <v>0</v>
      </c>
      <c r="M1187" s="13">
        <v>8003453807952</v>
      </c>
      <c r="N1187" s="14">
        <v>4.3999999999999997E-2</v>
      </c>
      <c r="O1187" s="14">
        <v>0.108</v>
      </c>
      <c r="P1187" s="15">
        <v>44927</v>
      </c>
      <c r="Q1187" s="16" t="s">
        <v>7380</v>
      </c>
      <c r="R1187" s="17" t="s">
        <v>7381</v>
      </c>
      <c r="S1187" s="17" t="s">
        <v>7382</v>
      </c>
      <c r="T1187" s="17" t="s">
        <v>7383</v>
      </c>
      <c r="U1187" s="17" t="s">
        <v>35</v>
      </c>
      <c r="V1187" s="17" t="s">
        <v>7384</v>
      </c>
      <c r="W1187" s="17" t="s">
        <v>7385</v>
      </c>
      <c r="X1187" s="17" t="s">
        <v>7386</v>
      </c>
      <c r="Y1187" s="17" t="s">
        <v>7387</v>
      </c>
      <c r="Z1187" s="17" t="s">
        <v>35</v>
      </c>
      <c r="AA1187" s="17" t="s">
        <v>35</v>
      </c>
      <c r="AB1187" s="17" t="s">
        <v>35</v>
      </c>
      <c r="AC1187" s="17" t="s">
        <v>9539</v>
      </c>
      <c r="AD1187" s="41">
        <v>9.5</v>
      </c>
      <c r="AE1187" s="41">
        <v>9.5</v>
      </c>
      <c r="AF1187" s="48"/>
      <c r="AG1187" s="44"/>
      <c r="AH1187" s="7">
        <f t="shared" si="18"/>
        <v>0</v>
      </c>
      <c r="AI1187" s="18"/>
      <c r="AJ1187" s="18"/>
    </row>
    <row r="1188" spans="1:38" ht="26.65" customHeight="1" x14ac:dyDescent="0.25">
      <c r="A1188" s="10" t="s">
        <v>7388</v>
      </c>
      <c r="B1188" s="9" t="s">
        <v>5140</v>
      </c>
      <c r="C1188" s="9" t="s">
        <v>43</v>
      </c>
      <c r="D1188" s="9" t="s">
        <v>5141</v>
      </c>
      <c r="E1188" s="9" t="s">
        <v>35</v>
      </c>
      <c r="F1188" s="9" t="s">
        <v>36</v>
      </c>
      <c r="G1188" s="9">
        <v>5</v>
      </c>
      <c r="H1188" s="9">
        <v>84213990</v>
      </c>
      <c r="I1188" s="11" t="s">
        <v>37</v>
      </c>
      <c r="J1188" s="12">
        <v>1.6500000000000001E-2</v>
      </c>
      <c r="K1188" s="12">
        <v>7.5999999999999998E-2</v>
      </c>
      <c r="L1188" s="12">
        <v>0</v>
      </c>
      <c r="M1188" s="13">
        <v>8003453171848</v>
      </c>
      <c r="N1188" s="14">
        <v>3.4000000000000002E-2</v>
      </c>
      <c r="O1188" s="14">
        <v>0.11799999999999999</v>
      </c>
      <c r="P1188" s="15" t="s">
        <v>35</v>
      </c>
      <c r="Q1188" s="16" t="s">
        <v>7389</v>
      </c>
      <c r="R1188" s="17" t="s">
        <v>35</v>
      </c>
      <c r="S1188" s="17" t="s">
        <v>7390</v>
      </c>
      <c r="T1188" s="17" t="s">
        <v>7391</v>
      </c>
      <c r="U1188" s="17" t="s">
        <v>7392</v>
      </c>
      <c r="V1188" s="17" t="s">
        <v>7393</v>
      </c>
      <c r="W1188" s="17" t="s">
        <v>7394</v>
      </c>
      <c r="X1188" s="17" t="s">
        <v>7395</v>
      </c>
      <c r="Y1188" s="17" t="s">
        <v>7396</v>
      </c>
      <c r="Z1188" s="17" t="s">
        <v>35</v>
      </c>
      <c r="AA1188" s="17" t="s">
        <v>35</v>
      </c>
      <c r="AB1188" s="17" t="s">
        <v>35</v>
      </c>
      <c r="AC1188" s="17" t="s">
        <v>9539</v>
      </c>
      <c r="AD1188" s="42">
        <v>11.44</v>
      </c>
      <c r="AE1188" s="42">
        <v>11.44</v>
      </c>
      <c r="AF1188" s="48"/>
      <c r="AG1188" s="44"/>
      <c r="AH1188" s="7">
        <f t="shared" si="18"/>
        <v>0</v>
      </c>
      <c r="AI1188" s="18"/>
      <c r="AJ1188" s="18"/>
    </row>
    <row r="1189" spans="1:38" ht="26.65" customHeight="1" x14ac:dyDescent="0.25">
      <c r="A1189" s="10" t="s">
        <v>10424</v>
      </c>
      <c r="B1189" s="9" t="s">
        <v>5140</v>
      </c>
      <c r="C1189" s="9" t="s">
        <v>43</v>
      </c>
      <c r="D1189" s="9" t="s">
        <v>5141</v>
      </c>
      <c r="E1189" s="9" t="s">
        <v>35</v>
      </c>
      <c r="F1189" s="9" t="s">
        <v>2072</v>
      </c>
      <c r="G1189" s="9">
        <v>5</v>
      </c>
      <c r="H1189" s="9">
        <v>84213990</v>
      </c>
      <c r="I1189" s="11" t="s">
        <v>2073</v>
      </c>
      <c r="J1189" s="12">
        <v>1.6500000000000001E-2</v>
      </c>
      <c r="K1189" s="12">
        <v>7.5999999999999998E-2</v>
      </c>
      <c r="L1189" s="12">
        <v>0</v>
      </c>
      <c r="M1189" s="13">
        <v>8003453171848</v>
      </c>
      <c r="N1189" s="14">
        <v>0</v>
      </c>
      <c r="O1189" s="14">
        <v>0</v>
      </c>
      <c r="P1189" s="15">
        <v>45566</v>
      </c>
      <c r="Q1189" s="16" t="s">
        <v>7389</v>
      </c>
      <c r="R1189" s="17" t="s">
        <v>35</v>
      </c>
      <c r="S1189" s="17" t="s">
        <v>7390</v>
      </c>
      <c r="T1189" s="17" t="s">
        <v>7391</v>
      </c>
      <c r="U1189" s="17" t="s">
        <v>7392</v>
      </c>
      <c r="V1189" s="17" t="s">
        <v>7393</v>
      </c>
      <c r="W1189" s="17" t="s">
        <v>7394</v>
      </c>
      <c r="X1189" s="17" t="s">
        <v>7395</v>
      </c>
      <c r="Y1189" s="17" t="s">
        <v>7396</v>
      </c>
      <c r="Z1189" s="17" t="s">
        <v>35</v>
      </c>
      <c r="AA1189" s="17" t="s">
        <v>35</v>
      </c>
      <c r="AB1189" s="17" t="s">
        <v>35</v>
      </c>
      <c r="AC1189" s="17" t="s">
        <v>9539</v>
      </c>
      <c r="AD1189" s="41">
        <v>8.99</v>
      </c>
      <c r="AE1189" s="41">
        <v>8.99</v>
      </c>
      <c r="AF1189" s="48"/>
      <c r="AG1189" s="44"/>
      <c r="AH1189" s="7">
        <f t="shared" si="18"/>
        <v>0</v>
      </c>
      <c r="AI1189" s="18"/>
      <c r="AJ1189" s="18"/>
    </row>
    <row r="1190" spans="1:38" ht="26.65" customHeight="1" x14ac:dyDescent="0.25">
      <c r="A1190" s="38" t="s">
        <v>7397</v>
      </c>
      <c r="B1190" s="9" t="s">
        <v>5140</v>
      </c>
      <c r="C1190" s="9" t="s">
        <v>43</v>
      </c>
      <c r="D1190" s="9" t="s">
        <v>5141</v>
      </c>
      <c r="E1190" s="9" t="s">
        <v>35</v>
      </c>
      <c r="F1190" s="9" t="s">
        <v>2072</v>
      </c>
      <c r="G1190" s="9">
        <v>5</v>
      </c>
      <c r="H1190" s="9">
        <v>84213990</v>
      </c>
      <c r="I1190" s="11" t="s">
        <v>2073</v>
      </c>
      <c r="J1190" s="12">
        <v>1.6500000000000001E-2</v>
      </c>
      <c r="K1190" s="12">
        <v>7.5999999999999998E-2</v>
      </c>
      <c r="L1190" s="12">
        <v>0</v>
      </c>
      <c r="M1190" s="13">
        <v>8003453808393</v>
      </c>
      <c r="N1190" s="14">
        <v>0</v>
      </c>
      <c r="O1190" s="14">
        <v>0</v>
      </c>
      <c r="P1190" s="15">
        <v>45078</v>
      </c>
      <c r="Q1190" s="16" t="s">
        <v>7398</v>
      </c>
      <c r="R1190" s="17" t="s">
        <v>7399</v>
      </c>
      <c r="S1190" s="17" t="s">
        <v>7400</v>
      </c>
      <c r="T1190" s="17" t="s">
        <v>7401</v>
      </c>
      <c r="U1190" s="17" t="s">
        <v>7402</v>
      </c>
      <c r="V1190" s="17" t="s">
        <v>7403</v>
      </c>
      <c r="W1190" s="17" t="s">
        <v>7404</v>
      </c>
      <c r="X1190" s="17" t="s">
        <v>7405</v>
      </c>
      <c r="Y1190" s="17" t="s">
        <v>7406</v>
      </c>
      <c r="Z1190" s="17" t="s">
        <v>35</v>
      </c>
      <c r="AA1190" s="17" t="s">
        <v>35</v>
      </c>
      <c r="AB1190" s="17" t="s">
        <v>35</v>
      </c>
      <c r="AC1190" s="17" t="s">
        <v>9538</v>
      </c>
      <c r="AD1190" s="41">
        <v>8.9700000000000006</v>
      </c>
      <c r="AE1190" s="41">
        <v>8.9700000000000006</v>
      </c>
      <c r="AF1190" s="48"/>
      <c r="AG1190" s="44"/>
      <c r="AH1190" s="7">
        <f t="shared" si="18"/>
        <v>0</v>
      </c>
      <c r="AI1190" s="18"/>
      <c r="AJ1190" s="18"/>
    </row>
    <row r="1191" spans="1:38" ht="26.65" customHeight="1" x14ac:dyDescent="0.25">
      <c r="A1191" s="10" t="s">
        <v>10425</v>
      </c>
      <c r="B1191" s="9" t="s">
        <v>5140</v>
      </c>
      <c r="C1191" s="9" t="s">
        <v>58</v>
      </c>
      <c r="D1191" s="9" t="s">
        <v>5141</v>
      </c>
      <c r="E1191" s="9" t="s">
        <v>35</v>
      </c>
      <c r="F1191" s="9" t="s">
        <v>36</v>
      </c>
      <c r="G1191" s="9">
        <v>5</v>
      </c>
      <c r="H1191" s="9">
        <v>84213990</v>
      </c>
      <c r="I1191" s="11" t="s">
        <v>37</v>
      </c>
      <c r="J1191" s="12">
        <v>1.6500000000000001E-2</v>
      </c>
      <c r="K1191" s="12">
        <v>7.5999999999999998E-2</v>
      </c>
      <c r="L1191" s="12">
        <v>0</v>
      </c>
      <c r="M1191" s="13">
        <v>8003453802490</v>
      </c>
      <c r="N1191" s="14">
        <v>0</v>
      </c>
      <c r="O1191" s="14">
        <v>0</v>
      </c>
      <c r="P1191" s="15">
        <v>45566</v>
      </c>
      <c r="Q1191" s="16" t="s">
        <v>10426</v>
      </c>
      <c r="R1191" s="17" t="s">
        <v>10427</v>
      </c>
      <c r="S1191" s="17" t="s">
        <v>10428</v>
      </c>
      <c r="T1191" s="17" t="s">
        <v>35</v>
      </c>
      <c r="U1191" s="17" t="s">
        <v>35</v>
      </c>
      <c r="V1191" s="17" t="s">
        <v>35</v>
      </c>
      <c r="W1191" s="17" t="s">
        <v>35</v>
      </c>
      <c r="X1191" s="17" t="s">
        <v>35</v>
      </c>
      <c r="Y1191" s="17" t="s">
        <v>10429</v>
      </c>
      <c r="Z1191" s="17" t="s">
        <v>10430</v>
      </c>
      <c r="AA1191" s="17" t="s">
        <v>35</v>
      </c>
      <c r="AB1191" s="17" t="s">
        <v>10431</v>
      </c>
      <c r="AC1191" s="17" t="s">
        <v>9539</v>
      </c>
      <c r="AD1191" s="41">
        <v>35.47</v>
      </c>
      <c r="AE1191" s="41">
        <v>35.47</v>
      </c>
      <c r="AF1191" s="48"/>
      <c r="AG1191" s="44"/>
      <c r="AH1191" s="7">
        <f t="shared" si="18"/>
        <v>0</v>
      </c>
      <c r="AI1191" s="18"/>
      <c r="AJ1191" s="18"/>
    </row>
    <row r="1192" spans="1:38" ht="26.65" customHeight="1" x14ac:dyDescent="0.25">
      <c r="A1192" s="38" t="s">
        <v>7407</v>
      </c>
      <c r="B1192" s="9" t="s">
        <v>5140</v>
      </c>
      <c r="C1192" s="9" t="s">
        <v>43</v>
      </c>
      <c r="D1192" s="9" t="s">
        <v>5141</v>
      </c>
      <c r="E1192" s="9" t="s">
        <v>35</v>
      </c>
      <c r="F1192" s="9" t="s">
        <v>36</v>
      </c>
      <c r="G1192" s="9">
        <v>5</v>
      </c>
      <c r="H1192" s="9">
        <v>84213990</v>
      </c>
      <c r="I1192" s="11" t="s">
        <v>37</v>
      </c>
      <c r="J1192" s="12">
        <v>1.6500000000000001E-2</v>
      </c>
      <c r="K1192" s="12">
        <v>7.5999999999999998E-2</v>
      </c>
      <c r="L1192" s="12">
        <v>0</v>
      </c>
      <c r="M1192" s="13">
        <v>8003453181144</v>
      </c>
      <c r="N1192" s="14">
        <v>8.3000000000000004E-2</v>
      </c>
      <c r="O1192" s="14">
        <v>0.13700000000000001</v>
      </c>
      <c r="P1192" s="15">
        <v>45108</v>
      </c>
      <c r="Q1192" s="16" t="s">
        <v>7408</v>
      </c>
      <c r="R1192" s="17" t="s">
        <v>7409</v>
      </c>
      <c r="S1192" s="17" t="s">
        <v>35</v>
      </c>
      <c r="T1192" s="17" t="s">
        <v>7410</v>
      </c>
      <c r="U1192" s="17" t="s">
        <v>7411</v>
      </c>
      <c r="V1192" s="17" t="s">
        <v>7412</v>
      </c>
      <c r="W1192" s="17" t="s">
        <v>7413</v>
      </c>
      <c r="X1192" s="17" t="s">
        <v>7414</v>
      </c>
      <c r="Y1192" s="17" t="s">
        <v>7415</v>
      </c>
      <c r="Z1192" s="17" t="s">
        <v>35</v>
      </c>
      <c r="AA1192" s="17" t="s">
        <v>35</v>
      </c>
      <c r="AB1192" s="17" t="s">
        <v>35</v>
      </c>
      <c r="AC1192" s="17" t="s">
        <v>9538</v>
      </c>
      <c r="AD1192" s="42">
        <v>12.53</v>
      </c>
      <c r="AE1192" s="42">
        <v>12.53</v>
      </c>
      <c r="AF1192" s="48"/>
      <c r="AG1192" s="44"/>
      <c r="AH1192" s="7">
        <f t="shared" si="18"/>
        <v>0</v>
      </c>
      <c r="AI1192" s="18"/>
      <c r="AJ1192" s="18"/>
    </row>
    <row r="1193" spans="1:38" ht="26.65" customHeight="1" x14ac:dyDescent="0.25">
      <c r="A1193" s="10" t="s">
        <v>7416</v>
      </c>
      <c r="B1193" s="9" t="s">
        <v>5140</v>
      </c>
      <c r="C1193" s="9" t="s">
        <v>43</v>
      </c>
      <c r="D1193" s="9" t="s">
        <v>5141</v>
      </c>
      <c r="E1193" s="9" t="s">
        <v>35</v>
      </c>
      <c r="F1193" s="9" t="s">
        <v>36</v>
      </c>
      <c r="G1193" s="9">
        <v>5</v>
      </c>
      <c r="H1193" s="9">
        <v>84213990</v>
      </c>
      <c r="I1193" s="11" t="s">
        <v>37</v>
      </c>
      <c r="J1193" s="12">
        <v>1.6500000000000001E-2</v>
      </c>
      <c r="K1193" s="12">
        <v>7.5999999999999998E-2</v>
      </c>
      <c r="L1193" s="12">
        <v>0</v>
      </c>
      <c r="M1193" s="13">
        <v>8003453171930</v>
      </c>
      <c r="N1193" s="14">
        <v>0.08</v>
      </c>
      <c r="O1193" s="14">
        <v>0.16400000000000001</v>
      </c>
      <c r="P1193" s="15" t="s">
        <v>35</v>
      </c>
      <c r="Q1193" s="16" t="s">
        <v>8709</v>
      </c>
      <c r="R1193" s="17">
        <v>64119237554</v>
      </c>
      <c r="S1193" s="17" t="s">
        <v>7418</v>
      </c>
      <c r="T1193" s="17" t="s">
        <v>7419</v>
      </c>
      <c r="U1193" s="17" t="s">
        <v>7420</v>
      </c>
      <c r="V1193" s="17" t="s">
        <v>7421</v>
      </c>
      <c r="W1193" s="17" t="s">
        <v>35</v>
      </c>
      <c r="X1193" s="17" t="s">
        <v>7422</v>
      </c>
      <c r="Y1193" s="17" t="s">
        <v>7423</v>
      </c>
      <c r="Z1193" s="17" t="s">
        <v>35</v>
      </c>
      <c r="AA1193" s="17" t="s">
        <v>35</v>
      </c>
      <c r="AB1193" s="17" t="s">
        <v>35</v>
      </c>
      <c r="AC1193" s="17" t="s">
        <v>9539</v>
      </c>
      <c r="AD1193" s="42">
        <v>24.54</v>
      </c>
      <c r="AE1193" s="42">
        <v>24.54</v>
      </c>
      <c r="AF1193" s="48"/>
      <c r="AG1193" s="44"/>
      <c r="AH1193" s="7">
        <f t="shared" si="18"/>
        <v>0</v>
      </c>
      <c r="AI1193" s="18"/>
      <c r="AJ1193" s="18"/>
    </row>
    <row r="1194" spans="1:38" ht="26.65" customHeight="1" x14ac:dyDescent="0.25">
      <c r="A1194" s="10" t="s">
        <v>7424</v>
      </c>
      <c r="B1194" s="9" t="s">
        <v>5140</v>
      </c>
      <c r="C1194" s="9" t="s">
        <v>43</v>
      </c>
      <c r="D1194" s="9" t="s">
        <v>5141</v>
      </c>
      <c r="E1194" s="9" t="s">
        <v>35</v>
      </c>
      <c r="F1194" s="9" t="s">
        <v>36</v>
      </c>
      <c r="G1194" s="9">
        <v>5</v>
      </c>
      <c r="H1194" s="9">
        <v>84213990</v>
      </c>
      <c r="I1194" s="11" t="s">
        <v>37</v>
      </c>
      <c r="J1194" s="12">
        <v>1.6500000000000001E-2</v>
      </c>
      <c r="K1194" s="12">
        <v>7.5999999999999998E-2</v>
      </c>
      <c r="L1194" s="12">
        <v>0</v>
      </c>
      <c r="M1194" s="13">
        <v>8003453171954</v>
      </c>
      <c r="N1194" s="14">
        <v>4.8000000000000001E-2</v>
      </c>
      <c r="O1194" s="14">
        <v>9.1999999999999998E-2</v>
      </c>
      <c r="P1194" s="15" t="s">
        <v>35</v>
      </c>
      <c r="Q1194" s="16" t="s">
        <v>7425</v>
      </c>
      <c r="R1194" s="17" t="s">
        <v>35</v>
      </c>
      <c r="S1194" s="17" t="s">
        <v>7426</v>
      </c>
      <c r="T1194" s="17" t="s">
        <v>35</v>
      </c>
      <c r="U1194" s="17" t="s">
        <v>7427</v>
      </c>
      <c r="V1194" s="17" t="s">
        <v>35</v>
      </c>
      <c r="W1194" s="17" t="s">
        <v>35</v>
      </c>
      <c r="X1194" s="17" t="s">
        <v>7428</v>
      </c>
      <c r="Y1194" s="17" t="s">
        <v>7429</v>
      </c>
      <c r="Z1194" s="17" t="s">
        <v>35</v>
      </c>
      <c r="AA1194" s="17" t="s">
        <v>35</v>
      </c>
      <c r="AB1194" s="17" t="s">
        <v>35</v>
      </c>
      <c r="AC1194" s="17" t="s">
        <v>9539</v>
      </c>
      <c r="AD1194" s="41">
        <v>39.78</v>
      </c>
      <c r="AE1194" s="41">
        <v>39.78</v>
      </c>
      <c r="AF1194" s="48"/>
      <c r="AG1194" s="44"/>
      <c r="AH1194" s="7">
        <f t="shared" si="18"/>
        <v>0</v>
      </c>
      <c r="AI1194" s="18"/>
      <c r="AJ1194" s="18"/>
      <c r="AL1194" s="18"/>
    </row>
    <row r="1195" spans="1:38" ht="26.65" customHeight="1" x14ac:dyDescent="0.25">
      <c r="A1195" s="10" t="s">
        <v>7430</v>
      </c>
      <c r="B1195" s="9" t="s">
        <v>5140</v>
      </c>
      <c r="C1195" s="9" t="s">
        <v>43</v>
      </c>
      <c r="D1195" s="9" t="s">
        <v>7087</v>
      </c>
      <c r="E1195" s="9" t="s">
        <v>35</v>
      </c>
      <c r="F1195" s="9" t="s">
        <v>36</v>
      </c>
      <c r="G1195" s="9">
        <v>5</v>
      </c>
      <c r="H1195" s="9">
        <v>84213990</v>
      </c>
      <c r="I1195" s="11" t="s">
        <v>37</v>
      </c>
      <c r="J1195" s="12">
        <v>1.6500000000000001E-2</v>
      </c>
      <c r="K1195" s="12">
        <v>7.5999999999999998E-2</v>
      </c>
      <c r="L1195" s="12">
        <v>0</v>
      </c>
      <c r="M1195" s="13">
        <v>8003453171985</v>
      </c>
      <c r="N1195" s="14">
        <v>0.13</v>
      </c>
      <c r="O1195" s="14">
        <v>0.21</v>
      </c>
      <c r="P1195" s="15">
        <v>44531</v>
      </c>
      <c r="Q1195" s="16" t="s">
        <v>7431</v>
      </c>
      <c r="R1195" s="17">
        <v>64119163328</v>
      </c>
      <c r="S1195" s="17" t="s">
        <v>7432</v>
      </c>
      <c r="T1195" s="17" t="s">
        <v>7433</v>
      </c>
      <c r="U1195" s="17" t="s">
        <v>35</v>
      </c>
      <c r="V1195" s="17" t="s">
        <v>7434</v>
      </c>
      <c r="W1195" s="17" t="s">
        <v>35</v>
      </c>
      <c r="X1195" s="17" t="s">
        <v>7435</v>
      </c>
      <c r="Y1195" s="17" t="s">
        <v>7436</v>
      </c>
      <c r="Z1195" s="17" t="s">
        <v>35</v>
      </c>
      <c r="AA1195" s="17" t="s">
        <v>35</v>
      </c>
      <c r="AB1195" s="17" t="s">
        <v>35</v>
      </c>
      <c r="AC1195" s="17" t="s">
        <v>9539</v>
      </c>
      <c r="AD1195" s="41">
        <v>24.68</v>
      </c>
      <c r="AE1195" s="41">
        <v>24.68</v>
      </c>
      <c r="AF1195" s="48"/>
      <c r="AG1195" s="44"/>
      <c r="AH1195" s="7">
        <f t="shared" si="18"/>
        <v>0</v>
      </c>
      <c r="AI1195" s="18"/>
      <c r="AJ1195" s="18"/>
      <c r="AL1195" s="18"/>
    </row>
    <row r="1196" spans="1:38" ht="26.65" customHeight="1" x14ac:dyDescent="0.25">
      <c r="A1196" s="10" t="s">
        <v>7437</v>
      </c>
      <c r="B1196" s="9" t="s">
        <v>5140</v>
      </c>
      <c r="C1196" s="9" t="s">
        <v>43</v>
      </c>
      <c r="D1196" s="9" t="s">
        <v>5141</v>
      </c>
      <c r="E1196" s="9" t="s">
        <v>35</v>
      </c>
      <c r="F1196" s="9" t="s">
        <v>36</v>
      </c>
      <c r="G1196" s="9">
        <v>5</v>
      </c>
      <c r="H1196" s="9">
        <v>84213990</v>
      </c>
      <c r="I1196" s="11" t="s">
        <v>37</v>
      </c>
      <c r="J1196" s="12">
        <v>1.6500000000000001E-2</v>
      </c>
      <c r="K1196" s="12">
        <v>7.5999999999999998E-2</v>
      </c>
      <c r="L1196" s="12">
        <v>0</v>
      </c>
      <c r="M1196" s="13">
        <v>8003453172005</v>
      </c>
      <c r="N1196" s="14">
        <v>7.0000000000000007E-2</v>
      </c>
      <c r="O1196" s="14">
        <v>0.13600000000000001</v>
      </c>
      <c r="P1196" s="15" t="s">
        <v>35</v>
      </c>
      <c r="Q1196" s="16" t="s">
        <v>7438</v>
      </c>
      <c r="R1196" s="17" t="s">
        <v>35</v>
      </c>
      <c r="S1196" s="17" t="s">
        <v>7439</v>
      </c>
      <c r="T1196" s="17" t="s">
        <v>7440</v>
      </c>
      <c r="U1196" s="17" t="s">
        <v>7441</v>
      </c>
      <c r="V1196" s="17" t="s">
        <v>7442</v>
      </c>
      <c r="W1196" s="17" t="s">
        <v>35</v>
      </c>
      <c r="X1196" s="17" t="s">
        <v>35</v>
      </c>
      <c r="Y1196" s="17" t="s">
        <v>7443</v>
      </c>
      <c r="Z1196" s="17" t="s">
        <v>35</v>
      </c>
      <c r="AA1196" s="17" t="s">
        <v>35</v>
      </c>
      <c r="AB1196" s="17" t="s">
        <v>35</v>
      </c>
      <c r="AC1196" s="17" t="s">
        <v>9539</v>
      </c>
      <c r="AD1196" s="42">
        <v>29.92</v>
      </c>
      <c r="AE1196" s="42">
        <v>29.92</v>
      </c>
      <c r="AF1196" s="48"/>
      <c r="AG1196" s="44"/>
      <c r="AH1196" s="7">
        <f t="shared" si="18"/>
        <v>0</v>
      </c>
      <c r="AI1196" s="18"/>
      <c r="AJ1196" s="18"/>
    </row>
    <row r="1197" spans="1:38" ht="26.65" customHeight="1" x14ac:dyDescent="0.25">
      <c r="A1197" s="10" t="s">
        <v>10432</v>
      </c>
      <c r="B1197" s="9" t="s">
        <v>5140</v>
      </c>
      <c r="C1197" s="9" t="s">
        <v>43</v>
      </c>
      <c r="D1197" s="9" t="s">
        <v>5141</v>
      </c>
      <c r="E1197" s="9" t="s">
        <v>35</v>
      </c>
      <c r="F1197" s="9" t="s">
        <v>2072</v>
      </c>
      <c r="G1197" s="9">
        <v>5</v>
      </c>
      <c r="H1197" s="9">
        <v>84213990</v>
      </c>
      <c r="I1197" s="11" t="s">
        <v>2073</v>
      </c>
      <c r="J1197" s="12">
        <v>1.6500000000000001E-2</v>
      </c>
      <c r="K1197" s="12">
        <v>7.5999999999999998E-2</v>
      </c>
      <c r="L1197" s="12">
        <v>0</v>
      </c>
      <c r="M1197" s="13">
        <v>8003453172029</v>
      </c>
      <c r="N1197" s="14">
        <v>0</v>
      </c>
      <c r="O1197" s="14">
        <v>0</v>
      </c>
      <c r="P1197" s="15">
        <v>45566</v>
      </c>
      <c r="Q1197" s="16" t="s">
        <v>10433</v>
      </c>
      <c r="R1197" s="17" t="s">
        <v>35</v>
      </c>
      <c r="S1197" s="17" t="s">
        <v>10434</v>
      </c>
      <c r="T1197" s="17" t="s">
        <v>10435</v>
      </c>
      <c r="U1197" s="17" t="s">
        <v>10436</v>
      </c>
      <c r="V1197" s="17" t="s">
        <v>10437</v>
      </c>
      <c r="W1197" s="17" t="s">
        <v>10438</v>
      </c>
      <c r="X1197" s="17" t="s">
        <v>10439</v>
      </c>
      <c r="Y1197" s="17" t="s">
        <v>10440</v>
      </c>
      <c r="Z1197" s="17" t="s">
        <v>35</v>
      </c>
      <c r="AA1197" s="17" t="s">
        <v>35</v>
      </c>
      <c r="AB1197" s="17" t="s">
        <v>35</v>
      </c>
      <c r="AC1197" s="17" t="s">
        <v>9539</v>
      </c>
      <c r="AD1197" s="41">
        <v>11.41</v>
      </c>
      <c r="AE1197" s="41">
        <v>11.41</v>
      </c>
      <c r="AF1197" s="48"/>
      <c r="AG1197" s="44"/>
      <c r="AH1197" s="7">
        <f t="shared" si="18"/>
        <v>0</v>
      </c>
      <c r="AI1197" s="18"/>
      <c r="AJ1197" s="18"/>
    </row>
    <row r="1198" spans="1:38" ht="26.65" customHeight="1" x14ac:dyDescent="0.25">
      <c r="A1198" s="10" t="s">
        <v>7444</v>
      </c>
      <c r="B1198" s="9" t="s">
        <v>5140</v>
      </c>
      <c r="C1198" s="9" t="s">
        <v>43</v>
      </c>
      <c r="D1198" s="9" t="s">
        <v>5141</v>
      </c>
      <c r="E1198" s="9" t="s">
        <v>35</v>
      </c>
      <c r="F1198" s="9" t="s">
        <v>2072</v>
      </c>
      <c r="G1198" s="9">
        <v>5</v>
      </c>
      <c r="H1198" s="9">
        <v>84213990</v>
      </c>
      <c r="I1198" s="11" t="s">
        <v>2073</v>
      </c>
      <c r="J1198" s="12">
        <v>1.6500000000000001E-2</v>
      </c>
      <c r="K1198" s="12">
        <v>7.5999999999999998E-2</v>
      </c>
      <c r="L1198" s="12">
        <v>0</v>
      </c>
      <c r="M1198" s="13">
        <v>8003453808409</v>
      </c>
      <c r="N1198" s="14">
        <v>0</v>
      </c>
      <c r="O1198" s="14">
        <v>0</v>
      </c>
      <c r="P1198" s="15">
        <v>45078</v>
      </c>
      <c r="Q1198" s="16" t="s">
        <v>7445</v>
      </c>
      <c r="R1198" s="17" t="s">
        <v>7446</v>
      </c>
      <c r="S1198" s="17" t="s">
        <v>7447</v>
      </c>
      <c r="T1198" s="17" t="s">
        <v>35</v>
      </c>
      <c r="U1198" s="17" t="s">
        <v>35</v>
      </c>
      <c r="V1198" s="17" t="s">
        <v>7448</v>
      </c>
      <c r="W1198" s="17" t="s">
        <v>7449</v>
      </c>
      <c r="X1198" s="17" t="s">
        <v>7450</v>
      </c>
      <c r="Y1198" s="17" t="s">
        <v>7451</v>
      </c>
      <c r="Z1198" s="17" t="s">
        <v>35</v>
      </c>
      <c r="AA1198" s="17" t="s">
        <v>35</v>
      </c>
      <c r="AB1198" s="17" t="s">
        <v>35</v>
      </c>
      <c r="AC1198" s="17" t="s">
        <v>9539</v>
      </c>
      <c r="AD1198" s="41">
        <v>9.4499999999999993</v>
      </c>
      <c r="AE1198" s="41">
        <v>9.4499999999999993</v>
      </c>
      <c r="AF1198" s="48"/>
      <c r="AG1198" s="44"/>
      <c r="AH1198" s="7">
        <f t="shared" si="18"/>
        <v>0</v>
      </c>
      <c r="AI1198" s="18"/>
      <c r="AJ1198" s="18"/>
    </row>
    <row r="1199" spans="1:38" ht="26.65" customHeight="1" x14ac:dyDescent="0.25">
      <c r="A1199" s="10" t="s">
        <v>10441</v>
      </c>
      <c r="B1199" s="9" t="s">
        <v>5140</v>
      </c>
      <c r="C1199" s="9" t="s">
        <v>43</v>
      </c>
      <c r="D1199" s="9" t="s">
        <v>5141</v>
      </c>
      <c r="E1199" s="9" t="s">
        <v>35</v>
      </c>
      <c r="F1199" s="9" t="s">
        <v>36</v>
      </c>
      <c r="G1199" s="9">
        <v>5</v>
      </c>
      <c r="H1199" s="9">
        <v>84213990</v>
      </c>
      <c r="I1199" s="11" t="s">
        <v>37</v>
      </c>
      <c r="J1199" s="12">
        <v>1.6500000000000001E-2</v>
      </c>
      <c r="K1199" s="12">
        <v>7.5999999999999998E-2</v>
      </c>
      <c r="L1199" s="12">
        <v>0</v>
      </c>
      <c r="M1199" s="13">
        <v>8003453172098</v>
      </c>
      <c r="N1199" s="14">
        <v>0</v>
      </c>
      <c r="O1199" s="14">
        <v>0</v>
      </c>
      <c r="P1199" s="15">
        <v>45566</v>
      </c>
      <c r="Q1199" s="16" t="s">
        <v>10442</v>
      </c>
      <c r="R1199" s="17" t="s">
        <v>35</v>
      </c>
      <c r="S1199" s="17" t="s">
        <v>35</v>
      </c>
      <c r="T1199" s="17" t="s">
        <v>10443</v>
      </c>
      <c r="U1199" s="17" t="s">
        <v>10444</v>
      </c>
      <c r="V1199" s="17" t="s">
        <v>35</v>
      </c>
      <c r="W1199" s="17" t="s">
        <v>35</v>
      </c>
      <c r="X1199" s="17" t="s">
        <v>10445</v>
      </c>
      <c r="Y1199" s="17" t="s">
        <v>10446</v>
      </c>
      <c r="Z1199" s="17" t="s">
        <v>35</v>
      </c>
      <c r="AA1199" s="17" t="s">
        <v>35</v>
      </c>
      <c r="AB1199" s="17" t="s">
        <v>35</v>
      </c>
      <c r="AC1199" s="17" t="s">
        <v>9539</v>
      </c>
      <c r="AD1199" s="41">
        <v>29.51</v>
      </c>
      <c r="AE1199" s="41">
        <v>29.51</v>
      </c>
      <c r="AF1199" s="48"/>
      <c r="AG1199" s="44"/>
      <c r="AH1199" s="7">
        <f t="shared" si="18"/>
        <v>0</v>
      </c>
      <c r="AI1199" s="18"/>
      <c r="AJ1199" s="18"/>
    </row>
    <row r="1200" spans="1:38" ht="26.65" customHeight="1" x14ac:dyDescent="0.25">
      <c r="A1200" s="38" t="s">
        <v>7452</v>
      </c>
      <c r="B1200" s="9" t="s">
        <v>5140</v>
      </c>
      <c r="C1200" s="9" t="s">
        <v>43</v>
      </c>
      <c r="D1200" s="9" t="s">
        <v>5141</v>
      </c>
      <c r="E1200" s="9" t="s">
        <v>35</v>
      </c>
      <c r="F1200" s="9" t="s">
        <v>36</v>
      </c>
      <c r="G1200" s="9">
        <v>5</v>
      </c>
      <c r="H1200" s="9">
        <v>84213990</v>
      </c>
      <c r="I1200" s="11" t="s">
        <v>37</v>
      </c>
      <c r="J1200" s="12">
        <v>1.6500000000000001E-2</v>
      </c>
      <c r="K1200" s="12">
        <v>7.5999999999999998E-2</v>
      </c>
      <c r="L1200" s="12">
        <v>0</v>
      </c>
      <c r="M1200" s="13">
        <v>8003453172159</v>
      </c>
      <c r="N1200" s="14">
        <v>4.9000000000000002E-2</v>
      </c>
      <c r="O1200" s="14">
        <v>0.114</v>
      </c>
      <c r="P1200" s="15" t="s">
        <v>35</v>
      </c>
      <c r="Q1200" s="16" t="s">
        <v>7453</v>
      </c>
      <c r="R1200" s="17" t="s">
        <v>35</v>
      </c>
      <c r="S1200" s="17" t="s">
        <v>7454</v>
      </c>
      <c r="T1200" s="17" t="s">
        <v>7455</v>
      </c>
      <c r="U1200" s="17" t="s">
        <v>7456</v>
      </c>
      <c r="V1200" s="17" t="s">
        <v>35</v>
      </c>
      <c r="W1200" s="17" t="s">
        <v>35</v>
      </c>
      <c r="X1200" s="17" t="s">
        <v>35</v>
      </c>
      <c r="Y1200" s="17" t="s">
        <v>7457</v>
      </c>
      <c r="Z1200" s="17" t="s">
        <v>35</v>
      </c>
      <c r="AA1200" s="17" t="s">
        <v>35</v>
      </c>
      <c r="AB1200" s="17" t="s">
        <v>35</v>
      </c>
      <c r="AC1200" s="17" t="s">
        <v>9538</v>
      </c>
      <c r="AD1200" s="42">
        <v>29.98</v>
      </c>
      <c r="AE1200" s="42">
        <v>29.98</v>
      </c>
      <c r="AF1200" s="48"/>
      <c r="AG1200" s="44"/>
      <c r="AH1200" s="7">
        <f t="shared" si="18"/>
        <v>0</v>
      </c>
      <c r="AI1200" s="18"/>
      <c r="AJ1200" s="18"/>
    </row>
    <row r="1201" spans="1:38" ht="26.65" customHeight="1" x14ac:dyDescent="0.25">
      <c r="A1201" s="10" t="s">
        <v>7458</v>
      </c>
      <c r="B1201" s="9" t="s">
        <v>5140</v>
      </c>
      <c r="C1201" s="9" t="s">
        <v>43</v>
      </c>
      <c r="D1201" s="9" t="s">
        <v>5141</v>
      </c>
      <c r="E1201" s="9" t="s">
        <v>35</v>
      </c>
      <c r="F1201" s="9" t="s">
        <v>36</v>
      </c>
      <c r="G1201" s="9">
        <v>5</v>
      </c>
      <c r="H1201" s="9">
        <v>84213990</v>
      </c>
      <c r="I1201" s="11" t="s">
        <v>37</v>
      </c>
      <c r="J1201" s="12">
        <v>1.6500000000000001E-2</v>
      </c>
      <c r="K1201" s="12">
        <v>7.5999999999999998E-2</v>
      </c>
      <c r="L1201" s="12">
        <v>0</v>
      </c>
      <c r="M1201" s="13">
        <v>8003453172197</v>
      </c>
      <c r="N1201" s="14">
        <v>5.3999999999999999E-2</v>
      </c>
      <c r="O1201" s="14">
        <v>0.12</v>
      </c>
      <c r="P1201" s="15">
        <v>45231</v>
      </c>
      <c r="Q1201" s="16" t="s">
        <v>7459</v>
      </c>
      <c r="R1201" s="17" t="s">
        <v>7460</v>
      </c>
      <c r="S1201" s="17" t="s">
        <v>7461</v>
      </c>
      <c r="T1201" s="17" t="s">
        <v>35</v>
      </c>
      <c r="U1201" s="17" t="s">
        <v>7462</v>
      </c>
      <c r="V1201" s="17" t="s">
        <v>35</v>
      </c>
      <c r="W1201" s="17" t="s">
        <v>35</v>
      </c>
      <c r="X1201" s="17" t="s">
        <v>7463</v>
      </c>
      <c r="Y1201" s="17" t="s">
        <v>35</v>
      </c>
      <c r="Z1201" s="17" t="s">
        <v>35</v>
      </c>
      <c r="AA1201" s="17" t="s">
        <v>35</v>
      </c>
      <c r="AB1201" s="17" t="s">
        <v>35</v>
      </c>
      <c r="AC1201" s="17" t="s">
        <v>9539</v>
      </c>
      <c r="AD1201" s="42">
        <v>46.89</v>
      </c>
      <c r="AE1201" s="42">
        <v>46.89</v>
      </c>
      <c r="AF1201" s="48"/>
      <c r="AG1201" s="44"/>
      <c r="AH1201" s="7">
        <f t="shared" si="18"/>
        <v>0</v>
      </c>
      <c r="AI1201" s="18"/>
      <c r="AJ1201" s="18"/>
    </row>
    <row r="1202" spans="1:38" ht="26.65" customHeight="1" x14ac:dyDescent="0.25">
      <c r="A1202" s="10" t="s">
        <v>10637</v>
      </c>
      <c r="B1202" s="9" t="s">
        <v>5140</v>
      </c>
      <c r="C1202" s="9" t="s">
        <v>43</v>
      </c>
      <c r="D1202" s="9" t="s">
        <v>5141</v>
      </c>
      <c r="E1202" s="9" t="s">
        <v>35</v>
      </c>
      <c r="F1202" s="9" t="s">
        <v>36</v>
      </c>
      <c r="G1202" s="9">
        <v>4</v>
      </c>
      <c r="H1202" s="9">
        <v>84213990</v>
      </c>
      <c r="I1202" s="11" t="s">
        <v>37</v>
      </c>
      <c r="J1202" s="12">
        <v>1.6500000000000001E-2</v>
      </c>
      <c r="K1202" s="12">
        <v>7.5999999999999998E-2</v>
      </c>
      <c r="L1202" s="12">
        <v>0</v>
      </c>
      <c r="M1202" s="13" t="s">
        <v>35</v>
      </c>
      <c r="N1202" s="14" t="s">
        <v>35</v>
      </c>
      <c r="O1202" s="14" t="s">
        <v>35</v>
      </c>
      <c r="P1202" s="15">
        <v>45597</v>
      </c>
      <c r="Q1202" s="16" t="s">
        <v>7459</v>
      </c>
      <c r="R1202" s="17" t="s">
        <v>35</v>
      </c>
      <c r="S1202" s="17" t="s">
        <v>10638</v>
      </c>
      <c r="T1202" s="17" t="s">
        <v>35</v>
      </c>
      <c r="U1202" s="17" t="s">
        <v>10639</v>
      </c>
      <c r="V1202" s="17" t="s">
        <v>35</v>
      </c>
      <c r="W1202" s="17" t="s">
        <v>35</v>
      </c>
      <c r="X1202" s="17" t="s">
        <v>10640</v>
      </c>
      <c r="Y1202" s="17" t="s">
        <v>35</v>
      </c>
      <c r="Z1202" s="17" t="s">
        <v>35</v>
      </c>
      <c r="AA1202" s="17" t="s">
        <v>35</v>
      </c>
      <c r="AB1202" s="17" t="s">
        <v>35</v>
      </c>
      <c r="AC1202" s="17" t="s">
        <v>9539</v>
      </c>
      <c r="AD1202" s="41">
        <v>40.43</v>
      </c>
      <c r="AE1202" s="41">
        <v>40.43</v>
      </c>
      <c r="AF1202" s="48"/>
      <c r="AG1202" s="44"/>
      <c r="AH1202" s="7">
        <f t="shared" si="18"/>
        <v>0</v>
      </c>
      <c r="AI1202" s="18"/>
      <c r="AJ1202" s="18"/>
    </row>
    <row r="1203" spans="1:38" ht="26.65" customHeight="1" x14ac:dyDescent="0.25">
      <c r="A1203" s="10" t="s">
        <v>7464</v>
      </c>
      <c r="B1203" s="9" t="s">
        <v>5140</v>
      </c>
      <c r="C1203" s="9" t="s">
        <v>43</v>
      </c>
      <c r="D1203" s="9" t="s">
        <v>5141</v>
      </c>
      <c r="E1203" s="9" t="s">
        <v>35</v>
      </c>
      <c r="F1203" s="9" t="s">
        <v>2072</v>
      </c>
      <c r="G1203" s="9">
        <v>5</v>
      </c>
      <c r="H1203" s="9">
        <v>84213990</v>
      </c>
      <c r="I1203" s="11" t="s">
        <v>2073</v>
      </c>
      <c r="J1203" s="12">
        <v>1.6500000000000001E-2</v>
      </c>
      <c r="K1203" s="12">
        <v>7.5999999999999998E-2</v>
      </c>
      <c r="L1203" s="12">
        <v>0</v>
      </c>
      <c r="M1203" s="13">
        <v>8003453807990</v>
      </c>
      <c r="N1203" s="14">
        <v>7.3999999999999996E-2</v>
      </c>
      <c r="O1203" s="14">
        <v>0.154</v>
      </c>
      <c r="P1203" s="15">
        <v>44927</v>
      </c>
      <c r="Q1203" s="16" t="s">
        <v>7465</v>
      </c>
      <c r="R1203" s="17" t="s">
        <v>7466</v>
      </c>
      <c r="S1203" s="17" t="s">
        <v>7467</v>
      </c>
      <c r="T1203" s="17" t="s">
        <v>7468</v>
      </c>
      <c r="U1203" s="17" t="s">
        <v>7469</v>
      </c>
      <c r="V1203" s="17" t="s">
        <v>7470</v>
      </c>
      <c r="W1203" s="17" t="s">
        <v>7471</v>
      </c>
      <c r="X1203" s="17" t="s">
        <v>7472</v>
      </c>
      <c r="Y1203" s="17" t="s">
        <v>7473</v>
      </c>
      <c r="Z1203" s="17" t="s">
        <v>35</v>
      </c>
      <c r="AA1203" s="17" t="s">
        <v>35</v>
      </c>
      <c r="AB1203" s="17" t="s">
        <v>35</v>
      </c>
      <c r="AC1203" s="17" t="s">
        <v>9539</v>
      </c>
      <c r="AD1203" s="41">
        <v>7.18</v>
      </c>
      <c r="AE1203" s="41">
        <v>7.18</v>
      </c>
      <c r="AF1203" s="48"/>
      <c r="AG1203" s="44"/>
      <c r="AH1203" s="7">
        <f t="shared" si="18"/>
        <v>0</v>
      </c>
      <c r="AI1203" s="18"/>
      <c r="AJ1203" s="18"/>
    </row>
    <row r="1204" spans="1:38" ht="26.65" customHeight="1" x14ac:dyDescent="0.25">
      <c r="A1204" s="10" t="s">
        <v>7474</v>
      </c>
      <c r="B1204" s="9" t="s">
        <v>5140</v>
      </c>
      <c r="C1204" s="9" t="s">
        <v>43</v>
      </c>
      <c r="D1204" s="9" t="s">
        <v>5141</v>
      </c>
      <c r="E1204" s="9" t="s">
        <v>35</v>
      </c>
      <c r="F1204" s="9" t="s">
        <v>36</v>
      </c>
      <c r="G1204" s="9">
        <v>5</v>
      </c>
      <c r="H1204" s="9">
        <v>84213990</v>
      </c>
      <c r="I1204" s="11" t="s">
        <v>37</v>
      </c>
      <c r="J1204" s="12">
        <v>1.6500000000000001E-2</v>
      </c>
      <c r="K1204" s="12">
        <v>7.5999999999999998E-2</v>
      </c>
      <c r="L1204" s="12">
        <v>0</v>
      </c>
      <c r="M1204" s="13">
        <v>8003453172227</v>
      </c>
      <c r="N1204" s="14">
        <v>5.8000000000000003E-2</v>
      </c>
      <c r="O1204" s="14">
        <v>0.122</v>
      </c>
      <c r="P1204" s="15" t="s">
        <v>35</v>
      </c>
      <c r="Q1204" s="16" t="s">
        <v>7475</v>
      </c>
      <c r="R1204" s="17" t="s">
        <v>35</v>
      </c>
      <c r="S1204" s="17" t="s">
        <v>7476</v>
      </c>
      <c r="T1204" s="17" t="s">
        <v>7477</v>
      </c>
      <c r="U1204" s="17" t="s">
        <v>35</v>
      </c>
      <c r="V1204" s="17" t="s">
        <v>7478</v>
      </c>
      <c r="W1204" s="17" t="s">
        <v>7479</v>
      </c>
      <c r="X1204" s="17" t="s">
        <v>35</v>
      </c>
      <c r="Y1204" s="17" t="s">
        <v>7480</v>
      </c>
      <c r="Z1204" s="17" t="s">
        <v>35</v>
      </c>
      <c r="AA1204" s="17" t="s">
        <v>35</v>
      </c>
      <c r="AB1204" s="17" t="s">
        <v>35</v>
      </c>
      <c r="AC1204" s="17" t="s">
        <v>9539</v>
      </c>
      <c r="AD1204" s="41">
        <v>11.38</v>
      </c>
      <c r="AE1204" s="41">
        <v>11.38</v>
      </c>
      <c r="AF1204" s="48"/>
      <c r="AG1204" s="44"/>
      <c r="AH1204" s="7">
        <f t="shared" si="18"/>
        <v>0</v>
      </c>
      <c r="AI1204" s="18"/>
      <c r="AJ1204" s="18"/>
      <c r="AL1204" s="18"/>
    </row>
    <row r="1205" spans="1:38" ht="26.65" customHeight="1" x14ac:dyDescent="0.25">
      <c r="A1205" s="10" t="s">
        <v>7481</v>
      </c>
      <c r="B1205" s="9" t="s">
        <v>5140</v>
      </c>
      <c r="C1205" s="9" t="s">
        <v>43</v>
      </c>
      <c r="D1205" s="9" t="s">
        <v>5141</v>
      </c>
      <c r="E1205" s="9" t="s">
        <v>35</v>
      </c>
      <c r="F1205" s="9" t="s">
        <v>36</v>
      </c>
      <c r="G1205" s="9">
        <v>5</v>
      </c>
      <c r="H1205" s="9">
        <v>84213990</v>
      </c>
      <c r="I1205" s="11" t="s">
        <v>37</v>
      </c>
      <c r="J1205" s="12">
        <v>1.6500000000000001E-2</v>
      </c>
      <c r="K1205" s="12">
        <v>7.5999999999999998E-2</v>
      </c>
      <c r="L1205" s="12">
        <v>0</v>
      </c>
      <c r="M1205" s="13">
        <v>8003453172234</v>
      </c>
      <c r="N1205" s="14">
        <v>0.104</v>
      </c>
      <c r="O1205" s="14">
        <v>0.184</v>
      </c>
      <c r="P1205" s="15" t="s">
        <v>35</v>
      </c>
      <c r="Q1205" s="16" t="s">
        <v>7482</v>
      </c>
      <c r="R1205" s="17" t="s">
        <v>35</v>
      </c>
      <c r="S1205" s="17" t="s">
        <v>7483</v>
      </c>
      <c r="T1205" s="17" t="s">
        <v>7484</v>
      </c>
      <c r="U1205" s="17" t="s">
        <v>35</v>
      </c>
      <c r="V1205" s="17" t="s">
        <v>7485</v>
      </c>
      <c r="W1205" s="17" t="s">
        <v>7486</v>
      </c>
      <c r="X1205" s="17" t="s">
        <v>35</v>
      </c>
      <c r="Y1205" s="17" t="s">
        <v>7487</v>
      </c>
      <c r="Z1205" s="17" t="s">
        <v>35</v>
      </c>
      <c r="AA1205" s="17" t="s">
        <v>35</v>
      </c>
      <c r="AB1205" s="17" t="s">
        <v>35</v>
      </c>
      <c r="AC1205" s="17" t="s">
        <v>9539</v>
      </c>
      <c r="AD1205" s="41">
        <v>18.86</v>
      </c>
      <c r="AE1205" s="41">
        <v>18.86</v>
      </c>
      <c r="AF1205" s="48"/>
      <c r="AG1205" s="44"/>
      <c r="AH1205" s="7">
        <f t="shared" si="18"/>
        <v>0</v>
      </c>
      <c r="AI1205" s="18"/>
      <c r="AJ1205" s="18"/>
    </row>
    <row r="1206" spans="1:38" ht="26.65" customHeight="1" x14ac:dyDescent="0.25">
      <c r="A1206" s="38" t="s">
        <v>7488</v>
      </c>
      <c r="B1206" s="9" t="s">
        <v>5140</v>
      </c>
      <c r="C1206" s="9" t="s">
        <v>43</v>
      </c>
      <c r="D1206" s="9" t="s">
        <v>5141</v>
      </c>
      <c r="E1206" s="9" t="s">
        <v>35</v>
      </c>
      <c r="F1206" s="9" t="s">
        <v>36</v>
      </c>
      <c r="G1206" s="9">
        <v>5</v>
      </c>
      <c r="H1206" s="9">
        <v>84213990</v>
      </c>
      <c r="I1206" s="11" t="s">
        <v>37</v>
      </c>
      <c r="J1206" s="12">
        <v>1.6500000000000001E-2</v>
      </c>
      <c r="K1206" s="12">
        <v>7.5999999999999998E-2</v>
      </c>
      <c r="L1206" s="12">
        <v>0</v>
      </c>
      <c r="M1206" s="13">
        <v>8003453172302</v>
      </c>
      <c r="N1206" s="14">
        <v>4.4999999999999998E-2</v>
      </c>
      <c r="O1206" s="14">
        <v>9.5000000000000001E-2</v>
      </c>
      <c r="P1206" s="15" t="s">
        <v>35</v>
      </c>
      <c r="Q1206" s="16" t="s">
        <v>7489</v>
      </c>
      <c r="R1206" s="17" t="s">
        <v>35</v>
      </c>
      <c r="S1206" s="17" t="s">
        <v>7490</v>
      </c>
      <c r="T1206" s="17" t="s">
        <v>7491</v>
      </c>
      <c r="U1206" s="17" t="s">
        <v>35</v>
      </c>
      <c r="V1206" s="17" t="s">
        <v>35</v>
      </c>
      <c r="W1206" s="17" t="s">
        <v>35</v>
      </c>
      <c r="X1206" s="17" t="s">
        <v>35</v>
      </c>
      <c r="Y1206" s="17" t="s">
        <v>7492</v>
      </c>
      <c r="Z1206" s="17" t="s">
        <v>35</v>
      </c>
      <c r="AA1206" s="17" t="s">
        <v>35</v>
      </c>
      <c r="AB1206" s="17" t="s">
        <v>35</v>
      </c>
      <c r="AC1206" s="17" t="s">
        <v>9538</v>
      </c>
      <c r="AD1206" s="41">
        <v>44.95</v>
      </c>
      <c r="AE1206" s="41">
        <v>44.95</v>
      </c>
      <c r="AF1206" s="48"/>
      <c r="AG1206" s="44"/>
      <c r="AH1206" s="7">
        <f t="shared" si="18"/>
        <v>0</v>
      </c>
      <c r="AI1206" s="18"/>
      <c r="AJ1206" s="18"/>
      <c r="AL1206" s="18"/>
    </row>
    <row r="1207" spans="1:38" ht="26.65" customHeight="1" x14ac:dyDescent="0.25">
      <c r="A1207" s="38" t="s">
        <v>7493</v>
      </c>
      <c r="B1207" s="9" t="s">
        <v>5140</v>
      </c>
      <c r="C1207" s="9" t="s">
        <v>58</v>
      </c>
      <c r="D1207" s="9" t="s">
        <v>5141</v>
      </c>
      <c r="E1207" s="9" t="s">
        <v>35</v>
      </c>
      <c r="F1207" s="9" t="s">
        <v>36</v>
      </c>
      <c r="G1207" s="9">
        <v>5</v>
      </c>
      <c r="H1207" s="9">
        <v>84213990</v>
      </c>
      <c r="I1207" s="11" t="s">
        <v>37</v>
      </c>
      <c r="J1207" s="12">
        <v>1.6500000000000001E-2</v>
      </c>
      <c r="K1207" s="12">
        <v>7.5999999999999998E-2</v>
      </c>
      <c r="L1207" s="12">
        <v>0</v>
      </c>
      <c r="M1207" s="13">
        <v>8003453172388</v>
      </c>
      <c r="N1207" s="14">
        <v>9.1999999999999998E-2</v>
      </c>
      <c r="O1207" s="14">
        <v>0.152</v>
      </c>
      <c r="P1207" s="15" t="s">
        <v>35</v>
      </c>
      <c r="Q1207" s="16" t="s">
        <v>7494</v>
      </c>
      <c r="R1207" s="17" t="s">
        <v>35</v>
      </c>
      <c r="S1207" s="17" t="s">
        <v>7495</v>
      </c>
      <c r="T1207" s="17" t="s">
        <v>7496</v>
      </c>
      <c r="U1207" s="17" t="s">
        <v>7497</v>
      </c>
      <c r="V1207" s="17" t="s">
        <v>7498</v>
      </c>
      <c r="W1207" s="17" t="s">
        <v>7499</v>
      </c>
      <c r="X1207" s="17" t="s">
        <v>7500</v>
      </c>
      <c r="Y1207" s="17" t="s">
        <v>7501</v>
      </c>
      <c r="Z1207" s="17" t="s">
        <v>7502</v>
      </c>
      <c r="AA1207" s="17" t="s">
        <v>35</v>
      </c>
      <c r="AB1207" s="17" t="s">
        <v>7503</v>
      </c>
      <c r="AC1207" s="17" t="s">
        <v>9538</v>
      </c>
      <c r="AD1207" s="41">
        <v>25.03</v>
      </c>
      <c r="AE1207" s="41">
        <v>25.03</v>
      </c>
      <c r="AF1207" s="48"/>
      <c r="AG1207" s="44"/>
      <c r="AH1207" s="7">
        <f t="shared" si="18"/>
        <v>0</v>
      </c>
      <c r="AI1207" s="18"/>
      <c r="AJ1207" s="18"/>
      <c r="AL1207" s="18"/>
    </row>
    <row r="1208" spans="1:38" ht="26.65" customHeight="1" x14ac:dyDescent="0.25">
      <c r="A1208" s="38" t="s">
        <v>7504</v>
      </c>
      <c r="B1208" s="9" t="s">
        <v>5140</v>
      </c>
      <c r="C1208" s="9" t="s">
        <v>43</v>
      </c>
      <c r="D1208" s="9" t="s">
        <v>5141</v>
      </c>
      <c r="E1208" s="9" t="s">
        <v>35</v>
      </c>
      <c r="F1208" s="9" t="s">
        <v>36</v>
      </c>
      <c r="G1208" s="9">
        <v>5</v>
      </c>
      <c r="H1208" s="9">
        <v>84213990</v>
      </c>
      <c r="I1208" s="11" t="s">
        <v>37</v>
      </c>
      <c r="J1208" s="12">
        <v>1.6500000000000001E-2</v>
      </c>
      <c r="K1208" s="12">
        <v>7.5999999999999998E-2</v>
      </c>
      <c r="L1208" s="12">
        <v>0</v>
      </c>
      <c r="M1208" s="13">
        <v>8003453172432</v>
      </c>
      <c r="N1208" s="14">
        <v>5.8000000000000003E-2</v>
      </c>
      <c r="O1208" s="14">
        <v>0.122</v>
      </c>
      <c r="P1208" s="15">
        <v>44531</v>
      </c>
      <c r="Q1208" s="16" t="s">
        <v>7505</v>
      </c>
      <c r="R1208" s="17" t="s">
        <v>7506</v>
      </c>
      <c r="S1208" s="17" t="s">
        <v>7507</v>
      </c>
      <c r="T1208" s="17" t="s">
        <v>7508</v>
      </c>
      <c r="U1208" s="17" t="s">
        <v>7509</v>
      </c>
      <c r="V1208" s="17" t="s">
        <v>7510</v>
      </c>
      <c r="W1208" s="17" t="s">
        <v>35</v>
      </c>
      <c r="X1208" s="17" t="s">
        <v>7511</v>
      </c>
      <c r="Y1208" s="17" t="s">
        <v>7512</v>
      </c>
      <c r="Z1208" s="17" t="s">
        <v>35</v>
      </c>
      <c r="AA1208" s="17" t="s">
        <v>35</v>
      </c>
      <c r="AB1208" s="17" t="s">
        <v>35</v>
      </c>
      <c r="AC1208" s="17" t="s">
        <v>9538</v>
      </c>
      <c r="AD1208" s="41">
        <v>15.98</v>
      </c>
      <c r="AE1208" s="41">
        <v>15.98</v>
      </c>
      <c r="AF1208" s="48"/>
      <c r="AG1208" s="44"/>
      <c r="AH1208" s="7">
        <f t="shared" si="18"/>
        <v>0</v>
      </c>
      <c r="AI1208" s="18"/>
      <c r="AJ1208" s="18"/>
      <c r="AL1208" s="18"/>
    </row>
    <row r="1209" spans="1:38" ht="26.65" customHeight="1" x14ac:dyDescent="0.25">
      <c r="A1209" s="10" t="s">
        <v>7513</v>
      </c>
      <c r="B1209" s="9" t="s">
        <v>6924</v>
      </c>
      <c r="C1209" s="9" t="s">
        <v>43</v>
      </c>
      <c r="D1209" s="9" t="s">
        <v>7087</v>
      </c>
      <c r="E1209" s="9" t="s">
        <v>35</v>
      </c>
      <c r="F1209" s="9" t="s">
        <v>36</v>
      </c>
      <c r="G1209" s="9">
        <v>5</v>
      </c>
      <c r="H1209" s="9">
        <v>84213990</v>
      </c>
      <c r="I1209" s="11" t="s">
        <v>37</v>
      </c>
      <c r="J1209" s="12">
        <v>1.6500000000000001E-2</v>
      </c>
      <c r="K1209" s="12">
        <v>7.5999999999999998E-2</v>
      </c>
      <c r="L1209" s="12">
        <v>0</v>
      </c>
      <c r="M1209" s="13">
        <v>8003453172647</v>
      </c>
      <c r="N1209" s="14">
        <v>0.128</v>
      </c>
      <c r="O1209" s="14">
        <v>0.249</v>
      </c>
      <c r="P1209" s="15">
        <v>45139</v>
      </c>
      <c r="Q1209" s="16" t="s">
        <v>7514</v>
      </c>
      <c r="R1209" s="17" t="s">
        <v>7515</v>
      </c>
      <c r="S1209" s="17" t="s">
        <v>7516</v>
      </c>
      <c r="T1209" s="17" t="s">
        <v>35</v>
      </c>
      <c r="U1209" s="17" t="s">
        <v>35</v>
      </c>
      <c r="V1209" s="17" t="s">
        <v>35</v>
      </c>
      <c r="W1209" s="17" t="s">
        <v>35</v>
      </c>
      <c r="X1209" s="17" t="s">
        <v>7517</v>
      </c>
      <c r="Y1209" s="17" t="s">
        <v>35</v>
      </c>
      <c r="Z1209" s="17" t="s">
        <v>35</v>
      </c>
      <c r="AA1209" s="17" t="s">
        <v>35</v>
      </c>
      <c r="AB1209" s="17" t="s">
        <v>35</v>
      </c>
      <c r="AC1209" s="17" t="s">
        <v>9539</v>
      </c>
      <c r="AD1209" s="41">
        <v>52.23</v>
      </c>
      <c r="AE1209" s="41">
        <v>52.23</v>
      </c>
      <c r="AF1209" s="48"/>
      <c r="AG1209" s="44"/>
      <c r="AH1209" s="7">
        <f t="shared" si="18"/>
        <v>0</v>
      </c>
      <c r="AI1209" s="18"/>
      <c r="AJ1209" s="18"/>
      <c r="AL1209" s="18"/>
    </row>
    <row r="1210" spans="1:38" ht="26.65" customHeight="1" x14ac:dyDescent="0.25">
      <c r="A1210" s="38" t="s">
        <v>9377</v>
      </c>
      <c r="B1210" s="9" t="s">
        <v>6924</v>
      </c>
      <c r="C1210" s="9" t="s">
        <v>58</v>
      </c>
      <c r="D1210" s="9" t="s">
        <v>5141</v>
      </c>
      <c r="E1210" s="9" t="s">
        <v>35</v>
      </c>
      <c r="F1210" s="9" t="s">
        <v>36</v>
      </c>
      <c r="G1210" s="9">
        <v>5</v>
      </c>
      <c r="H1210" s="9">
        <v>84213990</v>
      </c>
      <c r="I1210" s="11" t="s">
        <v>37</v>
      </c>
      <c r="J1210" s="12">
        <v>1.6500000000000001E-2</v>
      </c>
      <c r="K1210" s="12">
        <v>7.5999999999999998E-2</v>
      </c>
      <c r="L1210" s="12">
        <v>0</v>
      </c>
      <c r="M1210" s="13">
        <v>8003453172654</v>
      </c>
      <c r="N1210" s="14">
        <v>0</v>
      </c>
      <c r="O1210" s="14">
        <v>0</v>
      </c>
      <c r="P1210" s="15">
        <v>45444</v>
      </c>
      <c r="Q1210" s="16" t="s">
        <v>9378</v>
      </c>
      <c r="R1210" s="17" t="s">
        <v>35</v>
      </c>
      <c r="S1210" s="17" t="s">
        <v>9379</v>
      </c>
      <c r="T1210" s="17" t="s">
        <v>9380</v>
      </c>
      <c r="U1210" s="17" t="s">
        <v>9381</v>
      </c>
      <c r="V1210" s="17" t="s">
        <v>9382</v>
      </c>
      <c r="W1210" s="17" t="s">
        <v>9383</v>
      </c>
      <c r="X1210" s="17" t="s">
        <v>35</v>
      </c>
      <c r="Y1210" s="17" t="s">
        <v>9384</v>
      </c>
      <c r="Z1210" s="17" t="s">
        <v>35</v>
      </c>
      <c r="AA1210" s="17" t="s">
        <v>35</v>
      </c>
      <c r="AB1210" s="17" t="s">
        <v>35</v>
      </c>
      <c r="AC1210" s="17" t="s">
        <v>9538</v>
      </c>
      <c r="AD1210" s="42">
        <v>26.32</v>
      </c>
      <c r="AE1210" s="42">
        <v>26.32</v>
      </c>
      <c r="AF1210" s="48"/>
      <c r="AG1210" s="44"/>
      <c r="AH1210" s="7">
        <f t="shared" si="18"/>
        <v>0</v>
      </c>
      <c r="AI1210" s="18"/>
      <c r="AJ1210" s="18"/>
    </row>
    <row r="1211" spans="1:38" ht="26.65" customHeight="1" x14ac:dyDescent="0.25">
      <c r="A1211" s="10" t="s">
        <v>10447</v>
      </c>
      <c r="B1211" s="9" t="s">
        <v>5140</v>
      </c>
      <c r="C1211" s="9" t="s">
        <v>58</v>
      </c>
      <c r="D1211" s="9" t="s">
        <v>5141</v>
      </c>
      <c r="E1211" s="9" t="s">
        <v>35</v>
      </c>
      <c r="F1211" s="9" t="s">
        <v>2072</v>
      </c>
      <c r="G1211" s="9">
        <v>5</v>
      </c>
      <c r="H1211" s="9">
        <v>84213990</v>
      </c>
      <c r="I1211" s="11" t="s">
        <v>2073</v>
      </c>
      <c r="J1211" s="12">
        <v>1.6500000000000001E-2</v>
      </c>
      <c r="K1211" s="12">
        <v>7.5999999999999998E-2</v>
      </c>
      <c r="L1211" s="12">
        <v>0</v>
      </c>
      <c r="M1211" s="13">
        <v>8003453172654</v>
      </c>
      <c r="N1211" s="14">
        <v>0</v>
      </c>
      <c r="O1211" s="14">
        <v>0</v>
      </c>
      <c r="P1211" s="15">
        <v>45566</v>
      </c>
      <c r="Q1211" s="16" t="s">
        <v>9378</v>
      </c>
      <c r="R1211" s="17" t="s">
        <v>35</v>
      </c>
      <c r="S1211" s="17" t="s">
        <v>9379</v>
      </c>
      <c r="T1211" s="17" t="s">
        <v>9380</v>
      </c>
      <c r="U1211" s="17" t="s">
        <v>9381</v>
      </c>
      <c r="V1211" s="17" t="s">
        <v>9382</v>
      </c>
      <c r="W1211" s="17" t="s">
        <v>9383</v>
      </c>
      <c r="X1211" s="17" t="s">
        <v>35</v>
      </c>
      <c r="Y1211" s="17" t="s">
        <v>9384</v>
      </c>
      <c r="Z1211" s="17" t="s">
        <v>35</v>
      </c>
      <c r="AA1211" s="17" t="s">
        <v>35</v>
      </c>
      <c r="AB1211" s="17" t="s">
        <v>35</v>
      </c>
      <c r="AC1211" s="17" t="s">
        <v>9539</v>
      </c>
      <c r="AD1211" s="41">
        <v>18.86</v>
      </c>
      <c r="AE1211" s="41">
        <v>18.86</v>
      </c>
      <c r="AF1211" s="48"/>
      <c r="AG1211" s="44"/>
      <c r="AH1211" s="7">
        <f t="shared" si="18"/>
        <v>0</v>
      </c>
      <c r="AI1211" s="18"/>
      <c r="AJ1211" s="18"/>
    </row>
    <row r="1212" spans="1:38" ht="26.65" customHeight="1" x14ac:dyDescent="0.25">
      <c r="A1212" s="10" t="s">
        <v>7518</v>
      </c>
      <c r="B1212" s="9" t="s">
        <v>5140</v>
      </c>
      <c r="C1212" s="9" t="s">
        <v>43</v>
      </c>
      <c r="D1212" s="9" t="s">
        <v>7087</v>
      </c>
      <c r="E1212" s="9" t="s">
        <v>35</v>
      </c>
      <c r="F1212" s="9" t="s">
        <v>36</v>
      </c>
      <c r="G1212" s="9">
        <v>5</v>
      </c>
      <c r="H1212" s="9">
        <v>84213990</v>
      </c>
      <c r="I1212" s="11" t="s">
        <v>37</v>
      </c>
      <c r="J1212" s="12">
        <v>1.6500000000000001E-2</v>
      </c>
      <c r="K1212" s="12">
        <v>7.5999999999999998E-2</v>
      </c>
      <c r="L1212" s="12">
        <v>0</v>
      </c>
      <c r="M1212" s="13">
        <v>8003453172678</v>
      </c>
      <c r="N1212" s="14">
        <v>3.4000000000000002E-2</v>
      </c>
      <c r="O1212" s="14">
        <v>9.8000000000000004E-2</v>
      </c>
      <c r="P1212" s="15" t="s">
        <v>35</v>
      </c>
      <c r="Q1212" s="16" t="s">
        <v>7519</v>
      </c>
      <c r="R1212" s="17" t="s">
        <v>35</v>
      </c>
      <c r="S1212" s="17" t="s">
        <v>7520</v>
      </c>
      <c r="T1212" s="17" t="s">
        <v>35</v>
      </c>
      <c r="U1212" s="17" t="s">
        <v>7521</v>
      </c>
      <c r="V1212" s="17" t="s">
        <v>7522</v>
      </c>
      <c r="W1212" s="17" t="s">
        <v>7523</v>
      </c>
      <c r="X1212" s="17" t="s">
        <v>7524</v>
      </c>
      <c r="Y1212" s="17" t="s">
        <v>7525</v>
      </c>
      <c r="Z1212" s="17" t="s">
        <v>35</v>
      </c>
      <c r="AA1212" s="17" t="s">
        <v>35</v>
      </c>
      <c r="AB1212" s="17" t="s">
        <v>35</v>
      </c>
      <c r="AC1212" s="17" t="s">
        <v>9539</v>
      </c>
      <c r="AD1212" s="41">
        <v>35.06</v>
      </c>
      <c r="AE1212" s="41">
        <v>35.06</v>
      </c>
      <c r="AF1212" s="48"/>
      <c r="AG1212" s="44"/>
      <c r="AH1212" s="7">
        <f t="shared" si="18"/>
        <v>0</v>
      </c>
      <c r="AI1212" s="18"/>
      <c r="AJ1212" s="18"/>
    </row>
    <row r="1213" spans="1:38" ht="26.65" customHeight="1" x14ac:dyDescent="0.25">
      <c r="A1213" s="10" t="s">
        <v>7526</v>
      </c>
      <c r="B1213" s="9" t="s">
        <v>5140</v>
      </c>
      <c r="C1213" s="9" t="s">
        <v>43</v>
      </c>
      <c r="D1213" s="9" t="s">
        <v>5141</v>
      </c>
      <c r="E1213" s="9" t="s">
        <v>35</v>
      </c>
      <c r="F1213" s="9" t="s">
        <v>36</v>
      </c>
      <c r="G1213" s="9">
        <v>5</v>
      </c>
      <c r="H1213" s="9">
        <v>84213990</v>
      </c>
      <c r="I1213" s="11" t="s">
        <v>37</v>
      </c>
      <c r="J1213" s="12">
        <v>1.6500000000000001E-2</v>
      </c>
      <c r="K1213" s="12">
        <v>7.5999999999999998E-2</v>
      </c>
      <c r="L1213" s="12">
        <v>0</v>
      </c>
      <c r="M1213" s="13">
        <v>8003453172708</v>
      </c>
      <c r="N1213" s="14">
        <v>7.0000000000000007E-2</v>
      </c>
      <c r="O1213" s="14">
        <v>0.13400000000000001</v>
      </c>
      <c r="P1213" s="15">
        <v>44501</v>
      </c>
      <c r="Q1213" s="16" t="s">
        <v>7527</v>
      </c>
      <c r="R1213" s="17" t="s">
        <v>7528</v>
      </c>
      <c r="S1213" s="17" t="s">
        <v>7529</v>
      </c>
      <c r="T1213" s="17" t="s">
        <v>7530</v>
      </c>
      <c r="U1213" s="17" t="s">
        <v>7531</v>
      </c>
      <c r="V1213" s="17" t="s">
        <v>7532</v>
      </c>
      <c r="W1213" s="17" t="s">
        <v>35</v>
      </c>
      <c r="X1213" s="17" t="s">
        <v>7533</v>
      </c>
      <c r="Y1213" s="17" t="s">
        <v>7534</v>
      </c>
      <c r="Z1213" s="17" t="s">
        <v>35</v>
      </c>
      <c r="AA1213" s="17" t="s">
        <v>35</v>
      </c>
      <c r="AB1213" s="17" t="s">
        <v>35</v>
      </c>
      <c r="AC1213" s="17" t="s">
        <v>9539</v>
      </c>
      <c r="AD1213" s="41">
        <v>18.95</v>
      </c>
      <c r="AE1213" s="41">
        <v>18.95</v>
      </c>
      <c r="AF1213" s="48"/>
      <c r="AG1213" s="44"/>
      <c r="AH1213" s="7">
        <f t="shared" si="18"/>
        <v>0</v>
      </c>
      <c r="AI1213" s="18"/>
      <c r="AJ1213" s="18"/>
      <c r="AL1213" s="18"/>
    </row>
    <row r="1214" spans="1:38" ht="26.65" customHeight="1" x14ac:dyDescent="0.25">
      <c r="A1214" s="38" t="s">
        <v>7535</v>
      </c>
      <c r="B1214" s="9" t="s">
        <v>6905</v>
      </c>
      <c r="C1214" s="9" t="s">
        <v>43</v>
      </c>
      <c r="D1214" s="9" t="s">
        <v>5141</v>
      </c>
      <c r="E1214" s="9" t="s">
        <v>35</v>
      </c>
      <c r="F1214" s="9" t="s">
        <v>36</v>
      </c>
      <c r="G1214" s="9">
        <v>5</v>
      </c>
      <c r="H1214" s="9">
        <v>84213990</v>
      </c>
      <c r="I1214" s="11" t="s">
        <v>37</v>
      </c>
      <c r="J1214" s="12">
        <v>1.6500000000000001E-2</v>
      </c>
      <c r="K1214" s="12">
        <v>7.5999999999999998E-2</v>
      </c>
      <c r="L1214" s="12">
        <v>0</v>
      </c>
      <c r="M1214" s="13">
        <v>8003453172739</v>
      </c>
      <c r="N1214" s="14">
        <v>7.3999999999999996E-2</v>
      </c>
      <c r="O1214" s="14">
        <v>0.158</v>
      </c>
      <c r="P1214" s="15">
        <v>45200</v>
      </c>
      <c r="Q1214" s="16" t="s">
        <v>7536</v>
      </c>
      <c r="R1214" s="17" t="s">
        <v>7537</v>
      </c>
      <c r="S1214" s="17" t="s">
        <v>7538</v>
      </c>
      <c r="T1214" s="17" t="s">
        <v>7539</v>
      </c>
      <c r="U1214" s="17" t="s">
        <v>7540</v>
      </c>
      <c r="V1214" s="17" t="s">
        <v>35</v>
      </c>
      <c r="W1214" s="17" t="s">
        <v>35</v>
      </c>
      <c r="X1214" s="17" t="s">
        <v>35</v>
      </c>
      <c r="Y1214" s="17" t="s">
        <v>7541</v>
      </c>
      <c r="Z1214" s="17" t="s">
        <v>35</v>
      </c>
      <c r="AA1214" s="17" t="s">
        <v>35</v>
      </c>
      <c r="AB1214" s="17" t="s">
        <v>35</v>
      </c>
      <c r="AC1214" s="17" t="s">
        <v>9538</v>
      </c>
      <c r="AD1214" s="42">
        <v>33.67</v>
      </c>
      <c r="AE1214" s="42">
        <v>33.67</v>
      </c>
      <c r="AF1214" s="48"/>
      <c r="AG1214" s="44"/>
      <c r="AH1214" s="7">
        <f t="shared" si="18"/>
        <v>0</v>
      </c>
      <c r="AI1214" s="18"/>
      <c r="AJ1214" s="18"/>
    </row>
    <row r="1215" spans="1:38" ht="26.65" customHeight="1" x14ac:dyDescent="0.25">
      <c r="A1215" s="10" t="s">
        <v>7542</v>
      </c>
      <c r="B1215" s="9" t="s">
        <v>5140</v>
      </c>
      <c r="C1215" s="9" t="s">
        <v>43</v>
      </c>
      <c r="D1215" s="9" t="s">
        <v>5141</v>
      </c>
      <c r="E1215" s="9" t="s">
        <v>35</v>
      </c>
      <c r="F1215" s="9" t="s">
        <v>36</v>
      </c>
      <c r="G1215" s="9">
        <v>5</v>
      </c>
      <c r="H1215" s="9">
        <v>84213990</v>
      </c>
      <c r="I1215" s="11" t="s">
        <v>37</v>
      </c>
      <c r="J1215" s="12">
        <v>1.6500000000000001E-2</v>
      </c>
      <c r="K1215" s="12">
        <v>7.5999999999999998E-2</v>
      </c>
      <c r="L1215" s="12">
        <v>0</v>
      </c>
      <c r="M1215" s="13">
        <v>8003453172753</v>
      </c>
      <c r="N1215" s="14">
        <v>6.2E-2</v>
      </c>
      <c r="O1215" s="14">
        <v>0.183</v>
      </c>
      <c r="P1215" s="15" t="s">
        <v>35</v>
      </c>
      <c r="Q1215" s="16" t="s">
        <v>7543</v>
      </c>
      <c r="R1215" s="17" t="s">
        <v>35</v>
      </c>
      <c r="S1215" s="17" t="s">
        <v>7544</v>
      </c>
      <c r="T1215" s="17" t="s">
        <v>7545</v>
      </c>
      <c r="U1215" s="17" t="s">
        <v>7546</v>
      </c>
      <c r="V1215" s="17" t="s">
        <v>7547</v>
      </c>
      <c r="W1215" s="17" t="s">
        <v>35</v>
      </c>
      <c r="X1215" s="17" t="s">
        <v>7548</v>
      </c>
      <c r="Y1215" s="17" t="s">
        <v>7549</v>
      </c>
      <c r="Z1215" s="17" t="s">
        <v>35</v>
      </c>
      <c r="AA1215" s="17" t="s">
        <v>35</v>
      </c>
      <c r="AB1215" s="17" t="s">
        <v>35</v>
      </c>
      <c r="AC1215" s="17" t="s">
        <v>9539</v>
      </c>
      <c r="AD1215" s="42">
        <v>20.37</v>
      </c>
      <c r="AE1215" s="42">
        <v>20.37</v>
      </c>
      <c r="AF1215" s="48"/>
      <c r="AG1215" s="44"/>
      <c r="AH1215" s="7">
        <f t="shared" si="18"/>
        <v>0</v>
      </c>
      <c r="AI1215" s="18"/>
      <c r="AJ1215" s="18"/>
    </row>
    <row r="1216" spans="1:38" ht="26.65" customHeight="1" x14ac:dyDescent="0.25">
      <c r="A1216" s="10" t="s">
        <v>7550</v>
      </c>
      <c r="B1216" s="9" t="s">
        <v>5140</v>
      </c>
      <c r="C1216" s="9" t="s">
        <v>43</v>
      </c>
      <c r="D1216" s="9" t="s">
        <v>5141</v>
      </c>
      <c r="E1216" s="9" t="s">
        <v>35</v>
      </c>
      <c r="F1216" s="9" t="s">
        <v>36</v>
      </c>
      <c r="G1216" s="9">
        <v>5</v>
      </c>
      <c r="H1216" s="9">
        <v>84213990</v>
      </c>
      <c r="I1216" s="11" t="s">
        <v>37</v>
      </c>
      <c r="J1216" s="12">
        <v>1.6500000000000001E-2</v>
      </c>
      <c r="K1216" s="12">
        <v>7.5999999999999998E-2</v>
      </c>
      <c r="L1216" s="12">
        <v>0</v>
      </c>
      <c r="M1216" s="13">
        <v>8003453172944</v>
      </c>
      <c r="N1216" s="14">
        <v>0.05</v>
      </c>
      <c r="O1216" s="14">
        <v>0.13400000000000001</v>
      </c>
      <c r="P1216" s="15">
        <v>44531</v>
      </c>
      <c r="Q1216" s="16" t="s">
        <v>7551</v>
      </c>
      <c r="R1216" s="17" t="s">
        <v>7552</v>
      </c>
      <c r="S1216" s="17" t="s">
        <v>35</v>
      </c>
      <c r="T1216" s="17" t="s">
        <v>35</v>
      </c>
      <c r="U1216" s="17" t="s">
        <v>7553</v>
      </c>
      <c r="V1216" s="17" t="s">
        <v>7554</v>
      </c>
      <c r="W1216" s="17" t="s">
        <v>7555</v>
      </c>
      <c r="X1216" s="17" t="s">
        <v>35</v>
      </c>
      <c r="Y1216" s="17" t="s">
        <v>7556</v>
      </c>
      <c r="Z1216" s="17" t="s">
        <v>35</v>
      </c>
      <c r="AA1216" s="17" t="s">
        <v>35</v>
      </c>
      <c r="AB1216" s="17" t="s">
        <v>35</v>
      </c>
      <c r="AC1216" s="17" t="s">
        <v>9539</v>
      </c>
      <c r="AD1216" s="41">
        <v>11.79</v>
      </c>
      <c r="AE1216" s="41">
        <v>11.79</v>
      </c>
      <c r="AF1216" s="48"/>
      <c r="AG1216" s="44"/>
      <c r="AH1216" s="7">
        <f t="shared" si="18"/>
        <v>0</v>
      </c>
      <c r="AI1216" s="18"/>
      <c r="AJ1216" s="18"/>
      <c r="AL1216" s="18"/>
    </row>
    <row r="1217" spans="1:38" ht="26.65" customHeight="1" x14ac:dyDescent="0.25">
      <c r="A1217" s="10" t="s">
        <v>7557</v>
      </c>
      <c r="B1217" s="9" t="s">
        <v>5140</v>
      </c>
      <c r="C1217" s="9" t="s">
        <v>43</v>
      </c>
      <c r="D1217" s="9" t="s">
        <v>5141</v>
      </c>
      <c r="E1217" s="9" t="s">
        <v>35</v>
      </c>
      <c r="F1217" s="9" t="s">
        <v>36</v>
      </c>
      <c r="G1217" s="9">
        <v>5</v>
      </c>
      <c r="H1217" s="9">
        <v>84213990</v>
      </c>
      <c r="I1217" s="11" t="s">
        <v>37</v>
      </c>
      <c r="J1217" s="12">
        <v>1.6500000000000001E-2</v>
      </c>
      <c r="K1217" s="12">
        <v>7.5999999999999998E-2</v>
      </c>
      <c r="L1217" s="12">
        <v>0</v>
      </c>
      <c r="M1217" s="13">
        <v>8003453173064</v>
      </c>
      <c r="N1217" s="14">
        <v>0.13200000000000001</v>
      </c>
      <c r="O1217" s="14">
        <v>0.19500000000000001</v>
      </c>
      <c r="P1217" s="15" t="s">
        <v>35</v>
      </c>
      <c r="Q1217" s="16" t="s">
        <v>7558</v>
      </c>
      <c r="R1217" s="17" t="s">
        <v>35</v>
      </c>
      <c r="S1217" s="17" t="s">
        <v>7559</v>
      </c>
      <c r="T1217" s="17" t="s">
        <v>35</v>
      </c>
      <c r="U1217" s="17" t="s">
        <v>35</v>
      </c>
      <c r="V1217" s="17" t="s">
        <v>7560</v>
      </c>
      <c r="W1217" s="17" t="s">
        <v>7561</v>
      </c>
      <c r="X1217" s="17" t="s">
        <v>35</v>
      </c>
      <c r="Y1217" s="17" t="s">
        <v>7562</v>
      </c>
      <c r="Z1217" s="17" t="s">
        <v>35</v>
      </c>
      <c r="AA1217" s="17" t="s">
        <v>35</v>
      </c>
      <c r="AB1217" s="17" t="s">
        <v>35</v>
      </c>
      <c r="AC1217" s="17" t="s">
        <v>9539</v>
      </c>
      <c r="AD1217" s="41">
        <v>24.85</v>
      </c>
      <c r="AE1217" s="41">
        <v>24.85</v>
      </c>
      <c r="AF1217" s="48"/>
      <c r="AG1217" s="44"/>
      <c r="AH1217" s="7">
        <f t="shared" si="18"/>
        <v>0</v>
      </c>
      <c r="AI1217" s="18"/>
      <c r="AJ1217" s="18"/>
    </row>
    <row r="1218" spans="1:38" ht="26.65" customHeight="1" x14ac:dyDescent="0.25">
      <c r="A1218" s="38" t="s">
        <v>9725</v>
      </c>
      <c r="B1218" s="9" t="s">
        <v>5140</v>
      </c>
      <c r="C1218" s="9" t="s">
        <v>43</v>
      </c>
      <c r="D1218" s="9" t="s">
        <v>5141</v>
      </c>
      <c r="E1218" s="9" t="s">
        <v>35</v>
      </c>
      <c r="F1218" s="9" t="s">
        <v>2072</v>
      </c>
      <c r="G1218" s="9">
        <v>5</v>
      </c>
      <c r="H1218" s="9">
        <v>84213990</v>
      </c>
      <c r="I1218" s="11" t="s">
        <v>2073</v>
      </c>
      <c r="J1218" s="12">
        <v>1.6500000000000001E-2</v>
      </c>
      <c r="K1218" s="12">
        <v>7.5999999999999998E-2</v>
      </c>
      <c r="L1218" s="12">
        <v>0</v>
      </c>
      <c r="M1218" s="13">
        <v>8003453173156</v>
      </c>
      <c r="N1218" s="14">
        <v>6.0299999999999999E-2</v>
      </c>
      <c r="O1218" s="14">
        <v>7.0000000000000007E-2</v>
      </c>
      <c r="P1218" s="15">
        <v>45474</v>
      </c>
      <c r="Q1218" s="16" t="s">
        <v>7564</v>
      </c>
      <c r="R1218" s="17" t="s">
        <v>9726</v>
      </c>
      <c r="S1218" s="17" t="s">
        <v>9727</v>
      </c>
      <c r="T1218" s="17" t="s">
        <v>7565</v>
      </c>
      <c r="U1218" s="17" t="s">
        <v>7566</v>
      </c>
      <c r="V1218" s="17" t="s">
        <v>9728</v>
      </c>
      <c r="W1218" s="17" t="s">
        <v>35</v>
      </c>
      <c r="X1218" s="17" t="s">
        <v>7567</v>
      </c>
      <c r="Y1218" s="17" t="s">
        <v>7568</v>
      </c>
      <c r="Z1218" s="17" t="s">
        <v>35</v>
      </c>
      <c r="AA1218" s="17" t="s">
        <v>35</v>
      </c>
      <c r="AB1218" s="17" t="s">
        <v>35</v>
      </c>
      <c r="AC1218" s="17" t="s">
        <v>9538</v>
      </c>
      <c r="AD1218" s="41">
        <v>11.45</v>
      </c>
      <c r="AE1218" s="41">
        <v>11.45</v>
      </c>
      <c r="AF1218" s="48"/>
      <c r="AG1218" s="44"/>
      <c r="AH1218" s="7">
        <f t="shared" si="18"/>
        <v>0</v>
      </c>
      <c r="AI1218" s="18"/>
      <c r="AJ1218" s="18"/>
    </row>
    <row r="1219" spans="1:38" ht="26.65" customHeight="1" x14ac:dyDescent="0.25">
      <c r="A1219" s="10" t="s">
        <v>10448</v>
      </c>
      <c r="B1219" s="9" t="s">
        <v>5140</v>
      </c>
      <c r="C1219" s="9" t="s">
        <v>43</v>
      </c>
      <c r="D1219" s="9" t="s">
        <v>5141</v>
      </c>
      <c r="E1219" s="9" t="s">
        <v>35</v>
      </c>
      <c r="F1219" s="9" t="s">
        <v>2072</v>
      </c>
      <c r="G1219" s="9">
        <v>5</v>
      </c>
      <c r="H1219" s="9">
        <v>84213990</v>
      </c>
      <c r="I1219" s="11" t="s">
        <v>2073</v>
      </c>
      <c r="J1219" s="12">
        <v>1.6500000000000001E-2</v>
      </c>
      <c r="K1219" s="12">
        <v>7.5999999999999998E-2</v>
      </c>
      <c r="L1219" s="12">
        <v>0</v>
      </c>
      <c r="M1219" s="13">
        <v>8003453173217</v>
      </c>
      <c r="N1219" s="14">
        <v>0</v>
      </c>
      <c r="O1219" s="14">
        <v>0</v>
      </c>
      <c r="P1219" s="15">
        <v>45566</v>
      </c>
      <c r="Q1219" s="16" t="s">
        <v>10449</v>
      </c>
      <c r="R1219" s="17" t="s">
        <v>35</v>
      </c>
      <c r="S1219" s="17" t="s">
        <v>10450</v>
      </c>
      <c r="T1219" s="17" t="s">
        <v>10451</v>
      </c>
      <c r="U1219" s="17" t="s">
        <v>10452</v>
      </c>
      <c r="V1219" s="17" t="s">
        <v>10453</v>
      </c>
      <c r="W1219" s="17" t="s">
        <v>10454</v>
      </c>
      <c r="X1219" s="17" t="s">
        <v>10455</v>
      </c>
      <c r="Y1219" s="17" t="s">
        <v>10456</v>
      </c>
      <c r="Z1219" s="17" t="s">
        <v>35</v>
      </c>
      <c r="AA1219" s="17" t="s">
        <v>35</v>
      </c>
      <c r="AB1219" s="17" t="s">
        <v>35</v>
      </c>
      <c r="AC1219" s="17" t="s">
        <v>9539</v>
      </c>
      <c r="AD1219" s="41">
        <v>8</v>
      </c>
      <c r="AE1219" s="41">
        <v>8</v>
      </c>
      <c r="AF1219" s="48"/>
      <c r="AG1219" s="44"/>
      <c r="AH1219" s="7">
        <f t="shared" si="18"/>
        <v>0</v>
      </c>
      <c r="AI1219" s="18"/>
      <c r="AJ1219" s="18"/>
    </row>
    <row r="1220" spans="1:38" ht="26.65" customHeight="1" x14ac:dyDescent="0.25">
      <c r="A1220" s="10" t="s">
        <v>7569</v>
      </c>
      <c r="B1220" s="9" t="s">
        <v>6924</v>
      </c>
      <c r="C1220" s="9" t="s">
        <v>43</v>
      </c>
      <c r="D1220" s="9" t="s">
        <v>7087</v>
      </c>
      <c r="E1220" s="9" t="s">
        <v>35</v>
      </c>
      <c r="F1220" s="9" t="s">
        <v>36</v>
      </c>
      <c r="G1220" s="9">
        <v>5</v>
      </c>
      <c r="H1220" s="9">
        <v>84213990</v>
      </c>
      <c r="I1220" s="11" t="s">
        <v>37</v>
      </c>
      <c r="J1220" s="12">
        <v>1.6500000000000001E-2</v>
      </c>
      <c r="K1220" s="12">
        <v>7.5999999999999998E-2</v>
      </c>
      <c r="L1220" s="12">
        <v>0</v>
      </c>
      <c r="M1220" s="13">
        <v>8003453173774</v>
      </c>
      <c r="N1220" s="14">
        <v>4.2000000000000003E-2</v>
      </c>
      <c r="O1220" s="14">
        <v>0.108</v>
      </c>
      <c r="P1220" s="15">
        <v>45139</v>
      </c>
      <c r="Q1220" s="16" t="s">
        <v>7570</v>
      </c>
      <c r="R1220" s="17" t="s">
        <v>7571</v>
      </c>
      <c r="S1220" s="17" t="s">
        <v>7572</v>
      </c>
      <c r="T1220" s="17" t="s">
        <v>7573</v>
      </c>
      <c r="U1220" s="17" t="s">
        <v>7574</v>
      </c>
      <c r="V1220" s="17" t="s">
        <v>7575</v>
      </c>
      <c r="W1220" s="17" t="s">
        <v>35</v>
      </c>
      <c r="X1220" s="17" t="s">
        <v>7576</v>
      </c>
      <c r="Y1220" s="17" t="s">
        <v>7577</v>
      </c>
      <c r="Z1220" s="17" t="s">
        <v>35</v>
      </c>
      <c r="AA1220" s="17" t="s">
        <v>35</v>
      </c>
      <c r="AB1220" s="17" t="s">
        <v>35</v>
      </c>
      <c r="AC1220" s="17" t="s">
        <v>9539</v>
      </c>
      <c r="AD1220" s="42">
        <v>12.05</v>
      </c>
      <c r="AE1220" s="42">
        <v>12.05</v>
      </c>
      <c r="AF1220" s="48"/>
      <c r="AG1220" s="44"/>
      <c r="AH1220" s="7">
        <f t="shared" ref="AH1220:AH1283" si="19">AG1220*AE1220</f>
        <v>0</v>
      </c>
      <c r="AI1220" s="18"/>
      <c r="AJ1220" s="18"/>
    </row>
    <row r="1221" spans="1:38" ht="26.65" customHeight="1" x14ac:dyDescent="0.25">
      <c r="A1221" s="10" t="s">
        <v>10457</v>
      </c>
      <c r="B1221" s="9" t="s">
        <v>5140</v>
      </c>
      <c r="C1221" s="9" t="s">
        <v>34</v>
      </c>
      <c r="D1221" s="9" t="s">
        <v>5141</v>
      </c>
      <c r="E1221" s="9" t="s">
        <v>35</v>
      </c>
      <c r="F1221" s="9" t="s">
        <v>36</v>
      </c>
      <c r="G1221" s="9">
        <v>5</v>
      </c>
      <c r="H1221" s="9">
        <v>84213990</v>
      </c>
      <c r="I1221" s="11" t="s">
        <v>37</v>
      </c>
      <c r="J1221" s="12">
        <v>1.6500000000000001E-2</v>
      </c>
      <c r="K1221" s="12">
        <v>7.5999999999999998E-2</v>
      </c>
      <c r="L1221" s="12">
        <v>0</v>
      </c>
      <c r="M1221" s="13">
        <v>8003453801929</v>
      </c>
      <c r="N1221" s="14">
        <v>0</v>
      </c>
      <c r="O1221" s="14">
        <v>0</v>
      </c>
      <c r="P1221" s="15">
        <v>45566</v>
      </c>
      <c r="Q1221" s="16" t="s">
        <v>10458</v>
      </c>
      <c r="R1221" s="17" t="s">
        <v>10459</v>
      </c>
      <c r="S1221" s="17" t="s">
        <v>35</v>
      </c>
      <c r="T1221" s="17" t="s">
        <v>35</v>
      </c>
      <c r="U1221" s="17" t="s">
        <v>35</v>
      </c>
      <c r="V1221" s="17" t="s">
        <v>35</v>
      </c>
      <c r="W1221" s="17" t="s">
        <v>35</v>
      </c>
      <c r="X1221" s="17" t="s">
        <v>35</v>
      </c>
      <c r="Y1221" s="17" t="s">
        <v>10460</v>
      </c>
      <c r="Z1221" s="17" t="s">
        <v>10461</v>
      </c>
      <c r="AA1221" s="17" t="s">
        <v>35</v>
      </c>
      <c r="AB1221" s="17" t="s">
        <v>10462</v>
      </c>
      <c r="AC1221" s="17" t="s">
        <v>9539</v>
      </c>
      <c r="AD1221" s="41">
        <v>39.11</v>
      </c>
      <c r="AE1221" s="41">
        <v>39.11</v>
      </c>
      <c r="AF1221" s="48"/>
      <c r="AG1221" s="44"/>
      <c r="AH1221" s="7">
        <f t="shared" si="19"/>
        <v>0</v>
      </c>
      <c r="AI1221" s="18"/>
      <c r="AJ1221" s="18"/>
    </row>
    <row r="1222" spans="1:38" ht="26.65" customHeight="1" x14ac:dyDescent="0.25">
      <c r="A1222" s="10" t="s">
        <v>10463</v>
      </c>
      <c r="B1222" s="9" t="s">
        <v>5140</v>
      </c>
      <c r="C1222" s="9" t="s">
        <v>34</v>
      </c>
      <c r="D1222" s="9" t="s">
        <v>5141</v>
      </c>
      <c r="E1222" s="9" t="s">
        <v>35</v>
      </c>
      <c r="F1222" s="9" t="s">
        <v>36</v>
      </c>
      <c r="G1222" s="9">
        <v>5</v>
      </c>
      <c r="H1222" s="9">
        <v>84213990</v>
      </c>
      <c r="I1222" s="11" t="s">
        <v>37</v>
      </c>
      <c r="J1222" s="12">
        <v>1.6500000000000001E-2</v>
      </c>
      <c r="K1222" s="12">
        <v>7.5999999999999998E-2</v>
      </c>
      <c r="L1222" s="12">
        <v>0</v>
      </c>
      <c r="M1222" s="13">
        <v>8003453801943</v>
      </c>
      <c r="N1222" s="14">
        <v>0</v>
      </c>
      <c r="O1222" s="14">
        <v>0</v>
      </c>
      <c r="P1222" s="15">
        <v>45566</v>
      </c>
      <c r="Q1222" s="16" t="s">
        <v>10464</v>
      </c>
      <c r="R1222" s="17" t="s">
        <v>10465</v>
      </c>
      <c r="S1222" s="17" t="s">
        <v>35</v>
      </c>
      <c r="T1222" s="17" t="s">
        <v>35</v>
      </c>
      <c r="U1222" s="17" t="s">
        <v>35</v>
      </c>
      <c r="V1222" s="17" t="s">
        <v>35</v>
      </c>
      <c r="W1222" s="17" t="s">
        <v>35</v>
      </c>
      <c r="X1222" s="17" t="s">
        <v>35</v>
      </c>
      <c r="Y1222" s="17" t="s">
        <v>10466</v>
      </c>
      <c r="Z1222" s="17" t="s">
        <v>10467</v>
      </c>
      <c r="AA1222" s="17" t="s">
        <v>35</v>
      </c>
      <c r="AB1222" s="17" t="s">
        <v>35</v>
      </c>
      <c r="AC1222" s="17" t="s">
        <v>9539</v>
      </c>
      <c r="AD1222" s="41">
        <v>53.71</v>
      </c>
      <c r="AE1222" s="41">
        <v>53.71</v>
      </c>
      <c r="AF1222" s="48"/>
      <c r="AG1222" s="44"/>
      <c r="AH1222" s="7">
        <f t="shared" si="19"/>
        <v>0</v>
      </c>
      <c r="AI1222" s="18"/>
      <c r="AJ1222" s="18"/>
    </row>
    <row r="1223" spans="1:38" ht="26.65" customHeight="1" x14ac:dyDescent="0.25">
      <c r="A1223" s="10" t="s">
        <v>7578</v>
      </c>
      <c r="B1223" s="9" t="s">
        <v>6905</v>
      </c>
      <c r="C1223" s="9" t="s">
        <v>34</v>
      </c>
      <c r="D1223" s="9" t="s">
        <v>5141</v>
      </c>
      <c r="E1223" s="9" t="s">
        <v>35</v>
      </c>
      <c r="F1223" s="9" t="s">
        <v>36</v>
      </c>
      <c r="G1223" s="9">
        <v>5</v>
      </c>
      <c r="H1223" s="9">
        <v>84213990</v>
      </c>
      <c r="I1223" s="11" t="s">
        <v>37</v>
      </c>
      <c r="J1223" s="12">
        <v>1.6500000000000001E-2</v>
      </c>
      <c r="K1223" s="12">
        <v>7.5999999999999998E-2</v>
      </c>
      <c r="L1223" s="12">
        <v>0</v>
      </c>
      <c r="M1223" s="13">
        <v>8003453173323</v>
      </c>
      <c r="N1223" s="14">
        <v>7.0999999999999994E-2</v>
      </c>
      <c r="O1223" s="14">
        <v>0.11700000000000001</v>
      </c>
      <c r="P1223" s="15">
        <v>45200</v>
      </c>
      <c r="Q1223" s="16" t="s">
        <v>7579</v>
      </c>
      <c r="R1223" s="17" t="s">
        <v>7580</v>
      </c>
      <c r="S1223" s="17" t="s">
        <v>7581</v>
      </c>
      <c r="T1223" s="17" t="s">
        <v>7582</v>
      </c>
      <c r="U1223" s="17" t="s">
        <v>35</v>
      </c>
      <c r="V1223" s="17" t="s">
        <v>7583</v>
      </c>
      <c r="W1223" s="17" t="s">
        <v>35</v>
      </c>
      <c r="X1223" s="17" t="s">
        <v>35</v>
      </c>
      <c r="Y1223" s="17" t="s">
        <v>35</v>
      </c>
      <c r="Z1223" s="17" t="s">
        <v>7584</v>
      </c>
      <c r="AA1223" s="17" t="s">
        <v>35</v>
      </c>
      <c r="AB1223" s="17" t="s">
        <v>35</v>
      </c>
      <c r="AC1223" s="17" t="s">
        <v>9539</v>
      </c>
      <c r="AD1223" s="41">
        <v>46.12</v>
      </c>
      <c r="AE1223" s="41">
        <v>46.12</v>
      </c>
      <c r="AF1223" s="48"/>
      <c r="AG1223" s="44"/>
      <c r="AH1223" s="7">
        <f t="shared" si="19"/>
        <v>0</v>
      </c>
      <c r="AI1223" s="18"/>
      <c r="AJ1223" s="18"/>
      <c r="AL1223" s="18"/>
    </row>
    <row r="1224" spans="1:38" ht="26.65" customHeight="1" x14ac:dyDescent="0.25">
      <c r="A1224" s="10" t="s">
        <v>10468</v>
      </c>
      <c r="B1224" s="9" t="s">
        <v>5140</v>
      </c>
      <c r="C1224" s="9" t="s">
        <v>34</v>
      </c>
      <c r="D1224" s="9" t="s">
        <v>5141</v>
      </c>
      <c r="E1224" s="9" t="s">
        <v>35</v>
      </c>
      <c r="F1224" s="9" t="s">
        <v>36</v>
      </c>
      <c r="G1224" s="9">
        <v>5</v>
      </c>
      <c r="H1224" s="9">
        <v>84213990</v>
      </c>
      <c r="I1224" s="11" t="s">
        <v>37</v>
      </c>
      <c r="J1224" s="12">
        <v>1.6500000000000001E-2</v>
      </c>
      <c r="K1224" s="12">
        <v>7.5999999999999998E-2</v>
      </c>
      <c r="L1224" s="12">
        <v>0</v>
      </c>
      <c r="M1224" s="13">
        <v>8003453802605</v>
      </c>
      <c r="N1224" s="14">
        <v>0</v>
      </c>
      <c r="O1224" s="14">
        <v>0</v>
      </c>
      <c r="P1224" s="15">
        <v>45566</v>
      </c>
      <c r="Q1224" s="16" t="s">
        <v>10464</v>
      </c>
      <c r="R1224" s="17" t="s">
        <v>10469</v>
      </c>
      <c r="S1224" s="17" t="s">
        <v>35</v>
      </c>
      <c r="T1224" s="17" t="s">
        <v>35</v>
      </c>
      <c r="U1224" s="17" t="s">
        <v>35</v>
      </c>
      <c r="V1224" s="17" t="s">
        <v>35</v>
      </c>
      <c r="W1224" s="17" t="s">
        <v>35</v>
      </c>
      <c r="X1224" s="17" t="s">
        <v>35</v>
      </c>
      <c r="Y1224" s="17" t="s">
        <v>10466</v>
      </c>
      <c r="Z1224" s="17" t="s">
        <v>10467</v>
      </c>
      <c r="AA1224" s="17" t="s">
        <v>35</v>
      </c>
      <c r="AB1224" s="17" t="s">
        <v>35</v>
      </c>
      <c r="AC1224" s="17" t="s">
        <v>9539</v>
      </c>
      <c r="AD1224" s="41">
        <v>53.49</v>
      </c>
      <c r="AE1224" s="41">
        <v>53.49</v>
      </c>
      <c r="AF1224" s="48"/>
      <c r="AG1224" s="44"/>
      <c r="AH1224" s="7">
        <f t="shared" si="19"/>
        <v>0</v>
      </c>
      <c r="AI1224" s="18"/>
      <c r="AJ1224" s="18"/>
    </row>
    <row r="1225" spans="1:38" ht="26.65" customHeight="1" x14ac:dyDescent="0.25">
      <c r="A1225" s="10" t="s">
        <v>10470</v>
      </c>
      <c r="B1225" s="9" t="s">
        <v>5140</v>
      </c>
      <c r="C1225" s="9" t="s">
        <v>34</v>
      </c>
      <c r="D1225" s="9" t="s">
        <v>5141</v>
      </c>
      <c r="E1225" s="9" t="s">
        <v>35</v>
      </c>
      <c r="F1225" s="9" t="s">
        <v>36</v>
      </c>
      <c r="G1225" s="9">
        <v>5</v>
      </c>
      <c r="H1225" s="9">
        <v>84213990</v>
      </c>
      <c r="I1225" s="11" t="s">
        <v>37</v>
      </c>
      <c r="J1225" s="12">
        <v>1.6500000000000001E-2</v>
      </c>
      <c r="K1225" s="12">
        <v>7.5999999999999998E-2</v>
      </c>
      <c r="L1225" s="12">
        <v>0</v>
      </c>
      <c r="M1225" s="13">
        <v>8003453802612</v>
      </c>
      <c r="N1225" s="14">
        <v>0</v>
      </c>
      <c r="O1225" s="14">
        <v>0</v>
      </c>
      <c r="P1225" s="15">
        <v>45566</v>
      </c>
      <c r="Q1225" s="16" t="s">
        <v>10464</v>
      </c>
      <c r="R1225" s="17" t="s">
        <v>10471</v>
      </c>
      <c r="S1225" s="17" t="s">
        <v>35</v>
      </c>
      <c r="T1225" s="17" t="s">
        <v>35</v>
      </c>
      <c r="U1225" s="17" t="s">
        <v>35</v>
      </c>
      <c r="V1225" s="17" t="s">
        <v>35</v>
      </c>
      <c r="W1225" s="17" t="s">
        <v>35</v>
      </c>
      <c r="X1225" s="17" t="s">
        <v>35</v>
      </c>
      <c r="Y1225" s="17" t="s">
        <v>10472</v>
      </c>
      <c r="Z1225" s="17" t="s">
        <v>35</v>
      </c>
      <c r="AA1225" s="17" t="s">
        <v>35</v>
      </c>
      <c r="AB1225" s="17" t="s">
        <v>35</v>
      </c>
      <c r="AC1225" s="17" t="s">
        <v>9539</v>
      </c>
      <c r="AD1225" s="41">
        <v>53.37</v>
      </c>
      <c r="AE1225" s="41">
        <v>53.37</v>
      </c>
      <c r="AF1225" s="48"/>
      <c r="AG1225" s="44"/>
      <c r="AH1225" s="7">
        <f t="shared" si="19"/>
        <v>0</v>
      </c>
      <c r="AI1225" s="18"/>
      <c r="AJ1225" s="18"/>
    </row>
    <row r="1226" spans="1:38" ht="26.65" customHeight="1" x14ac:dyDescent="0.25">
      <c r="A1226" s="10" t="s">
        <v>10473</v>
      </c>
      <c r="B1226" s="9" t="s">
        <v>5140</v>
      </c>
      <c r="C1226" s="9" t="s">
        <v>34</v>
      </c>
      <c r="D1226" s="9" t="s">
        <v>5141</v>
      </c>
      <c r="E1226" s="9" t="s">
        <v>35</v>
      </c>
      <c r="F1226" s="9" t="s">
        <v>36</v>
      </c>
      <c r="G1226" s="9">
        <v>5</v>
      </c>
      <c r="H1226" s="9">
        <v>84213990</v>
      </c>
      <c r="I1226" s="11" t="s">
        <v>37</v>
      </c>
      <c r="J1226" s="12">
        <v>1.6500000000000001E-2</v>
      </c>
      <c r="K1226" s="12">
        <v>7.5999999999999998E-2</v>
      </c>
      <c r="L1226" s="12">
        <v>0</v>
      </c>
      <c r="M1226" s="13">
        <v>8003453802629</v>
      </c>
      <c r="N1226" s="14">
        <v>0</v>
      </c>
      <c r="O1226" s="14">
        <v>0</v>
      </c>
      <c r="P1226" s="15">
        <v>45566</v>
      </c>
      <c r="Q1226" s="16" t="s">
        <v>10474</v>
      </c>
      <c r="R1226" s="17" t="s">
        <v>10475</v>
      </c>
      <c r="S1226" s="17" t="s">
        <v>35</v>
      </c>
      <c r="T1226" s="17" t="s">
        <v>35</v>
      </c>
      <c r="U1226" s="17" t="s">
        <v>35</v>
      </c>
      <c r="V1226" s="17" t="s">
        <v>35</v>
      </c>
      <c r="W1226" s="17" t="s">
        <v>35</v>
      </c>
      <c r="X1226" s="17" t="s">
        <v>35</v>
      </c>
      <c r="Y1226" s="17" t="s">
        <v>35</v>
      </c>
      <c r="Z1226" s="17" t="s">
        <v>10476</v>
      </c>
      <c r="AA1226" s="17" t="s">
        <v>35</v>
      </c>
      <c r="AB1226" s="17" t="s">
        <v>10477</v>
      </c>
      <c r="AC1226" s="17" t="s">
        <v>9539</v>
      </c>
      <c r="AD1226" s="41">
        <v>58.64</v>
      </c>
      <c r="AE1226" s="41">
        <v>58.64</v>
      </c>
      <c r="AF1226" s="48"/>
      <c r="AG1226" s="44"/>
      <c r="AH1226" s="7">
        <f t="shared" si="19"/>
        <v>0</v>
      </c>
      <c r="AI1226" s="18"/>
      <c r="AJ1226" s="18"/>
    </row>
    <row r="1227" spans="1:38" ht="26.65" customHeight="1" x14ac:dyDescent="0.25">
      <c r="A1227" s="38" t="s">
        <v>7585</v>
      </c>
      <c r="B1227" s="9" t="s">
        <v>5140</v>
      </c>
      <c r="C1227" s="9" t="s">
        <v>58</v>
      </c>
      <c r="D1227" s="9" t="s">
        <v>5141</v>
      </c>
      <c r="E1227" s="9" t="s">
        <v>35</v>
      </c>
      <c r="F1227" s="9" t="s">
        <v>36</v>
      </c>
      <c r="G1227" s="9">
        <v>5</v>
      </c>
      <c r="H1227" s="9">
        <v>84213990</v>
      </c>
      <c r="I1227" s="11" t="s">
        <v>37</v>
      </c>
      <c r="J1227" s="12">
        <v>1.6500000000000001E-2</v>
      </c>
      <c r="K1227" s="12">
        <v>7.5999999999999998E-2</v>
      </c>
      <c r="L1227" s="12">
        <v>0</v>
      </c>
      <c r="M1227" s="13">
        <v>8003453173446</v>
      </c>
      <c r="N1227" s="14">
        <v>0.26400000000000001</v>
      </c>
      <c r="O1227" s="14">
        <v>0.38300000000000001</v>
      </c>
      <c r="P1227" s="15">
        <v>44896</v>
      </c>
      <c r="Q1227" s="16" t="s">
        <v>7586</v>
      </c>
      <c r="R1227" s="17" t="s">
        <v>7587</v>
      </c>
      <c r="S1227" s="17" t="s">
        <v>7588</v>
      </c>
      <c r="T1227" s="17" t="s">
        <v>7589</v>
      </c>
      <c r="U1227" s="17" t="s">
        <v>7590</v>
      </c>
      <c r="V1227" s="17" t="s">
        <v>7591</v>
      </c>
      <c r="W1227" s="17" t="s">
        <v>7592</v>
      </c>
      <c r="X1227" s="17" t="s">
        <v>7593</v>
      </c>
      <c r="Y1227" s="17" t="s">
        <v>7594</v>
      </c>
      <c r="Z1227" s="17" t="s">
        <v>8710</v>
      </c>
      <c r="AA1227" s="17" t="s">
        <v>35</v>
      </c>
      <c r="AB1227" s="17" t="s">
        <v>7595</v>
      </c>
      <c r="AC1227" s="17" t="s">
        <v>9538</v>
      </c>
      <c r="AD1227" s="42">
        <v>36.32</v>
      </c>
      <c r="AE1227" s="42">
        <v>36.32</v>
      </c>
      <c r="AF1227" s="48"/>
      <c r="AG1227" s="44"/>
      <c r="AH1227" s="7">
        <f t="shared" si="19"/>
        <v>0</v>
      </c>
      <c r="AI1227" s="18"/>
      <c r="AJ1227" s="18"/>
    </row>
    <row r="1228" spans="1:38" ht="26.65" customHeight="1" x14ac:dyDescent="0.25">
      <c r="A1228" s="38" t="s">
        <v>9262</v>
      </c>
      <c r="B1228" s="9" t="s">
        <v>5140</v>
      </c>
      <c r="C1228" s="9" t="s">
        <v>58</v>
      </c>
      <c r="D1228" s="9" t="s">
        <v>7087</v>
      </c>
      <c r="E1228" s="9" t="s">
        <v>35</v>
      </c>
      <c r="F1228" s="9" t="s">
        <v>36</v>
      </c>
      <c r="G1228" s="9">
        <v>5</v>
      </c>
      <c r="H1228" s="9">
        <v>84213990</v>
      </c>
      <c r="I1228" s="11" t="s">
        <v>37</v>
      </c>
      <c r="J1228" s="12">
        <v>1.6500000000000001E-2</v>
      </c>
      <c r="K1228" s="12">
        <v>7.5999999999999998E-2</v>
      </c>
      <c r="L1228" s="12">
        <v>0</v>
      </c>
      <c r="M1228" s="13">
        <v>8003453173620</v>
      </c>
      <c r="N1228" s="14">
        <v>0</v>
      </c>
      <c r="O1228" s="14">
        <v>0</v>
      </c>
      <c r="P1228" s="15">
        <v>45413</v>
      </c>
      <c r="Q1228" s="16" t="s">
        <v>9263</v>
      </c>
      <c r="R1228" s="17" t="s">
        <v>35</v>
      </c>
      <c r="S1228" s="17" t="s">
        <v>9264</v>
      </c>
      <c r="T1228" s="17" t="s">
        <v>9265</v>
      </c>
      <c r="U1228" s="17" t="s">
        <v>9266</v>
      </c>
      <c r="V1228" s="17" t="s">
        <v>9267</v>
      </c>
      <c r="W1228" s="17" t="s">
        <v>35</v>
      </c>
      <c r="X1228" s="17" t="s">
        <v>35</v>
      </c>
      <c r="Y1228" s="17" t="s">
        <v>9268</v>
      </c>
      <c r="Z1228" s="17" t="s">
        <v>9269</v>
      </c>
      <c r="AA1228" s="17" t="s">
        <v>35</v>
      </c>
      <c r="AB1228" s="17" t="s">
        <v>9270</v>
      </c>
      <c r="AC1228" s="17" t="s">
        <v>9538</v>
      </c>
      <c r="AD1228" s="42">
        <v>34.369999999999997</v>
      </c>
      <c r="AE1228" s="42">
        <v>34.369999999999997</v>
      </c>
      <c r="AF1228" s="48"/>
      <c r="AG1228" s="44"/>
      <c r="AH1228" s="7">
        <f t="shared" si="19"/>
        <v>0</v>
      </c>
      <c r="AI1228" s="18"/>
      <c r="AJ1228" s="18"/>
    </row>
    <row r="1229" spans="1:38" ht="26.65" customHeight="1" x14ac:dyDescent="0.25">
      <c r="A1229" s="10" t="s">
        <v>10478</v>
      </c>
      <c r="B1229" s="9" t="s">
        <v>5140</v>
      </c>
      <c r="C1229" s="9" t="s">
        <v>58</v>
      </c>
      <c r="D1229" s="9" t="s">
        <v>5141</v>
      </c>
      <c r="E1229" s="9" t="s">
        <v>35</v>
      </c>
      <c r="F1229" s="9" t="s">
        <v>36</v>
      </c>
      <c r="G1229" s="9">
        <v>5</v>
      </c>
      <c r="H1229" s="9">
        <v>84213990</v>
      </c>
      <c r="I1229" s="11" t="s">
        <v>37</v>
      </c>
      <c r="J1229" s="12">
        <v>1.6500000000000001E-2</v>
      </c>
      <c r="K1229" s="12">
        <v>7.5999999999999998E-2</v>
      </c>
      <c r="L1229" s="12">
        <v>0</v>
      </c>
      <c r="M1229" s="13">
        <v>8003453173637</v>
      </c>
      <c r="N1229" s="14">
        <v>0</v>
      </c>
      <c r="O1229" s="14">
        <v>0</v>
      </c>
      <c r="P1229" s="15">
        <v>45566</v>
      </c>
      <c r="Q1229" s="16" t="s">
        <v>10479</v>
      </c>
      <c r="R1229" s="17" t="s">
        <v>35</v>
      </c>
      <c r="S1229" s="17" t="s">
        <v>10480</v>
      </c>
      <c r="T1229" s="17" t="s">
        <v>10481</v>
      </c>
      <c r="U1229" s="17" t="s">
        <v>10482</v>
      </c>
      <c r="V1229" s="17" t="s">
        <v>10483</v>
      </c>
      <c r="W1229" s="17" t="s">
        <v>35</v>
      </c>
      <c r="X1229" s="17" t="s">
        <v>35</v>
      </c>
      <c r="Y1229" s="17" t="s">
        <v>10484</v>
      </c>
      <c r="Z1229" s="17" t="s">
        <v>10485</v>
      </c>
      <c r="AA1229" s="17" t="s">
        <v>35</v>
      </c>
      <c r="AB1229" s="17" t="s">
        <v>10486</v>
      </c>
      <c r="AC1229" s="17" t="s">
        <v>9539</v>
      </c>
      <c r="AD1229" s="41">
        <v>15.16</v>
      </c>
      <c r="AE1229" s="41">
        <v>15.16</v>
      </c>
      <c r="AF1229" s="48"/>
      <c r="AG1229" s="44"/>
      <c r="AH1229" s="7">
        <f t="shared" si="19"/>
        <v>0</v>
      </c>
      <c r="AI1229" s="18"/>
      <c r="AJ1229" s="18"/>
    </row>
    <row r="1230" spans="1:38" ht="26.65" customHeight="1" x14ac:dyDescent="0.25">
      <c r="A1230" s="10" t="s">
        <v>7596</v>
      </c>
      <c r="B1230" s="9" t="s">
        <v>6924</v>
      </c>
      <c r="C1230" s="9" t="s">
        <v>34</v>
      </c>
      <c r="D1230" s="9" t="s">
        <v>5141</v>
      </c>
      <c r="E1230" s="9" t="s">
        <v>35</v>
      </c>
      <c r="F1230" s="9" t="s">
        <v>36</v>
      </c>
      <c r="G1230" s="9">
        <v>5</v>
      </c>
      <c r="H1230" s="9">
        <v>84213990</v>
      </c>
      <c r="I1230" s="11" t="s">
        <v>37</v>
      </c>
      <c r="J1230" s="12">
        <v>1.6500000000000001E-2</v>
      </c>
      <c r="K1230" s="12">
        <v>7.5999999999999998E-2</v>
      </c>
      <c r="L1230" s="12">
        <v>0</v>
      </c>
      <c r="M1230" s="13">
        <v>8003453174238</v>
      </c>
      <c r="N1230" s="14">
        <v>0.1</v>
      </c>
      <c r="O1230" s="14">
        <v>0.17</v>
      </c>
      <c r="P1230" s="15">
        <v>45200</v>
      </c>
      <c r="Q1230" s="16" t="s">
        <v>7597</v>
      </c>
      <c r="R1230" s="17" t="s">
        <v>7598</v>
      </c>
      <c r="S1230" s="17" t="s">
        <v>7599</v>
      </c>
      <c r="T1230" s="17" t="s">
        <v>7600</v>
      </c>
      <c r="U1230" s="17" t="s">
        <v>35</v>
      </c>
      <c r="V1230" s="17" t="s">
        <v>35</v>
      </c>
      <c r="W1230" s="17" t="s">
        <v>35</v>
      </c>
      <c r="X1230" s="17" t="s">
        <v>35</v>
      </c>
      <c r="Y1230" s="17" t="s">
        <v>7601</v>
      </c>
      <c r="Z1230" s="17" t="s">
        <v>7602</v>
      </c>
      <c r="AA1230" s="17" t="s">
        <v>35</v>
      </c>
      <c r="AB1230" s="17" t="s">
        <v>35</v>
      </c>
      <c r="AC1230" s="17" t="s">
        <v>9539</v>
      </c>
      <c r="AD1230" s="42">
        <v>56.78</v>
      </c>
      <c r="AE1230" s="42">
        <v>56.78</v>
      </c>
      <c r="AF1230" s="48"/>
      <c r="AG1230" s="44"/>
      <c r="AH1230" s="7">
        <f t="shared" si="19"/>
        <v>0</v>
      </c>
      <c r="AI1230" s="18"/>
      <c r="AJ1230" s="18"/>
    </row>
    <row r="1231" spans="1:38" ht="26.65" customHeight="1" x14ac:dyDescent="0.25">
      <c r="A1231" s="10" t="s">
        <v>7603</v>
      </c>
      <c r="B1231" s="9" t="s">
        <v>6924</v>
      </c>
      <c r="C1231" s="9" t="s">
        <v>34</v>
      </c>
      <c r="D1231" s="9" t="s">
        <v>5141</v>
      </c>
      <c r="E1231" s="9" t="s">
        <v>35</v>
      </c>
      <c r="F1231" s="9" t="s">
        <v>36</v>
      </c>
      <c r="G1231" s="9">
        <v>5</v>
      </c>
      <c r="H1231" s="9">
        <v>84213990</v>
      </c>
      <c r="I1231" s="11" t="s">
        <v>37</v>
      </c>
      <c r="J1231" s="12">
        <v>1.6500000000000001E-2</v>
      </c>
      <c r="K1231" s="12">
        <v>7.5999999999999998E-2</v>
      </c>
      <c r="L1231" s="12">
        <v>0</v>
      </c>
      <c r="M1231" s="13">
        <v>8003453174252</v>
      </c>
      <c r="N1231" s="14">
        <v>8.5999999999999993E-2</v>
      </c>
      <c r="O1231" s="14">
        <v>0.182</v>
      </c>
      <c r="P1231" s="15">
        <v>45170</v>
      </c>
      <c r="Q1231" s="16" t="s">
        <v>7604</v>
      </c>
      <c r="R1231" s="17" t="s">
        <v>7605</v>
      </c>
      <c r="S1231" s="17" t="s">
        <v>7606</v>
      </c>
      <c r="T1231" s="17" t="s">
        <v>7607</v>
      </c>
      <c r="U1231" s="17" t="s">
        <v>7608</v>
      </c>
      <c r="V1231" s="17" t="s">
        <v>7609</v>
      </c>
      <c r="W1231" s="17" t="s">
        <v>7610</v>
      </c>
      <c r="X1231" s="17" t="s">
        <v>35</v>
      </c>
      <c r="Y1231" s="17" t="s">
        <v>7611</v>
      </c>
      <c r="Z1231" s="17" t="s">
        <v>7612</v>
      </c>
      <c r="AA1231" s="17" t="s">
        <v>35</v>
      </c>
      <c r="AB1231" s="17" t="s">
        <v>7613</v>
      </c>
      <c r="AC1231" s="17" t="s">
        <v>9539</v>
      </c>
      <c r="AD1231" s="42">
        <v>43.55</v>
      </c>
      <c r="AE1231" s="42">
        <v>43.55</v>
      </c>
      <c r="AF1231" s="48"/>
      <c r="AG1231" s="44"/>
      <c r="AH1231" s="7">
        <f t="shared" si="19"/>
        <v>0</v>
      </c>
      <c r="AI1231" s="18"/>
      <c r="AJ1231" s="18"/>
    </row>
    <row r="1232" spans="1:38" ht="26.65" customHeight="1" x14ac:dyDescent="0.25">
      <c r="A1232" s="10" t="s">
        <v>7614</v>
      </c>
      <c r="B1232" s="9" t="s">
        <v>6924</v>
      </c>
      <c r="C1232" s="9" t="s">
        <v>34</v>
      </c>
      <c r="D1232" s="9" t="s">
        <v>5141</v>
      </c>
      <c r="E1232" s="9" t="s">
        <v>35</v>
      </c>
      <c r="F1232" s="9" t="s">
        <v>36</v>
      </c>
      <c r="G1232" s="9">
        <v>5</v>
      </c>
      <c r="H1232" s="9">
        <v>84213990</v>
      </c>
      <c r="I1232" s="11" t="s">
        <v>37</v>
      </c>
      <c r="J1232" s="12">
        <v>1.6500000000000001E-2</v>
      </c>
      <c r="K1232" s="12">
        <v>7.5999999999999998E-2</v>
      </c>
      <c r="L1232" s="12">
        <v>0</v>
      </c>
      <c r="M1232" s="13">
        <v>8003453174283</v>
      </c>
      <c r="N1232" s="14">
        <v>0.13700000000000001</v>
      </c>
      <c r="O1232" s="14">
        <v>0.20200000000000001</v>
      </c>
      <c r="P1232" s="15">
        <v>45170</v>
      </c>
      <c r="Q1232" s="16" t="s">
        <v>7615</v>
      </c>
      <c r="R1232" s="17" t="s">
        <v>7616</v>
      </c>
      <c r="S1232" s="17" t="s">
        <v>7617</v>
      </c>
      <c r="T1232" s="17" t="s">
        <v>7618</v>
      </c>
      <c r="U1232" s="17" t="s">
        <v>35</v>
      </c>
      <c r="V1232" s="17" t="s">
        <v>7619</v>
      </c>
      <c r="W1232" s="17" t="s">
        <v>35</v>
      </c>
      <c r="X1232" s="17" t="s">
        <v>35</v>
      </c>
      <c r="Y1232" s="17" t="s">
        <v>7620</v>
      </c>
      <c r="Z1232" s="17" t="s">
        <v>7621</v>
      </c>
      <c r="AA1232" s="17" t="s">
        <v>35</v>
      </c>
      <c r="AB1232" s="17" t="s">
        <v>7622</v>
      </c>
      <c r="AC1232" s="17" t="s">
        <v>9539</v>
      </c>
      <c r="AD1232" s="42">
        <v>51.64</v>
      </c>
      <c r="AE1232" s="42">
        <v>51.64</v>
      </c>
      <c r="AF1232" s="48"/>
      <c r="AG1232" s="44"/>
      <c r="AH1232" s="7">
        <f t="shared" si="19"/>
        <v>0</v>
      </c>
      <c r="AI1232" s="18"/>
      <c r="AJ1232" s="18"/>
    </row>
    <row r="1233" spans="1:38" ht="26.65" customHeight="1" x14ac:dyDescent="0.25">
      <c r="A1233" s="10" t="s">
        <v>7623</v>
      </c>
      <c r="B1233" s="9" t="s">
        <v>6924</v>
      </c>
      <c r="C1233" s="9" t="s">
        <v>34</v>
      </c>
      <c r="D1233" s="9" t="s">
        <v>5141</v>
      </c>
      <c r="E1233" s="9" t="s">
        <v>35</v>
      </c>
      <c r="F1233" s="9" t="s">
        <v>36</v>
      </c>
      <c r="G1233" s="9">
        <v>5</v>
      </c>
      <c r="H1233" s="9">
        <v>84213990</v>
      </c>
      <c r="I1233" s="11" t="s">
        <v>37</v>
      </c>
      <c r="J1233" s="12">
        <v>1.6500000000000001E-2</v>
      </c>
      <c r="K1233" s="12">
        <v>7.5999999999999998E-2</v>
      </c>
      <c r="L1233" s="12">
        <v>0</v>
      </c>
      <c r="M1233" s="13">
        <v>8003453174290</v>
      </c>
      <c r="N1233" s="14">
        <v>0.44700000000000001</v>
      </c>
      <c r="O1233" s="14">
        <v>0.59099999999999997</v>
      </c>
      <c r="P1233" s="15">
        <v>45200</v>
      </c>
      <c r="Q1233" s="16" t="s">
        <v>7624</v>
      </c>
      <c r="R1233" s="17" t="s">
        <v>7625</v>
      </c>
      <c r="S1233" s="17" t="s">
        <v>7626</v>
      </c>
      <c r="T1233" s="17" t="s">
        <v>35</v>
      </c>
      <c r="U1233" s="17" t="s">
        <v>35</v>
      </c>
      <c r="V1233" s="17" t="s">
        <v>35</v>
      </c>
      <c r="W1233" s="17" t="s">
        <v>35</v>
      </c>
      <c r="X1233" s="17" t="s">
        <v>35</v>
      </c>
      <c r="Y1233" s="17" t="s">
        <v>35</v>
      </c>
      <c r="Z1233" s="17" t="s">
        <v>7627</v>
      </c>
      <c r="AA1233" s="17" t="s">
        <v>35</v>
      </c>
      <c r="AB1233" s="17" t="s">
        <v>35</v>
      </c>
      <c r="AC1233" s="17" t="s">
        <v>9539</v>
      </c>
      <c r="AD1233" s="42">
        <v>192.23</v>
      </c>
      <c r="AE1233" s="42">
        <v>192.23</v>
      </c>
      <c r="AF1233" s="48"/>
      <c r="AG1233" s="44"/>
      <c r="AH1233" s="7">
        <f t="shared" si="19"/>
        <v>0</v>
      </c>
      <c r="AI1233" s="18"/>
      <c r="AJ1233" s="18"/>
    </row>
    <row r="1234" spans="1:38" ht="26.65" customHeight="1" x14ac:dyDescent="0.25">
      <c r="A1234" s="10" t="s">
        <v>7628</v>
      </c>
      <c r="B1234" s="9" t="s">
        <v>6905</v>
      </c>
      <c r="C1234" s="9" t="s">
        <v>34</v>
      </c>
      <c r="D1234" s="9" t="s">
        <v>5141</v>
      </c>
      <c r="E1234" s="9" t="s">
        <v>35</v>
      </c>
      <c r="F1234" s="9" t="s">
        <v>36</v>
      </c>
      <c r="G1234" s="9">
        <v>5</v>
      </c>
      <c r="H1234" s="9">
        <v>84213990</v>
      </c>
      <c r="I1234" s="11" t="s">
        <v>37</v>
      </c>
      <c r="J1234" s="12">
        <v>1.6500000000000001E-2</v>
      </c>
      <c r="K1234" s="12">
        <v>7.5999999999999998E-2</v>
      </c>
      <c r="L1234" s="12">
        <v>0</v>
      </c>
      <c r="M1234" s="13">
        <v>8003453174337</v>
      </c>
      <c r="N1234" s="14">
        <v>0.35499999999999998</v>
      </c>
      <c r="O1234" s="14">
        <v>0.63</v>
      </c>
      <c r="P1234" s="15">
        <v>45200</v>
      </c>
      <c r="Q1234" s="16" t="s">
        <v>7629</v>
      </c>
      <c r="R1234" s="17" t="s">
        <v>7630</v>
      </c>
      <c r="S1234" s="17" t="s">
        <v>7631</v>
      </c>
      <c r="T1234" s="17" t="s">
        <v>35</v>
      </c>
      <c r="U1234" s="17" t="s">
        <v>35</v>
      </c>
      <c r="V1234" s="17" t="s">
        <v>7632</v>
      </c>
      <c r="W1234" s="17" t="s">
        <v>35</v>
      </c>
      <c r="X1234" s="17" t="s">
        <v>35</v>
      </c>
      <c r="Y1234" s="17" t="s">
        <v>7633</v>
      </c>
      <c r="Z1234" s="17" t="s">
        <v>7634</v>
      </c>
      <c r="AA1234" s="17" t="s">
        <v>35</v>
      </c>
      <c r="AB1234" s="17" t="s">
        <v>35</v>
      </c>
      <c r="AC1234" s="17" t="s">
        <v>9539</v>
      </c>
      <c r="AD1234" s="42">
        <v>97.96</v>
      </c>
      <c r="AE1234" s="42">
        <v>97.96</v>
      </c>
      <c r="AF1234" s="48"/>
      <c r="AG1234" s="44"/>
      <c r="AH1234" s="7">
        <f t="shared" si="19"/>
        <v>0</v>
      </c>
      <c r="AI1234" s="18"/>
      <c r="AJ1234" s="18"/>
    </row>
    <row r="1235" spans="1:38" ht="26.65" customHeight="1" x14ac:dyDescent="0.25">
      <c r="A1235" s="10" t="s">
        <v>9385</v>
      </c>
      <c r="B1235" s="9" t="s">
        <v>5140</v>
      </c>
      <c r="C1235" s="9" t="s">
        <v>34</v>
      </c>
      <c r="D1235" s="9" t="s">
        <v>5141</v>
      </c>
      <c r="E1235" s="9" t="s">
        <v>35</v>
      </c>
      <c r="F1235" s="9" t="s">
        <v>36</v>
      </c>
      <c r="G1235" s="9">
        <v>4</v>
      </c>
      <c r="H1235" s="9">
        <v>84213990</v>
      </c>
      <c r="I1235" s="11" t="s">
        <v>37</v>
      </c>
      <c r="J1235" s="12">
        <v>1.6500000000000001E-2</v>
      </c>
      <c r="K1235" s="12">
        <v>7.5999999999999998E-2</v>
      </c>
      <c r="L1235" s="12">
        <v>0</v>
      </c>
      <c r="M1235" s="13" t="s">
        <v>35</v>
      </c>
      <c r="N1235" s="14">
        <v>0</v>
      </c>
      <c r="O1235" s="14">
        <v>0</v>
      </c>
      <c r="P1235" s="15">
        <v>45444</v>
      </c>
      <c r="Q1235" s="16" t="s">
        <v>9386</v>
      </c>
      <c r="R1235" s="17" t="s">
        <v>35</v>
      </c>
      <c r="S1235" s="17" t="s">
        <v>35</v>
      </c>
      <c r="T1235" s="17" t="s">
        <v>35</v>
      </c>
      <c r="U1235" s="17" t="s">
        <v>35</v>
      </c>
      <c r="V1235" s="17" t="s">
        <v>35</v>
      </c>
      <c r="W1235" s="17" t="s">
        <v>35</v>
      </c>
      <c r="X1235" s="17" t="s">
        <v>35</v>
      </c>
      <c r="Y1235" s="17" t="s">
        <v>35</v>
      </c>
      <c r="Z1235" s="17" t="s">
        <v>9387</v>
      </c>
      <c r="AA1235" s="17" t="s">
        <v>35</v>
      </c>
      <c r="AB1235" s="17" t="s">
        <v>9388</v>
      </c>
      <c r="AC1235" s="17" t="s">
        <v>9539</v>
      </c>
      <c r="AD1235" s="41">
        <v>107.43</v>
      </c>
      <c r="AE1235" s="41">
        <v>107.43</v>
      </c>
      <c r="AF1235" s="48"/>
      <c r="AG1235" s="44"/>
      <c r="AH1235" s="7">
        <f t="shared" si="19"/>
        <v>0</v>
      </c>
      <c r="AI1235" s="18"/>
      <c r="AJ1235" s="18"/>
      <c r="AL1235" s="18"/>
    </row>
    <row r="1236" spans="1:38" ht="26.65" customHeight="1" x14ac:dyDescent="0.25">
      <c r="A1236" s="10" t="s">
        <v>9729</v>
      </c>
      <c r="B1236" s="9" t="s">
        <v>6924</v>
      </c>
      <c r="C1236" s="9" t="s">
        <v>34</v>
      </c>
      <c r="D1236" s="9" t="s">
        <v>5141</v>
      </c>
      <c r="E1236" s="9" t="s">
        <v>35</v>
      </c>
      <c r="F1236" s="9" t="s">
        <v>36</v>
      </c>
      <c r="G1236" s="9">
        <v>1</v>
      </c>
      <c r="H1236" s="9">
        <v>84213990</v>
      </c>
      <c r="I1236" s="11" t="s">
        <v>37</v>
      </c>
      <c r="J1236" s="12">
        <v>1.6500000000000001E-2</v>
      </c>
      <c r="K1236" s="12">
        <v>7.5999999999999998E-2</v>
      </c>
      <c r="L1236" s="12">
        <v>0</v>
      </c>
      <c r="M1236" s="13">
        <v>8003453174429</v>
      </c>
      <c r="N1236" s="14">
        <v>0.3</v>
      </c>
      <c r="O1236" s="14">
        <v>0.44</v>
      </c>
      <c r="P1236" s="15">
        <v>45474</v>
      </c>
      <c r="Q1236" s="16" t="s">
        <v>9730</v>
      </c>
      <c r="R1236" s="17" t="s">
        <v>35</v>
      </c>
      <c r="S1236" s="17" t="s">
        <v>9731</v>
      </c>
      <c r="T1236" s="17" t="s">
        <v>35</v>
      </c>
      <c r="U1236" s="17" t="s">
        <v>35</v>
      </c>
      <c r="V1236" s="17" t="s">
        <v>35</v>
      </c>
      <c r="W1236" s="17" t="s">
        <v>35</v>
      </c>
      <c r="X1236" s="17" t="s">
        <v>35</v>
      </c>
      <c r="Y1236" s="17" t="s">
        <v>35</v>
      </c>
      <c r="Z1236" s="17" t="s">
        <v>35</v>
      </c>
      <c r="AA1236" s="17" t="s">
        <v>35</v>
      </c>
      <c r="AB1236" s="17" t="s">
        <v>35</v>
      </c>
      <c r="AC1236" s="17" t="s">
        <v>9539</v>
      </c>
      <c r="AD1236" s="42">
        <v>101.68</v>
      </c>
      <c r="AE1236" s="42">
        <v>101.68</v>
      </c>
      <c r="AF1236" s="48"/>
      <c r="AG1236" s="44"/>
      <c r="AH1236" s="7">
        <f t="shared" si="19"/>
        <v>0</v>
      </c>
      <c r="AI1236" s="18"/>
      <c r="AJ1236" s="18"/>
    </row>
    <row r="1237" spans="1:38" ht="26.65" customHeight="1" x14ac:dyDescent="0.25">
      <c r="A1237" s="10" t="s">
        <v>9389</v>
      </c>
      <c r="B1237" s="9" t="s">
        <v>6924</v>
      </c>
      <c r="C1237" s="9" t="s">
        <v>34</v>
      </c>
      <c r="D1237" s="9" t="s">
        <v>5141</v>
      </c>
      <c r="E1237" s="9" t="s">
        <v>35</v>
      </c>
      <c r="F1237" s="9" t="s">
        <v>36</v>
      </c>
      <c r="G1237" s="9">
        <v>5</v>
      </c>
      <c r="H1237" s="9">
        <v>84213990</v>
      </c>
      <c r="I1237" s="11" t="s">
        <v>37</v>
      </c>
      <c r="J1237" s="12">
        <v>1.6500000000000001E-2</v>
      </c>
      <c r="K1237" s="12">
        <v>7.5999999999999998E-2</v>
      </c>
      <c r="L1237" s="12">
        <v>0</v>
      </c>
      <c r="M1237" s="13">
        <v>8003453174740</v>
      </c>
      <c r="N1237" s="14">
        <v>0</v>
      </c>
      <c r="O1237" s="14">
        <v>0</v>
      </c>
      <c r="P1237" s="15">
        <v>45444</v>
      </c>
      <c r="Q1237" s="16" t="s">
        <v>9390</v>
      </c>
      <c r="R1237" s="17" t="s">
        <v>9391</v>
      </c>
      <c r="S1237" s="17" t="s">
        <v>9392</v>
      </c>
      <c r="T1237" s="17" t="s">
        <v>35</v>
      </c>
      <c r="U1237" s="17" t="s">
        <v>9393</v>
      </c>
      <c r="V1237" s="17" t="s">
        <v>9394</v>
      </c>
      <c r="W1237" s="17" t="s">
        <v>35</v>
      </c>
      <c r="X1237" s="17" t="s">
        <v>9395</v>
      </c>
      <c r="Y1237" s="17" t="s">
        <v>9396</v>
      </c>
      <c r="Z1237" s="17" t="s">
        <v>9397</v>
      </c>
      <c r="AA1237" s="17" t="s">
        <v>35</v>
      </c>
      <c r="AB1237" s="17" t="s">
        <v>35</v>
      </c>
      <c r="AC1237" s="17" t="s">
        <v>9539</v>
      </c>
      <c r="AD1237" s="42">
        <v>70.42</v>
      </c>
      <c r="AE1237" s="42">
        <v>70.42</v>
      </c>
      <c r="AF1237" s="48"/>
      <c r="AG1237" s="44"/>
      <c r="AH1237" s="7">
        <f t="shared" si="19"/>
        <v>0</v>
      </c>
      <c r="AI1237" s="18"/>
      <c r="AJ1237" s="18"/>
    </row>
    <row r="1238" spans="1:38" ht="26.65" customHeight="1" x14ac:dyDescent="0.25">
      <c r="A1238" s="10" t="s">
        <v>9732</v>
      </c>
      <c r="B1238" s="9" t="s">
        <v>5140</v>
      </c>
      <c r="C1238" s="9" t="s">
        <v>34</v>
      </c>
      <c r="D1238" s="9" t="s">
        <v>7087</v>
      </c>
      <c r="E1238" s="9" t="s">
        <v>35</v>
      </c>
      <c r="F1238" s="9" t="s">
        <v>36</v>
      </c>
      <c r="G1238" s="9">
        <v>5</v>
      </c>
      <c r="H1238" s="9">
        <v>84213990</v>
      </c>
      <c r="I1238" s="11" t="s">
        <v>37</v>
      </c>
      <c r="J1238" s="12">
        <v>1.6500000000000001E-2</v>
      </c>
      <c r="K1238" s="12">
        <v>7.5999999999999998E-2</v>
      </c>
      <c r="L1238" s="12">
        <v>0</v>
      </c>
      <c r="M1238" s="13">
        <v>8003453174764</v>
      </c>
      <c r="N1238" s="14">
        <v>0.26</v>
      </c>
      <c r="O1238" s="14">
        <v>0.3</v>
      </c>
      <c r="P1238" s="15">
        <v>45474</v>
      </c>
      <c r="Q1238" s="16" t="s">
        <v>9733</v>
      </c>
      <c r="R1238" s="17" t="s">
        <v>9734</v>
      </c>
      <c r="S1238" s="17" t="s">
        <v>35</v>
      </c>
      <c r="T1238" s="17" t="s">
        <v>35</v>
      </c>
      <c r="U1238" s="17" t="s">
        <v>35</v>
      </c>
      <c r="V1238" s="17" t="s">
        <v>35</v>
      </c>
      <c r="W1238" s="17" t="s">
        <v>35</v>
      </c>
      <c r="X1238" s="17" t="s">
        <v>35</v>
      </c>
      <c r="Y1238" s="17" t="s">
        <v>35</v>
      </c>
      <c r="Z1238" s="17" t="s">
        <v>7612</v>
      </c>
      <c r="AA1238" s="17" t="s">
        <v>35</v>
      </c>
      <c r="AB1238" s="17" t="s">
        <v>9735</v>
      </c>
      <c r="AC1238" s="17" t="s">
        <v>9539</v>
      </c>
      <c r="AD1238" s="42">
        <v>46.99</v>
      </c>
      <c r="AE1238" s="42">
        <v>46.99</v>
      </c>
      <c r="AF1238" s="48"/>
      <c r="AG1238" s="44"/>
      <c r="AH1238" s="7">
        <f t="shared" si="19"/>
        <v>0</v>
      </c>
      <c r="AI1238" s="18"/>
      <c r="AJ1238" s="18"/>
    </row>
    <row r="1239" spans="1:38" ht="26.65" customHeight="1" x14ac:dyDescent="0.25">
      <c r="A1239" s="10" t="s">
        <v>8963</v>
      </c>
      <c r="B1239" s="9" t="s">
        <v>5140</v>
      </c>
      <c r="C1239" s="9" t="s">
        <v>34</v>
      </c>
      <c r="D1239" s="9" t="s">
        <v>5141</v>
      </c>
      <c r="E1239" s="9" t="s">
        <v>35</v>
      </c>
      <c r="F1239" s="9" t="s">
        <v>36</v>
      </c>
      <c r="G1239" s="9">
        <v>5</v>
      </c>
      <c r="H1239" s="9">
        <v>84213990</v>
      </c>
      <c r="I1239" s="11" t="s">
        <v>37</v>
      </c>
      <c r="J1239" s="12">
        <v>1.6500000000000001E-2</v>
      </c>
      <c r="K1239" s="12">
        <v>7.5999999999999998E-2</v>
      </c>
      <c r="L1239" s="12">
        <v>0</v>
      </c>
      <c r="M1239" s="13">
        <v>8003453174788</v>
      </c>
      <c r="N1239" s="14">
        <v>0.3</v>
      </c>
      <c r="O1239" s="14">
        <v>0.57499999999999996</v>
      </c>
      <c r="P1239" s="15">
        <v>45352</v>
      </c>
      <c r="Q1239" s="16" t="s">
        <v>8964</v>
      </c>
      <c r="R1239" s="17" t="s">
        <v>35</v>
      </c>
      <c r="S1239" s="17" t="s">
        <v>8965</v>
      </c>
      <c r="T1239" s="17" t="s">
        <v>8966</v>
      </c>
      <c r="U1239" s="17" t="s">
        <v>35</v>
      </c>
      <c r="V1239" s="17" t="s">
        <v>35</v>
      </c>
      <c r="W1239" s="17" t="s">
        <v>35</v>
      </c>
      <c r="X1239" s="17" t="s">
        <v>35</v>
      </c>
      <c r="Y1239" s="17" t="s">
        <v>35</v>
      </c>
      <c r="Z1239" s="17" t="s">
        <v>8967</v>
      </c>
      <c r="AA1239" s="17" t="s">
        <v>35</v>
      </c>
      <c r="AB1239" s="17" t="s">
        <v>8968</v>
      </c>
      <c r="AC1239" s="17" t="s">
        <v>9539</v>
      </c>
      <c r="AD1239" s="42">
        <v>89.66</v>
      </c>
      <c r="AE1239" s="42">
        <v>89.66</v>
      </c>
      <c r="AF1239" s="48"/>
      <c r="AG1239" s="44"/>
      <c r="AH1239" s="7">
        <f t="shared" si="19"/>
        <v>0</v>
      </c>
      <c r="AI1239" s="18"/>
      <c r="AJ1239" s="18"/>
    </row>
    <row r="1240" spans="1:38" ht="26.65" customHeight="1" x14ac:dyDescent="0.25">
      <c r="A1240" s="10" t="s">
        <v>10487</v>
      </c>
      <c r="B1240" s="9" t="s">
        <v>5140</v>
      </c>
      <c r="C1240" s="9" t="s">
        <v>58</v>
      </c>
      <c r="D1240" s="9" t="s">
        <v>5141</v>
      </c>
      <c r="E1240" s="9" t="s">
        <v>35</v>
      </c>
      <c r="F1240" s="9" t="s">
        <v>36</v>
      </c>
      <c r="G1240" s="9">
        <v>5</v>
      </c>
      <c r="H1240" s="9">
        <v>84213990</v>
      </c>
      <c r="I1240" s="11" t="s">
        <v>37</v>
      </c>
      <c r="J1240" s="12">
        <v>1.6500000000000001E-2</v>
      </c>
      <c r="K1240" s="12">
        <v>7.5999999999999998E-2</v>
      </c>
      <c r="L1240" s="12">
        <v>0</v>
      </c>
      <c r="M1240" s="13">
        <v>8003453174818</v>
      </c>
      <c r="N1240" s="14">
        <v>0</v>
      </c>
      <c r="O1240" s="14">
        <v>0</v>
      </c>
      <c r="P1240" s="15">
        <v>45566</v>
      </c>
      <c r="Q1240" s="16" t="s">
        <v>10488</v>
      </c>
      <c r="R1240" s="17" t="s">
        <v>35</v>
      </c>
      <c r="S1240" s="17" t="s">
        <v>10489</v>
      </c>
      <c r="T1240" s="17" t="s">
        <v>10481</v>
      </c>
      <c r="U1240" s="17" t="s">
        <v>35</v>
      </c>
      <c r="V1240" s="17" t="s">
        <v>35</v>
      </c>
      <c r="W1240" s="17" t="s">
        <v>35</v>
      </c>
      <c r="X1240" s="17" t="s">
        <v>35</v>
      </c>
      <c r="Y1240" s="17" t="s">
        <v>10484</v>
      </c>
      <c r="Z1240" s="17" t="s">
        <v>10490</v>
      </c>
      <c r="AA1240" s="17" t="s">
        <v>35</v>
      </c>
      <c r="AB1240" s="17" t="s">
        <v>10486</v>
      </c>
      <c r="AC1240" s="17" t="s">
        <v>9539</v>
      </c>
      <c r="AD1240" s="41">
        <v>29.32</v>
      </c>
      <c r="AE1240" s="41">
        <v>29.32</v>
      </c>
      <c r="AF1240" s="48"/>
      <c r="AG1240" s="44"/>
      <c r="AH1240" s="7">
        <f t="shared" si="19"/>
        <v>0</v>
      </c>
      <c r="AI1240" s="18"/>
      <c r="AJ1240" s="18"/>
    </row>
    <row r="1241" spans="1:38" ht="26.65" customHeight="1" x14ac:dyDescent="0.25">
      <c r="A1241" s="38" t="s">
        <v>7635</v>
      </c>
      <c r="B1241" s="9" t="s">
        <v>6905</v>
      </c>
      <c r="C1241" s="9" t="s">
        <v>58</v>
      </c>
      <c r="D1241" s="9" t="s">
        <v>5141</v>
      </c>
      <c r="E1241" s="9" t="s">
        <v>35</v>
      </c>
      <c r="F1241" s="9" t="s">
        <v>36</v>
      </c>
      <c r="G1241" s="9">
        <v>5</v>
      </c>
      <c r="H1241" s="9">
        <v>84213990</v>
      </c>
      <c r="I1241" s="11" t="s">
        <v>37</v>
      </c>
      <c r="J1241" s="12">
        <v>1.6500000000000001E-2</v>
      </c>
      <c r="K1241" s="12">
        <v>7.5999999999999998E-2</v>
      </c>
      <c r="L1241" s="12">
        <v>0</v>
      </c>
      <c r="M1241" s="13">
        <v>8003453174825</v>
      </c>
      <c r="N1241" s="14">
        <v>3.4000000000000002E-2</v>
      </c>
      <c r="O1241" s="14">
        <v>7.2999999999999995E-2</v>
      </c>
      <c r="P1241" s="15">
        <v>45200</v>
      </c>
      <c r="Q1241" s="16" t="s">
        <v>7636</v>
      </c>
      <c r="R1241" s="17" t="s">
        <v>7637</v>
      </c>
      <c r="S1241" s="17" t="s">
        <v>7638</v>
      </c>
      <c r="T1241" s="17" t="s">
        <v>35</v>
      </c>
      <c r="U1241" s="17" t="s">
        <v>35</v>
      </c>
      <c r="V1241" s="17" t="s">
        <v>35</v>
      </c>
      <c r="W1241" s="17" t="s">
        <v>35</v>
      </c>
      <c r="X1241" s="17" t="s">
        <v>35</v>
      </c>
      <c r="Y1241" s="17" t="s">
        <v>7639</v>
      </c>
      <c r="Z1241" s="17" t="s">
        <v>7640</v>
      </c>
      <c r="AA1241" s="17" t="s">
        <v>35</v>
      </c>
      <c r="AB1241" s="17" t="s">
        <v>35</v>
      </c>
      <c r="AC1241" s="17" t="s">
        <v>9538</v>
      </c>
      <c r="AD1241" s="42">
        <v>92.75</v>
      </c>
      <c r="AE1241" s="42">
        <v>92.75</v>
      </c>
      <c r="AF1241" s="48"/>
      <c r="AG1241" s="44"/>
      <c r="AH1241" s="7">
        <f t="shared" si="19"/>
        <v>0</v>
      </c>
      <c r="AI1241" s="18"/>
      <c r="AJ1241" s="18"/>
    </row>
    <row r="1242" spans="1:38" ht="26.65" customHeight="1" x14ac:dyDescent="0.25">
      <c r="A1242" s="10" t="s">
        <v>7641</v>
      </c>
      <c r="B1242" s="9" t="s">
        <v>5140</v>
      </c>
      <c r="C1242" s="9" t="s">
        <v>34</v>
      </c>
      <c r="D1242" s="9" t="s">
        <v>5141</v>
      </c>
      <c r="E1242" s="9" t="s">
        <v>35</v>
      </c>
      <c r="F1242" s="9" t="s">
        <v>36</v>
      </c>
      <c r="G1242" s="9">
        <v>5</v>
      </c>
      <c r="H1242" s="9">
        <v>84213990</v>
      </c>
      <c r="I1242" s="11" t="s">
        <v>37</v>
      </c>
      <c r="J1242" s="12">
        <v>1.6500000000000001E-2</v>
      </c>
      <c r="K1242" s="12">
        <v>7.5999999999999998E-2</v>
      </c>
      <c r="L1242" s="12">
        <v>0</v>
      </c>
      <c r="M1242" s="13">
        <v>8003453174856</v>
      </c>
      <c r="N1242" s="14">
        <v>0.13</v>
      </c>
      <c r="O1242" s="14">
        <v>0.48</v>
      </c>
      <c r="P1242" s="15">
        <v>44868</v>
      </c>
      <c r="Q1242" s="16" t="s">
        <v>7642</v>
      </c>
      <c r="R1242" s="17" t="s">
        <v>7643</v>
      </c>
      <c r="S1242" s="17" t="s">
        <v>35</v>
      </c>
      <c r="T1242" s="17" t="s">
        <v>35</v>
      </c>
      <c r="U1242" s="17" t="s">
        <v>35</v>
      </c>
      <c r="V1242" s="17" t="s">
        <v>35</v>
      </c>
      <c r="W1242" s="17" t="s">
        <v>35</v>
      </c>
      <c r="X1242" s="17" t="s">
        <v>35</v>
      </c>
      <c r="Y1242" s="17" t="s">
        <v>35</v>
      </c>
      <c r="Z1242" s="17" t="s">
        <v>7644</v>
      </c>
      <c r="AA1242" s="17" t="s">
        <v>35</v>
      </c>
      <c r="AB1242" s="17" t="s">
        <v>7645</v>
      </c>
      <c r="AC1242" s="17" t="s">
        <v>9539</v>
      </c>
      <c r="AD1242" s="42">
        <v>207.72</v>
      </c>
      <c r="AE1242" s="42">
        <v>207.72</v>
      </c>
      <c r="AF1242" s="48"/>
      <c r="AG1242" s="44"/>
      <c r="AH1242" s="7">
        <f t="shared" si="19"/>
        <v>0</v>
      </c>
      <c r="AI1242" s="18"/>
      <c r="AJ1242" s="18"/>
    </row>
    <row r="1243" spans="1:38" ht="26.65" customHeight="1" x14ac:dyDescent="0.25">
      <c r="A1243" s="10" t="s">
        <v>10491</v>
      </c>
      <c r="B1243" s="9" t="s">
        <v>5140</v>
      </c>
      <c r="C1243" s="9" t="s">
        <v>43</v>
      </c>
      <c r="D1243" s="9" t="s">
        <v>5141</v>
      </c>
      <c r="E1243" s="9" t="s">
        <v>35</v>
      </c>
      <c r="F1243" s="9" t="s">
        <v>36</v>
      </c>
      <c r="G1243" s="9">
        <v>5</v>
      </c>
      <c r="H1243" s="9">
        <v>84213990</v>
      </c>
      <c r="I1243" s="11" t="s">
        <v>37</v>
      </c>
      <c r="J1243" s="12">
        <v>1.6500000000000001E-2</v>
      </c>
      <c r="K1243" s="12">
        <v>7.5999999999999998E-2</v>
      </c>
      <c r="L1243" s="12">
        <v>0</v>
      </c>
      <c r="M1243" s="13">
        <v>8003453174894</v>
      </c>
      <c r="N1243" s="14">
        <v>0</v>
      </c>
      <c r="O1243" s="14">
        <v>0</v>
      </c>
      <c r="P1243" s="15">
        <v>45566</v>
      </c>
      <c r="Q1243" s="16" t="s">
        <v>10492</v>
      </c>
      <c r="R1243" s="17" t="s">
        <v>35</v>
      </c>
      <c r="S1243" s="17" t="s">
        <v>10493</v>
      </c>
      <c r="T1243" s="17" t="s">
        <v>10494</v>
      </c>
      <c r="U1243" s="17" t="s">
        <v>35</v>
      </c>
      <c r="V1243" s="17" t="s">
        <v>35</v>
      </c>
      <c r="W1243" s="17" t="s">
        <v>35</v>
      </c>
      <c r="X1243" s="17" t="s">
        <v>35</v>
      </c>
      <c r="Y1243" s="17" t="s">
        <v>35</v>
      </c>
      <c r="Z1243" s="17" t="s">
        <v>35</v>
      </c>
      <c r="AA1243" s="17" t="s">
        <v>35</v>
      </c>
      <c r="AB1243" s="17" t="s">
        <v>35</v>
      </c>
      <c r="AC1243" s="17" t="s">
        <v>9539</v>
      </c>
      <c r="AD1243" s="41">
        <v>26.41</v>
      </c>
      <c r="AE1243" s="41">
        <v>26.41</v>
      </c>
      <c r="AF1243" s="48"/>
      <c r="AG1243" s="44"/>
      <c r="AH1243" s="7">
        <f t="shared" si="19"/>
        <v>0</v>
      </c>
      <c r="AI1243" s="18"/>
      <c r="AJ1243" s="18"/>
    </row>
    <row r="1244" spans="1:38" ht="26.65" customHeight="1" x14ac:dyDescent="0.25">
      <c r="A1244" s="10" t="s">
        <v>7646</v>
      </c>
      <c r="B1244" s="9" t="s">
        <v>6924</v>
      </c>
      <c r="C1244" s="9" t="s">
        <v>43</v>
      </c>
      <c r="D1244" s="9" t="s">
        <v>7087</v>
      </c>
      <c r="E1244" s="9" t="s">
        <v>35</v>
      </c>
      <c r="F1244" s="9" t="s">
        <v>36</v>
      </c>
      <c r="G1244" s="9">
        <v>5</v>
      </c>
      <c r="H1244" s="9">
        <v>84213990</v>
      </c>
      <c r="I1244" s="11" t="s">
        <v>37</v>
      </c>
      <c r="J1244" s="12">
        <v>1.6500000000000001E-2</v>
      </c>
      <c r="K1244" s="12">
        <v>7.5999999999999998E-2</v>
      </c>
      <c r="L1244" s="12">
        <v>0</v>
      </c>
      <c r="M1244" s="13">
        <v>8003453174917</v>
      </c>
      <c r="N1244" s="14">
        <v>5.1999999999999998E-2</v>
      </c>
      <c r="O1244" s="14">
        <v>8.8999999999999996E-2</v>
      </c>
      <c r="P1244" s="15">
        <v>45139</v>
      </c>
      <c r="Q1244" s="16" t="s">
        <v>7647</v>
      </c>
      <c r="R1244" s="17" t="s">
        <v>7648</v>
      </c>
      <c r="S1244" s="17" t="s">
        <v>7649</v>
      </c>
      <c r="T1244" s="17" t="s">
        <v>7650</v>
      </c>
      <c r="U1244" s="17" t="s">
        <v>35</v>
      </c>
      <c r="V1244" s="17" t="s">
        <v>7651</v>
      </c>
      <c r="W1244" s="17" t="s">
        <v>35</v>
      </c>
      <c r="X1244" s="17" t="s">
        <v>35</v>
      </c>
      <c r="Y1244" s="17" t="s">
        <v>7652</v>
      </c>
      <c r="Z1244" s="17" t="s">
        <v>35</v>
      </c>
      <c r="AA1244" s="17" t="s">
        <v>35</v>
      </c>
      <c r="AB1244" s="17" t="s">
        <v>35</v>
      </c>
      <c r="AC1244" s="17" t="s">
        <v>9539</v>
      </c>
      <c r="AD1244" s="42">
        <v>12.56</v>
      </c>
      <c r="AE1244" s="42">
        <v>12.56</v>
      </c>
      <c r="AF1244" s="48"/>
      <c r="AG1244" s="44"/>
      <c r="AH1244" s="7">
        <f t="shared" si="19"/>
        <v>0</v>
      </c>
      <c r="AI1244" s="18"/>
      <c r="AJ1244" s="18"/>
    </row>
    <row r="1245" spans="1:38" ht="26.65" customHeight="1" x14ac:dyDescent="0.25">
      <c r="A1245" s="10" t="s">
        <v>10495</v>
      </c>
      <c r="B1245" s="9" t="s">
        <v>5140</v>
      </c>
      <c r="C1245" s="9" t="s">
        <v>58</v>
      </c>
      <c r="D1245" s="9" t="s">
        <v>5141</v>
      </c>
      <c r="E1245" s="9" t="s">
        <v>35</v>
      </c>
      <c r="F1245" s="9" t="s">
        <v>36</v>
      </c>
      <c r="G1245" s="9">
        <v>5</v>
      </c>
      <c r="H1245" s="9">
        <v>84213990</v>
      </c>
      <c r="I1245" s="11" t="s">
        <v>37</v>
      </c>
      <c r="J1245" s="12">
        <v>1.6500000000000001E-2</v>
      </c>
      <c r="K1245" s="12">
        <v>7.5999999999999998E-2</v>
      </c>
      <c r="L1245" s="12">
        <v>0</v>
      </c>
      <c r="M1245" s="13">
        <v>8003453174986</v>
      </c>
      <c r="N1245" s="14">
        <v>0</v>
      </c>
      <c r="O1245" s="14">
        <v>0</v>
      </c>
      <c r="P1245" s="15">
        <v>45566</v>
      </c>
      <c r="Q1245" s="16" t="s">
        <v>10496</v>
      </c>
      <c r="R1245" s="17" t="s">
        <v>35</v>
      </c>
      <c r="S1245" s="17" t="s">
        <v>10497</v>
      </c>
      <c r="T1245" s="17" t="s">
        <v>10498</v>
      </c>
      <c r="U1245" s="17" t="s">
        <v>35</v>
      </c>
      <c r="V1245" s="17" t="s">
        <v>35</v>
      </c>
      <c r="W1245" s="17" t="s">
        <v>35</v>
      </c>
      <c r="X1245" s="17" t="s">
        <v>35</v>
      </c>
      <c r="Y1245" s="17" t="s">
        <v>35</v>
      </c>
      <c r="Z1245" s="17" t="s">
        <v>35</v>
      </c>
      <c r="AA1245" s="17" t="s">
        <v>35</v>
      </c>
      <c r="AB1245" s="17" t="s">
        <v>35</v>
      </c>
      <c r="AC1245" s="17" t="s">
        <v>9539</v>
      </c>
      <c r="AD1245" s="41">
        <v>63.72</v>
      </c>
      <c r="AE1245" s="41">
        <v>63.72</v>
      </c>
      <c r="AF1245" s="48"/>
      <c r="AG1245" s="44"/>
      <c r="AH1245" s="7">
        <f t="shared" si="19"/>
        <v>0</v>
      </c>
      <c r="AI1245" s="18"/>
      <c r="AJ1245" s="18"/>
    </row>
    <row r="1246" spans="1:38" ht="26.65" customHeight="1" x14ac:dyDescent="0.25">
      <c r="A1246" s="10" t="s">
        <v>10499</v>
      </c>
      <c r="B1246" s="9" t="s">
        <v>5140</v>
      </c>
      <c r="C1246" s="9" t="s">
        <v>58</v>
      </c>
      <c r="D1246" s="9" t="s">
        <v>5141</v>
      </c>
      <c r="E1246" s="9" t="s">
        <v>35</v>
      </c>
      <c r="F1246" s="9" t="s">
        <v>36</v>
      </c>
      <c r="G1246" s="9">
        <v>5</v>
      </c>
      <c r="H1246" s="9">
        <v>84213990</v>
      </c>
      <c r="I1246" s="11" t="s">
        <v>37</v>
      </c>
      <c r="J1246" s="12">
        <v>1.6500000000000001E-2</v>
      </c>
      <c r="K1246" s="12">
        <v>7.5999999999999998E-2</v>
      </c>
      <c r="L1246" s="12">
        <v>0</v>
      </c>
      <c r="M1246" s="13">
        <v>8003453175112</v>
      </c>
      <c r="N1246" s="14">
        <v>0</v>
      </c>
      <c r="O1246" s="14">
        <v>0</v>
      </c>
      <c r="P1246" s="15">
        <v>45566</v>
      </c>
      <c r="Q1246" s="16" t="s">
        <v>10500</v>
      </c>
      <c r="R1246" s="17" t="s">
        <v>35</v>
      </c>
      <c r="S1246" s="17" t="s">
        <v>10501</v>
      </c>
      <c r="T1246" s="17" t="s">
        <v>10502</v>
      </c>
      <c r="U1246" s="17" t="s">
        <v>35</v>
      </c>
      <c r="V1246" s="17" t="s">
        <v>35</v>
      </c>
      <c r="W1246" s="17" t="s">
        <v>35</v>
      </c>
      <c r="X1246" s="17" t="s">
        <v>35</v>
      </c>
      <c r="Y1246" s="17" t="s">
        <v>35</v>
      </c>
      <c r="Z1246" s="17" t="s">
        <v>35</v>
      </c>
      <c r="AA1246" s="17" t="s">
        <v>35</v>
      </c>
      <c r="AB1246" s="17" t="s">
        <v>35</v>
      </c>
      <c r="AC1246" s="17" t="s">
        <v>9539</v>
      </c>
      <c r="AD1246" s="41">
        <v>69.59</v>
      </c>
      <c r="AE1246" s="41">
        <v>69.59</v>
      </c>
      <c r="AF1246" s="48"/>
      <c r="AG1246" s="44"/>
      <c r="AH1246" s="7">
        <f t="shared" si="19"/>
        <v>0</v>
      </c>
      <c r="AI1246" s="18"/>
      <c r="AJ1246" s="18"/>
    </row>
    <row r="1247" spans="1:38" ht="26.65" customHeight="1" x14ac:dyDescent="0.25">
      <c r="A1247" s="10" t="s">
        <v>7653</v>
      </c>
      <c r="B1247" s="9" t="s">
        <v>5140</v>
      </c>
      <c r="C1247" s="9" t="s">
        <v>43</v>
      </c>
      <c r="D1247" s="9" t="s">
        <v>5141</v>
      </c>
      <c r="E1247" s="9" t="s">
        <v>35</v>
      </c>
      <c r="F1247" s="9" t="s">
        <v>36</v>
      </c>
      <c r="G1247" s="9">
        <v>5</v>
      </c>
      <c r="H1247" s="9">
        <v>84213990</v>
      </c>
      <c r="I1247" s="11" t="s">
        <v>37</v>
      </c>
      <c r="J1247" s="12">
        <v>1.6500000000000001E-2</v>
      </c>
      <c r="K1247" s="12">
        <v>7.5999999999999998E-2</v>
      </c>
      <c r="L1247" s="12">
        <v>0</v>
      </c>
      <c r="M1247" s="13">
        <v>8003453175129</v>
      </c>
      <c r="N1247" s="14">
        <v>9.0999999999999998E-2</v>
      </c>
      <c r="O1247" s="14">
        <v>0.17100000000000001</v>
      </c>
      <c r="P1247" s="15">
        <v>44986</v>
      </c>
      <c r="Q1247" s="16" t="s">
        <v>7654</v>
      </c>
      <c r="R1247" s="17" t="s">
        <v>7655</v>
      </c>
      <c r="S1247" s="17" t="s">
        <v>35</v>
      </c>
      <c r="T1247" s="17" t="s">
        <v>35</v>
      </c>
      <c r="U1247" s="17" t="s">
        <v>35</v>
      </c>
      <c r="V1247" s="17" t="s">
        <v>35</v>
      </c>
      <c r="W1247" s="17" t="s">
        <v>35</v>
      </c>
      <c r="X1247" s="17" t="s">
        <v>35</v>
      </c>
      <c r="Y1247" s="17" t="s">
        <v>35</v>
      </c>
      <c r="Z1247" s="17" t="s">
        <v>35</v>
      </c>
      <c r="AA1247" s="17" t="s">
        <v>35</v>
      </c>
      <c r="AB1247" s="17" t="s">
        <v>35</v>
      </c>
      <c r="AC1247" s="17" t="s">
        <v>9539</v>
      </c>
      <c r="AD1247" s="41">
        <v>28.87</v>
      </c>
      <c r="AE1247" s="41">
        <v>28.87</v>
      </c>
      <c r="AF1247" s="48"/>
      <c r="AG1247" s="44"/>
      <c r="AH1247" s="7">
        <f t="shared" si="19"/>
        <v>0</v>
      </c>
      <c r="AI1247" s="18"/>
      <c r="AJ1247" s="18"/>
      <c r="AL1247" s="18"/>
    </row>
    <row r="1248" spans="1:38" ht="26.65" customHeight="1" x14ac:dyDescent="0.25">
      <c r="A1248" s="10" t="s">
        <v>7656</v>
      </c>
      <c r="B1248" s="9" t="s">
        <v>6924</v>
      </c>
      <c r="C1248" s="9" t="s">
        <v>34</v>
      </c>
      <c r="D1248" s="9" t="s">
        <v>7087</v>
      </c>
      <c r="E1248" s="9" t="s">
        <v>35</v>
      </c>
      <c r="F1248" s="9" t="s">
        <v>36</v>
      </c>
      <c r="G1248" s="9">
        <v>5</v>
      </c>
      <c r="H1248" s="9">
        <v>84213990</v>
      </c>
      <c r="I1248" s="11" t="s">
        <v>37</v>
      </c>
      <c r="J1248" s="12">
        <v>1.6500000000000001E-2</v>
      </c>
      <c r="K1248" s="12">
        <v>7.5999999999999998E-2</v>
      </c>
      <c r="L1248" s="12">
        <v>0</v>
      </c>
      <c r="M1248" s="13">
        <v>8003453175198</v>
      </c>
      <c r="N1248" s="14">
        <v>2.8000000000000001E-2</v>
      </c>
      <c r="O1248" s="14">
        <v>8.5000000000000006E-2</v>
      </c>
      <c r="P1248" s="15">
        <v>45139</v>
      </c>
      <c r="Q1248" s="16" t="s">
        <v>7657</v>
      </c>
      <c r="R1248" s="17" t="s">
        <v>7658</v>
      </c>
      <c r="S1248" s="17" t="s">
        <v>7659</v>
      </c>
      <c r="T1248" s="17" t="s">
        <v>7660</v>
      </c>
      <c r="U1248" s="17" t="s">
        <v>35</v>
      </c>
      <c r="V1248" s="17" t="s">
        <v>35</v>
      </c>
      <c r="W1248" s="17" t="s">
        <v>35</v>
      </c>
      <c r="X1248" s="17" t="s">
        <v>35</v>
      </c>
      <c r="Y1248" s="17" t="s">
        <v>35</v>
      </c>
      <c r="Z1248" s="17" t="s">
        <v>7661</v>
      </c>
      <c r="AA1248" s="17" t="s">
        <v>35</v>
      </c>
      <c r="AB1248" s="17" t="s">
        <v>35</v>
      </c>
      <c r="AC1248" s="17" t="s">
        <v>9539</v>
      </c>
      <c r="AD1248" s="42">
        <v>49.4</v>
      </c>
      <c r="AE1248" s="42">
        <v>49.4</v>
      </c>
      <c r="AF1248" s="48"/>
      <c r="AG1248" s="44"/>
      <c r="AH1248" s="7">
        <f t="shared" si="19"/>
        <v>0</v>
      </c>
      <c r="AI1248" s="18"/>
      <c r="AJ1248" s="18"/>
    </row>
    <row r="1249" spans="1:38" ht="26.65" customHeight="1" x14ac:dyDescent="0.25">
      <c r="A1249" s="10" t="s">
        <v>7662</v>
      </c>
      <c r="B1249" s="9" t="s">
        <v>5140</v>
      </c>
      <c r="C1249" s="9" t="s">
        <v>43</v>
      </c>
      <c r="D1249" s="9" t="s">
        <v>5141</v>
      </c>
      <c r="E1249" s="9" t="s">
        <v>35</v>
      </c>
      <c r="F1249" s="9" t="s">
        <v>36</v>
      </c>
      <c r="G1249" s="9">
        <v>5</v>
      </c>
      <c r="H1249" s="9">
        <v>84213990</v>
      </c>
      <c r="I1249" s="11" t="s">
        <v>37</v>
      </c>
      <c r="J1249" s="12">
        <v>1.6500000000000001E-2</v>
      </c>
      <c r="K1249" s="12">
        <v>7.5999999999999998E-2</v>
      </c>
      <c r="L1249" s="12">
        <v>0</v>
      </c>
      <c r="M1249" s="13">
        <v>8003453175235</v>
      </c>
      <c r="N1249" s="14">
        <v>9.6000000000000002E-2</v>
      </c>
      <c r="O1249" s="14">
        <v>0.16800000000000001</v>
      </c>
      <c r="P1249" s="15">
        <v>45078</v>
      </c>
      <c r="Q1249" s="16" t="s">
        <v>7663</v>
      </c>
      <c r="R1249" s="17" t="s">
        <v>7664</v>
      </c>
      <c r="S1249" s="17" t="s">
        <v>7665</v>
      </c>
      <c r="T1249" s="17" t="s">
        <v>7666</v>
      </c>
      <c r="U1249" s="17" t="s">
        <v>7667</v>
      </c>
      <c r="V1249" s="17" t="s">
        <v>35</v>
      </c>
      <c r="W1249" s="17" t="s">
        <v>35</v>
      </c>
      <c r="X1249" s="17" t="s">
        <v>35</v>
      </c>
      <c r="Y1249" s="17" t="s">
        <v>7668</v>
      </c>
      <c r="Z1249" s="17" t="s">
        <v>35</v>
      </c>
      <c r="AA1249" s="17" t="s">
        <v>35</v>
      </c>
      <c r="AB1249" s="17" t="s">
        <v>35</v>
      </c>
      <c r="AC1249" s="17" t="s">
        <v>9539</v>
      </c>
      <c r="AD1249" s="42">
        <v>42.95</v>
      </c>
      <c r="AE1249" s="42">
        <v>42.95</v>
      </c>
      <c r="AF1249" s="48"/>
      <c r="AG1249" s="44"/>
      <c r="AH1249" s="7">
        <f t="shared" si="19"/>
        <v>0</v>
      </c>
      <c r="AI1249" s="18"/>
      <c r="AJ1249" s="18"/>
    </row>
    <row r="1250" spans="1:38" ht="26.65" customHeight="1" x14ac:dyDescent="0.25">
      <c r="A1250" s="10" t="s">
        <v>7669</v>
      </c>
      <c r="B1250" s="9" t="s">
        <v>6924</v>
      </c>
      <c r="C1250" s="9" t="s">
        <v>34</v>
      </c>
      <c r="D1250" s="9" t="s">
        <v>5141</v>
      </c>
      <c r="E1250" s="9" t="s">
        <v>35</v>
      </c>
      <c r="F1250" s="9" t="s">
        <v>36</v>
      </c>
      <c r="G1250" s="9">
        <v>5</v>
      </c>
      <c r="H1250" s="9">
        <v>84213990</v>
      </c>
      <c r="I1250" s="11" t="s">
        <v>37</v>
      </c>
      <c r="J1250" s="12">
        <v>1.6500000000000001E-2</v>
      </c>
      <c r="K1250" s="12">
        <v>7.5999999999999998E-2</v>
      </c>
      <c r="L1250" s="12">
        <v>0</v>
      </c>
      <c r="M1250" s="13">
        <v>8003453175259</v>
      </c>
      <c r="N1250" s="14">
        <v>0</v>
      </c>
      <c r="O1250" s="14">
        <v>0</v>
      </c>
      <c r="P1250" s="15">
        <v>45200</v>
      </c>
      <c r="Q1250" s="16" t="s">
        <v>7670</v>
      </c>
      <c r="R1250" s="17" t="s">
        <v>7671</v>
      </c>
      <c r="S1250" s="17" t="s">
        <v>7672</v>
      </c>
      <c r="T1250" s="17" t="s">
        <v>7673</v>
      </c>
      <c r="U1250" s="17" t="s">
        <v>35</v>
      </c>
      <c r="V1250" s="17" t="s">
        <v>7674</v>
      </c>
      <c r="W1250" s="17" t="s">
        <v>35</v>
      </c>
      <c r="X1250" s="17" t="s">
        <v>35</v>
      </c>
      <c r="Y1250" s="17" t="s">
        <v>35</v>
      </c>
      <c r="Z1250" s="17" t="s">
        <v>35</v>
      </c>
      <c r="AA1250" s="17" t="s">
        <v>35</v>
      </c>
      <c r="AB1250" s="17" t="s">
        <v>35</v>
      </c>
      <c r="AC1250" s="17" t="s">
        <v>9539</v>
      </c>
      <c r="AD1250" s="42">
        <v>51.24</v>
      </c>
      <c r="AE1250" s="42">
        <v>51.24</v>
      </c>
      <c r="AF1250" s="48"/>
      <c r="AG1250" s="44"/>
      <c r="AH1250" s="7">
        <f t="shared" si="19"/>
        <v>0</v>
      </c>
      <c r="AI1250" s="18"/>
      <c r="AJ1250" s="18"/>
    </row>
    <row r="1251" spans="1:38" ht="26.65" customHeight="1" x14ac:dyDescent="0.25">
      <c r="A1251" s="10" t="s">
        <v>9921</v>
      </c>
      <c r="B1251" s="9" t="s">
        <v>5140</v>
      </c>
      <c r="C1251" s="9" t="s">
        <v>34</v>
      </c>
      <c r="D1251" s="9" t="s">
        <v>5141</v>
      </c>
      <c r="E1251" s="9" t="s">
        <v>35</v>
      </c>
      <c r="F1251" s="9" t="s">
        <v>36</v>
      </c>
      <c r="G1251" s="9">
        <v>5</v>
      </c>
      <c r="H1251" s="9">
        <v>84213990</v>
      </c>
      <c r="I1251" s="11" t="s">
        <v>37</v>
      </c>
      <c r="J1251" s="12">
        <v>1.6500000000000001E-2</v>
      </c>
      <c r="K1251" s="12">
        <v>7.5999999999999998E-2</v>
      </c>
      <c r="L1251" s="12">
        <v>0</v>
      </c>
      <c r="M1251" s="13">
        <v>8003453175303</v>
      </c>
      <c r="N1251" s="14" t="s">
        <v>35</v>
      </c>
      <c r="O1251" s="14" t="s">
        <v>35</v>
      </c>
      <c r="P1251" s="15">
        <v>45536</v>
      </c>
      <c r="Q1251" s="16" t="s">
        <v>9922</v>
      </c>
      <c r="R1251" s="17" t="s">
        <v>35</v>
      </c>
      <c r="S1251" s="17" t="s">
        <v>35</v>
      </c>
      <c r="T1251" s="17" t="s">
        <v>35</v>
      </c>
      <c r="U1251" s="17" t="s">
        <v>35</v>
      </c>
      <c r="V1251" s="17" t="s">
        <v>35</v>
      </c>
      <c r="W1251" s="17" t="s">
        <v>35</v>
      </c>
      <c r="X1251" s="17" t="s">
        <v>35</v>
      </c>
      <c r="Y1251" s="17" t="s">
        <v>35</v>
      </c>
      <c r="Z1251" s="17" t="s">
        <v>35</v>
      </c>
      <c r="AA1251" s="17" t="s">
        <v>35</v>
      </c>
      <c r="AB1251" s="17" t="s">
        <v>35</v>
      </c>
      <c r="AC1251" s="17" t="s">
        <v>9539</v>
      </c>
      <c r="AD1251" s="41">
        <v>79.5</v>
      </c>
      <c r="AE1251" s="41">
        <v>79.5</v>
      </c>
      <c r="AF1251" s="48"/>
      <c r="AG1251" s="44"/>
      <c r="AH1251" s="7">
        <f t="shared" si="19"/>
        <v>0</v>
      </c>
      <c r="AI1251" s="18"/>
      <c r="AJ1251" s="18"/>
    </row>
    <row r="1252" spans="1:38" ht="26.65" customHeight="1" x14ac:dyDescent="0.25">
      <c r="A1252" s="10" t="s">
        <v>9923</v>
      </c>
      <c r="B1252" s="9" t="s">
        <v>5140</v>
      </c>
      <c r="C1252" s="9" t="s">
        <v>34</v>
      </c>
      <c r="D1252" s="9" t="s">
        <v>5141</v>
      </c>
      <c r="E1252" s="9" t="s">
        <v>35</v>
      </c>
      <c r="F1252" s="9" t="s">
        <v>36</v>
      </c>
      <c r="G1252" s="9">
        <v>5</v>
      </c>
      <c r="H1252" s="9">
        <v>84213990</v>
      </c>
      <c r="I1252" s="11" t="s">
        <v>37</v>
      </c>
      <c r="J1252" s="12">
        <v>1.6500000000000001E-2</v>
      </c>
      <c r="K1252" s="12">
        <v>7.5999999999999998E-2</v>
      </c>
      <c r="L1252" s="12">
        <v>0</v>
      </c>
      <c r="M1252" s="13">
        <v>8003453175341</v>
      </c>
      <c r="N1252" s="14" t="s">
        <v>35</v>
      </c>
      <c r="O1252" s="14" t="s">
        <v>35</v>
      </c>
      <c r="P1252" s="15">
        <v>45536</v>
      </c>
      <c r="Q1252" s="16" t="s">
        <v>9924</v>
      </c>
      <c r="R1252" s="17" t="s">
        <v>35</v>
      </c>
      <c r="S1252" s="17" t="s">
        <v>35</v>
      </c>
      <c r="T1252" s="17" t="s">
        <v>35</v>
      </c>
      <c r="U1252" s="17" t="s">
        <v>35</v>
      </c>
      <c r="V1252" s="17" t="s">
        <v>35</v>
      </c>
      <c r="W1252" s="17" t="s">
        <v>35</v>
      </c>
      <c r="X1252" s="17" t="s">
        <v>35</v>
      </c>
      <c r="Y1252" s="17" t="s">
        <v>35</v>
      </c>
      <c r="Z1252" s="17" t="s">
        <v>35</v>
      </c>
      <c r="AA1252" s="17" t="s">
        <v>35</v>
      </c>
      <c r="AB1252" s="17" t="s">
        <v>9925</v>
      </c>
      <c r="AC1252" s="17" t="s">
        <v>9539</v>
      </c>
      <c r="AD1252" s="41">
        <v>48.61</v>
      </c>
      <c r="AE1252" s="41">
        <v>48.61</v>
      </c>
      <c r="AF1252" s="48"/>
      <c r="AG1252" s="44"/>
      <c r="AH1252" s="7">
        <f t="shared" si="19"/>
        <v>0</v>
      </c>
      <c r="AI1252" s="18"/>
      <c r="AJ1252" s="18"/>
    </row>
    <row r="1253" spans="1:38" ht="26.65" customHeight="1" x14ac:dyDescent="0.25">
      <c r="A1253" s="10" t="s">
        <v>10641</v>
      </c>
      <c r="B1253" s="9" t="s">
        <v>5140</v>
      </c>
      <c r="C1253" s="9" t="s">
        <v>34</v>
      </c>
      <c r="D1253" s="9" t="s">
        <v>5141</v>
      </c>
      <c r="E1253" s="9" t="s">
        <v>35</v>
      </c>
      <c r="F1253" s="9" t="s">
        <v>36</v>
      </c>
      <c r="G1253" s="9">
        <v>6</v>
      </c>
      <c r="H1253" s="9">
        <v>84213990</v>
      </c>
      <c r="I1253" s="11" t="s">
        <v>37</v>
      </c>
      <c r="J1253" s="12">
        <v>1.6500000000000001E-2</v>
      </c>
      <c r="K1253" s="12">
        <v>7.5999999999999998E-2</v>
      </c>
      <c r="L1253" s="12">
        <v>0</v>
      </c>
      <c r="M1253" s="13" t="s">
        <v>35</v>
      </c>
      <c r="N1253" s="14" t="s">
        <v>35</v>
      </c>
      <c r="O1253" s="14" t="s">
        <v>35</v>
      </c>
      <c r="P1253" s="15">
        <v>45597</v>
      </c>
      <c r="Q1253" s="16" t="s">
        <v>10642</v>
      </c>
      <c r="R1253" s="17" t="s">
        <v>35</v>
      </c>
      <c r="S1253" s="17" t="s">
        <v>10643</v>
      </c>
      <c r="T1253" s="17" t="s">
        <v>10644</v>
      </c>
      <c r="U1253" s="17" t="s">
        <v>35</v>
      </c>
      <c r="V1253" s="17" t="s">
        <v>10645</v>
      </c>
      <c r="W1253" s="17" t="s">
        <v>35</v>
      </c>
      <c r="X1253" s="17" t="s">
        <v>35</v>
      </c>
      <c r="Y1253" s="17" t="s">
        <v>10646</v>
      </c>
      <c r="Z1253" s="17" t="s">
        <v>10647</v>
      </c>
      <c r="AA1253" s="17" t="s">
        <v>35</v>
      </c>
      <c r="AB1253" s="17" t="s">
        <v>35</v>
      </c>
      <c r="AC1253" s="17" t="s">
        <v>9539</v>
      </c>
      <c r="AD1253" s="41">
        <v>24.43</v>
      </c>
      <c r="AE1253" s="41">
        <v>24.43</v>
      </c>
      <c r="AF1253" s="48"/>
      <c r="AG1253" s="44"/>
      <c r="AH1253" s="7">
        <f t="shared" si="19"/>
        <v>0</v>
      </c>
      <c r="AI1253" s="18"/>
      <c r="AJ1253" s="18"/>
    </row>
    <row r="1254" spans="1:38" ht="26.65" customHeight="1" x14ac:dyDescent="0.25">
      <c r="A1254" s="10" t="s">
        <v>7675</v>
      </c>
      <c r="B1254" s="9" t="s">
        <v>7676</v>
      </c>
      <c r="C1254" s="9" t="s">
        <v>43</v>
      </c>
      <c r="D1254" s="9" t="s">
        <v>5141</v>
      </c>
      <c r="E1254" s="9" t="s">
        <v>35</v>
      </c>
      <c r="F1254" s="9" t="s">
        <v>36</v>
      </c>
      <c r="G1254" s="9">
        <v>5</v>
      </c>
      <c r="H1254" s="9">
        <v>84213990</v>
      </c>
      <c r="I1254" s="11" t="s">
        <v>37</v>
      </c>
      <c r="J1254" s="12">
        <v>1.6500000000000001E-2</v>
      </c>
      <c r="K1254" s="12">
        <v>7.5999999999999998E-2</v>
      </c>
      <c r="L1254" s="12">
        <v>0</v>
      </c>
      <c r="M1254" s="13">
        <v>8003453180239</v>
      </c>
      <c r="N1254" s="14">
        <v>0.26</v>
      </c>
      <c r="O1254" s="14">
        <v>0.35099999999999998</v>
      </c>
      <c r="P1254" s="15" t="s">
        <v>35</v>
      </c>
      <c r="Q1254" s="16" t="s">
        <v>7677</v>
      </c>
      <c r="R1254" s="17" t="s">
        <v>35</v>
      </c>
      <c r="S1254" s="17" t="s">
        <v>7678</v>
      </c>
      <c r="T1254" s="17" t="s">
        <v>7679</v>
      </c>
      <c r="U1254" s="17" t="s">
        <v>7680</v>
      </c>
      <c r="V1254" s="17" t="s">
        <v>35</v>
      </c>
      <c r="W1254" s="17" t="s">
        <v>35</v>
      </c>
      <c r="X1254" s="17" t="s">
        <v>7681</v>
      </c>
      <c r="Y1254" s="17" t="s">
        <v>7682</v>
      </c>
      <c r="Z1254" s="17" t="s">
        <v>35</v>
      </c>
      <c r="AA1254" s="17" t="s">
        <v>35</v>
      </c>
      <c r="AB1254" s="17" t="s">
        <v>35</v>
      </c>
      <c r="AC1254" s="17" t="s">
        <v>9539</v>
      </c>
      <c r="AD1254" s="41">
        <v>19.940000000000001</v>
      </c>
      <c r="AE1254" s="41">
        <v>19.940000000000001</v>
      </c>
      <c r="AF1254" s="48"/>
      <c r="AG1254" s="44"/>
      <c r="AH1254" s="7">
        <f t="shared" si="19"/>
        <v>0</v>
      </c>
      <c r="AI1254" s="18"/>
      <c r="AJ1254" s="18"/>
      <c r="AL1254" s="18"/>
    </row>
    <row r="1255" spans="1:38" ht="26.65" customHeight="1" x14ac:dyDescent="0.25">
      <c r="A1255" s="10" t="s">
        <v>7683</v>
      </c>
      <c r="B1255" s="9" t="s">
        <v>7676</v>
      </c>
      <c r="C1255" s="9" t="s">
        <v>43</v>
      </c>
      <c r="D1255" s="9" t="s">
        <v>5141</v>
      </c>
      <c r="E1255" s="9" t="s">
        <v>35</v>
      </c>
      <c r="F1255" s="9" t="s">
        <v>36</v>
      </c>
      <c r="G1255" s="9">
        <v>5</v>
      </c>
      <c r="H1255" s="9">
        <v>84213990</v>
      </c>
      <c r="I1255" s="11" t="s">
        <v>37</v>
      </c>
      <c r="J1255" s="12">
        <v>1.6500000000000001E-2</v>
      </c>
      <c r="K1255" s="12">
        <v>7.5999999999999998E-2</v>
      </c>
      <c r="L1255" s="12">
        <v>0</v>
      </c>
      <c r="M1255" s="13">
        <v>8003453180253</v>
      </c>
      <c r="N1255" s="14">
        <v>0.12</v>
      </c>
      <c r="O1255" s="14">
        <v>0.17799999999999999</v>
      </c>
      <c r="P1255" s="15" t="s">
        <v>35</v>
      </c>
      <c r="Q1255" s="16" t="s">
        <v>7684</v>
      </c>
      <c r="R1255" s="17" t="s">
        <v>35</v>
      </c>
      <c r="S1255" s="17" t="s">
        <v>7685</v>
      </c>
      <c r="T1255" s="17" t="s">
        <v>7686</v>
      </c>
      <c r="U1255" s="17" t="s">
        <v>35</v>
      </c>
      <c r="V1255" s="17" t="s">
        <v>7687</v>
      </c>
      <c r="W1255" s="17" t="s">
        <v>35</v>
      </c>
      <c r="X1255" s="17" t="s">
        <v>7688</v>
      </c>
      <c r="Y1255" s="17" t="s">
        <v>7689</v>
      </c>
      <c r="Z1255" s="17" t="s">
        <v>35</v>
      </c>
      <c r="AA1255" s="17" t="s">
        <v>35</v>
      </c>
      <c r="AB1255" s="17" t="s">
        <v>35</v>
      </c>
      <c r="AC1255" s="17" t="s">
        <v>9539</v>
      </c>
      <c r="AD1255" s="41">
        <v>14.66</v>
      </c>
      <c r="AE1255" s="41">
        <v>14.66</v>
      </c>
      <c r="AF1255" s="48"/>
      <c r="AG1255" s="44"/>
      <c r="AH1255" s="7">
        <f t="shared" si="19"/>
        <v>0</v>
      </c>
      <c r="AI1255" s="18"/>
      <c r="AJ1255" s="18"/>
      <c r="AL1255" s="18"/>
    </row>
    <row r="1256" spans="1:38" ht="26.65" customHeight="1" x14ac:dyDescent="0.25">
      <c r="A1256" s="10" t="s">
        <v>7690</v>
      </c>
      <c r="B1256" s="9" t="s">
        <v>7676</v>
      </c>
      <c r="C1256" s="9" t="s">
        <v>43</v>
      </c>
      <c r="D1256" s="9" t="s">
        <v>5141</v>
      </c>
      <c r="E1256" s="9" t="s">
        <v>35</v>
      </c>
      <c r="F1256" s="9" t="s">
        <v>36</v>
      </c>
      <c r="G1256" s="9">
        <v>5</v>
      </c>
      <c r="H1256" s="9">
        <v>84213990</v>
      </c>
      <c r="I1256" s="11" t="s">
        <v>37</v>
      </c>
      <c r="J1256" s="12">
        <v>1.6500000000000001E-2</v>
      </c>
      <c r="K1256" s="12">
        <v>7.5999999999999998E-2</v>
      </c>
      <c r="L1256" s="12">
        <v>0</v>
      </c>
      <c r="M1256" s="13">
        <v>8003453180307</v>
      </c>
      <c r="N1256" s="14">
        <v>3.1</v>
      </c>
      <c r="O1256" s="14">
        <v>3.7</v>
      </c>
      <c r="P1256" s="15" t="s">
        <v>35</v>
      </c>
      <c r="Q1256" s="16" t="s">
        <v>7691</v>
      </c>
      <c r="R1256" s="17" t="s">
        <v>35</v>
      </c>
      <c r="S1256" s="17" t="s">
        <v>7692</v>
      </c>
      <c r="T1256" s="17" t="s">
        <v>7693</v>
      </c>
      <c r="U1256" s="17" t="s">
        <v>7694</v>
      </c>
      <c r="V1256" s="17" t="s">
        <v>35</v>
      </c>
      <c r="W1256" s="17" t="s">
        <v>35</v>
      </c>
      <c r="X1256" s="17" t="s">
        <v>7695</v>
      </c>
      <c r="Y1256" s="17" t="s">
        <v>7696</v>
      </c>
      <c r="Z1256" s="17" t="s">
        <v>35</v>
      </c>
      <c r="AA1256" s="17" t="s">
        <v>35</v>
      </c>
      <c r="AB1256" s="17" t="s">
        <v>35</v>
      </c>
      <c r="AC1256" s="17" t="s">
        <v>9539</v>
      </c>
      <c r="AD1256" s="42">
        <v>59.76</v>
      </c>
      <c r="AE1256" s="42">
        <v>59.76</v>
      </c>
      <c r="AF1256" s="48"/>
      <c r="AG1256" s="44"/>
      <c r="AH1256" s="7">
        <f t="shared" si="19"/>
        <v>0</v>
      </c>
      <c r="AI1256" s="18"/>
      <c r="AJ1256" s="18"/>
    </row>
    <row r="1257" spans="1:38" ht="26.65" customHeight="1" x14ac:dyDescent="0.25">
      <c r="A1257" s="10" t="s">
        <v>7697</v>
      </c>
      <c r="B1257" s="9" t="s">
        <v>7676</v>
      </c>
      <c r="C1257" s="9" t="s">
        <v>43</v>
      </c>
      <c r="D1257" s="9" t="s">
        <v>5141</v>
      </c>
      <c r="E1257" s="9" t="s">
        <v>35</v>
      </c>
      <c r="F1257" s="9" t="s">
        <v>36</v>
      </c>
      <c r="G1257" s="9">
        <v>5</v>
      </c>
      <c r="H1257" s="9">
        <v>84213990</v>
      </c>
      <c r="I1257" s="11" t="s">
        <v>37</v>
      </c>
      <c r="J1257" s="12">
        <v>1.6500000000000001E-2</v>
      </c>
      <c r="K1257" s="12">
        <v>7.5999999999999998E-2</v>
      </c>
      <c r="L1257" s="12">
        <v>0</v>
      </c>
      <c r="M1257" s="13">
        <v>8003453180338</v>
      </c>
      <c r="N1257" s="14">
        <v>0.22</v>
      </c>
      <c r="O1257" s="14">
        <v>0.29899999999999999</v>
      </c>
      <c r="P1257" s="15" t="s">
        <v>35</v>
      </c>
      <c r="Q1257" s="16" t="s">
        <v>7698</v>
      </c>
      <c r="R1257" s="17" t="s">
        <v>7699</v>
      </c>
      <c r="S1257" s="17" t="s">
        <v>7700</v>
      </c>
      <c r="T1257" s="17" t="s">
        <v>7701</v>
      </c>
      <c r="U1257" s="17" t="s">
        <v>7702</v>
      </c>
      <c r="V1257" s="17" t="s">
        <v>35</v>
      </c>
      <c r="W1257" s="17" t="s">
        <v>35</v>
      </c>
      <c r="X1257" s="17" t="s">
        <v>7703</v>
      </c>
      <c r="Y1257" s="17" t="s">
        <v>7704</v>
      </c>
      <c r="Z1257" s="17" t="s">
        <v>35</v>
      </c>
      <c r="AA1257" s="17" t="s">
        <v>35</v>
      </c>
      <c r="AB1257" s="17" t="s">
        <v>35</v>
      </c>
      <c r="AC1257" s="17" t="s">
        <v>9539</v>
      </c>
      <c r="AD1257" s="41">
        <v>21.28</v>
      </c>
      <c r="AE1257" s="41">
        <v>21.28</v>
      </c>
      <c r="AF1257" s="48"/>
      <c r="AG1257" s="44"/>
      <c r="AH1257" s="7">
        <f t="shared" si="19"/>
        <v>0</v>
      </c>
      <c r="AI1257" s="18"/>
      <c r="AJ1257" s="18"/>
    </row>
    <row r="1258" spans="1:38" ht="26.65" customHeight="1" x14ac:dyDescent="0.25">
      <c r="A1258" s="10" t="s">
        <v>7705</v>
      </c>
      <c r="B1258" s="9" t="s">
        <v>7676</v>
      </c>
      <c r="C1258" s="9" t="s">
        <v>43</v>
      </c>
      <c r="D1258" s="9" t="s">
        <v>5141</v>
      </c>
      <c r="E1258" s="9" t="s">
        <v>35</v>
      </c>
      <c r="F1258" s="9" t="s">
        <v>36</v>
      </c>
      <c r="G1258" s="9">
        <v>5</v>
      </c>
      <c r="H1258" s="9">
        <v>84213990</v>
      </c>
      <c r="I1258" s="11" t="s">
        <v>37</v>
      </c>
      <c r="J1258" s="12">
        <v>1.6500000000000001E-2</v>
      </c>
      <c r="K1258" s="12">
        <v>7.5999999999999998E-2</v>
      </c>
      <c r="L1258" s="12">
        <v>0</v>
      </c>
      <c r="M1258" s="13">
        <v>8003453180369</v>
      </c>
      <c r="N1258" s="14">
        <v>0.23</v>
      </c>
      <c r="O1258" s="14">
        <v>0.31</v>
      </c>
      <c r="P1258" s="15" t="s">
        <v>35</v>
      </c>
      <c r="Q1258" s="16" t="s">
        <v>7706</v>
      </c>
      <c r="R1258" s="17" t="s">
        <v>35</v>
      </c>
      <c r="S1258" s="17" t="s">
        <v>7707</v>
      </c>
      <c r="T1258" s="17" t="s">
        <v>7708</v>
      </c>
      <c r="U1258" s="17" t="s">
        <v>7709</v>
      </c>
      <c r="V1258" s="17" t="s">
        <v>35</v>
      </c>
      <c r="W1258" s="17" t="s">
        <v>35</v>
      </c>
      <c r="X1258" s="17" t="s">
        <v>7710</v>
      </c>
      <c r="Y1258" s="17" t="s">
        <v>7711</v>
      </c>
      <c r="Z1258" s="17" t="s">
        <v>35</v>
      </c>
      <c r="AA1258" s="17" t="s">
        <v>35</v>
      </c>
      <c r="AB1258" s="17" t="s">
        <v>35</v>
      </c>
      <c r="AC1258" s="17" t="s">
        <v>9539</v>
      </c>
      <c r="AD1258" s="41">
        <v>21.38</v>
      </c>
      <c r="AE1258" s="41">
        <v>21.38</v>
      </c>
      <c r="AF1258" s="48"/>
      <c r="AG1258" s="44"/>
      <c r="AH1258" s="7">
        <f t="shared" si="19"/>
        <v>0</v>
      </c>
      <c r="AI1258" s="18"/>
      <c r="AJ1258" s="18"/>
      <c r="AL1258" s="18"/>
    </row>
    <row r="1259" spans="1:38" ht="26.65" customHeight="1" x14ac:dyDescent="0.25">
      <c r="A1259" s="10" t="s">
        <v>7712</v>
      </c>
      <c r="B1259" s="9" t="s">
        <v>7676</v>
      </c>
      <c r="C1259" s="9" t="s">
        <v>43</v>
      </c>
      <c r="D1259" s="9" t="s">
        <v>5141</v>
      </c>
      <c r="E1259" s="9" t="s">
        <v>35</v>
      </c>
      <c r="F1259" s="9" t="s">
        <v>36</v>
      </c>
      <c r="G1259" s="9">
        <v>5</v>
      </c>
      <c r="H1259" s="9">
        <v>84213990</v>
      </c>
      <c r="I1259" s="11" t="s">
        <v>37</v>
      </c>
      <c r="J1259" s="12">
        <v>1.6500000000000001E-2</v>
      </c>
      <c r="K1259" s="12">
        <v>7.5999999999999998E-2</v>
      </c>
      <c r="L1259" s="12">
        <v>0</v>
      </c>
      <c r="M1259" s="13">
        <v>8003453180376</v>
      </c>
      <c r="N1259" s="14">
        <v>0.112</v>
      </c>
      <c r="O1259" s="14">
        <v>0.188</v>
      </c>
      <c r="P1259" s="15" t="s">
        <v>35</v>
      </c>
      <c r="Q1259" s="16" t="s">
        <v>7713</v>
      </c>
      <c r="R1259" s="17" t="s">
        <v>35</v>
      </c>
      <c r="S1259" s="17" t="s">
        <v>7714</v>
      </c>
      <c r="T1259" s="17" t="s">
        <v>7715</v>
      </c>
      <c r="U1259" s="17" t="s">
        <v>7716</v>
      </c>
      <c r="V1259" s="17" t="s">
        <v>7717</v>
      </c>
      <c r="W1259" s="17" t="s">
        <v>7718</v>
      </c>
      <c r="X1259" s="17" t="s">
        <v>7719</v>
      </c>
      <c r="Y1259" s="17" t="s">
        <v>7720</v>
      </c>
      <c r="Z1259" s="17" t="s">
        <v>35</v>
      </c>
      <c r="AA1259" s="17" t="s">
        <v>35</v>
      </c>
      <c r="AB1259" s="17" t="s">
        <v>35</v>
      </c>
      <c r="AC1259" s="17" t="s">
        <v>9539</v>
      </c>
      <c r="AD1259" s="41">
        <v>24.07</v>
      </c>
      <c r="AE1259" s="41">
        <v>24.07</v>
      </c>
      <c r="AF1259" s="48"/>
      <c r="AG1259" s="44"/>
      <c r="AH1259" s="7">
        <f t="shared" si="19"/>
        <v>0</v>
      </c>
      <c r="AI1259" s="18"/>
      <c r="AJ1259" s="18"/>
    </row>
    <row r="1260" spans="1:38" ht="26.65" customHeight="1" x14ac:dyDescent="0.25">
      <c r="A1260" s="10" t="s">
        <v>7721</v>
      </c>
      <c r="B1260" s="9" t="s">
        <v>7676</v>
      </c>
      <c r="C1260" s="9" t="s">
        <v>43</v>
      </c>
      <c r="D1260" s="9" t="s">
        <v>5141</v>
      </c>
      <c r="E1260" s="9" t="s">
        <v>35</v>
      </c>
      <c r="F1260" s="9" t="s">
        <v>36</v>
      </c>
      <c r="G1260" s="9">
        <v>5</v>
      </c>
      <c r="H1260" s="9">
        <v>84213990</v>
      </c>
      <c r="I1260" s="11" t="s">
        <v>37</v>
      </c>
      <c r="J1260" s="12">
        <v>1.6500000000000001E-2</v>
      </c>
      <c r="K1260" s="12">
        <v>7.5999999999999998E-2</v>
      </c>
      <c r="L1260" s="12">
        <v>0</v>
      </c>
      <c r="M1260" s="13">
        <v>8003453180390</v>
      </c>
      <c r="N1260" s="14">
        <v>9.1999999999999998E-2</v>
      </c>
      <c r="O1260" s="14">
        <v>0.17299999999999999</v>
      </c>
      <c r="P1260" s="15" t="s">
        <v>35</v>
      </c>
      <c r="Q1260" s="16" t="s">
        <v>7722</v>
      </c>
      <c r="R1260" s="17" t="s">
        <v>35</v>
      </c>
      <c r="S1260" s="17" t="s">
        <v>7723</v>
      </c>
      <c r="T1260" s="17" t="s">
        <v>7724</v>
      </c>
      <c r="U1260" s="17" t="s">
        <v>35</v>
      </c>
      <c r="V1260" s="17" t="s">
        <v>35</v>
      </c>
      <c r="W1260" s="17" t="s">
        <v>35</v>
      </c>
      <c r="X1260" s="17" t="s">
        <v>7725</v>
      </c>
      <c r="Y1260" s="17" t="s">
        <v>7726</v>
      </c>
      <c r="Z1260" s="17" t="s">
        <v>35</v>
      </c>
      <c r="AA1260" s="17" t="s">
        <v>35</v>
      </c>
      <c r="AB1260" s="17" t="s">
        <v>35</v>
      </c>
      <c r="AC1260" s="17" t="s">
        <v>9539</v>
      </c>
      <c r="AD1260" s="41">
        <v>15.11</v>
      </c>
      <c r="AE1260" s="41">
        <v>15.11</v>
      </c>
      <c r="AF1260" s="48"/>
      <c r="AG1260" s="44"/>
      <c r="AH1260" s="7">
        <f t="shared" si="19"/>
        <v>0</v>
      </c>
      <c r="AI1260" s="18"/>
      <c r="AJ1260" s="18"/>
      <c r="AL1260" s="18"/>
    </row>
    <row r="1261" spans="1:38" ht="26.65" customHeight="1" x14ac:dyDescent="0.25">
      <c r="A1261" s="10" t="s">
        <v>7727</v>
      </c>
      <c r="B1261" s="9" t="s">
        <v>7676</v>
      </c>
      <c r="C1261" s="9" t="s">
        <v>43</v>
      </c>
      <c r="D1261" s="9" t="s">
        <v>5141</v>
      </c>
      <c r="E1261" s="9" t="s">
        <v>35</v>
      </c>
      <c r="F1261" s="9" t="s">
        <v>36</v>
      </c>
      <c r="G1261" s="9">
        <v>5</v>
      </c>
      <c r="H1261" s="9">
        <v>84213990</v>
      </c>
      <c r="I1261" s="11" t="s">
        <v>37</v>
      </c>
      <c r="J1261" s="12">
        <v>1.6500000000000001E-2</v>
      </c>
      <c r="K1261" s="12">
        <v>7.5999999999999998E-2</v>
      </c>
      <c r="L1261" s="12">
        <v>0</v>
      </c>
      <c r="M1261" s="13">
        <v>8003453180437</v>
      </c>
      <c r="N1261" s="14">
        <v>0.22</v>
      </c>
      <c r="O1261" s="14">
        <v>0.33100000000000002</v>
      </c>
      <c r="P1261" s="15" t="s">
        <v>35</v>
      </c>
      <c r="Q1261" s="16" t="s">
        <v>7728</v>
      </c>
      <c r="R1261" s="17" t="s">
        <v>35</v>
      </c>
      <c r="S1261" s="17" t="s">
        <v>7729</v>
      </c>
      <c r="T1261" s="17" t="s">
        <v>7730</v>
      </c>
      <c r="U1261" s="17" t="s">
        <v>7731</v>
      </c>
      <c r="V1261" s="17" t="s">
        <v>35</v>
      </c>
      <c r="W1261" s="17" t="s">
        <v>35</v>
      </c>
      <c r="X1261" s="17" t="s">
        <v>7732</v>
      </c>
      <c r="Y1261" s="17" t="s">
        <v>7733</v>
      </c>
      <c r="Z1261" s="17" t="s">
        <v>35</v>
      </c>
      <c r="AA1261" s="17" t="s">
        <v>35</v>
      </c>
      <c r="AB1261" s="17" t="s">
        <v>35</v>
      </c>
      <c r="AC1261" s="17" t="s">
        <v>9539</v>
      </c>
      <c r="AD1261" s="42">
        <v>29.72</v>
      </c>
      <c r="AE1261" s="42">
        <v>29.72</v>
      </c>
      <c r="AF1261" s="48"/>
      <c r="AG1261" s="44"/>
      <c r="AH1261" s="7">
        <f t="shared" si="19"/>
        <v>0</v>
      </c>
      <c r="AI1261" s="18"/>
      <c r="AJ1261" s="18"/>
    </row>
    <row r="1262" spans="1:38" ht="26.65" customHeight="1" x14ac:dyDescent="0.25">
      <c r="A1262" s="10" t="s">
        <v>7734</v>
      </c>
      <c r="B1262" s="9" t="s">
        <v>7676</v>
      </c>
      <c r="C1262" s="9" t="s">
        <v>43</v>
      </c>
      <c r="D1262" s="9" t="s">
        <v>5141</v>
      </c>
      <c r="E1262" s="9" t="s">
        <v>35</v>
      </c>
      <c r="F1262" s="9" t="s">
        <v>36</v>
      </c>
      <c r="G1262" s="9">
        <v>5</v>
      </c>
      <c r="H1262" s="9">
        <v>84213990</v>
      </c>
      <c r="I1262" s="11" t="s">
        <v>37</v>
      </c>
      <c r="J1262" s="12">
        <v>1.6500000000000001E-2</v>
      </c>
      <c r="K1262" s="12">
        <v>7.5999999999999998E-2</v>
      </c>
      <c r="L1262" s="12">
        <v>0</v>
      </c>
      <c r="M1262" s="13">
        <v>8003453180444</v>
      </c>
      <c r="N1262" s="14">
        <v>0.107</v>
      </c>
      <c r="O1262" s="14">
        <v>0.191</v>
      </c>
      <c r="P1262" s="15" t="s">
        <v>35</v>
      </c>
      <c r="Q1262" s="16" t="s">
        <v>7735</v>
      </c>
      <c r="R1262" s="17" t="s">
        <v>35</v>
      </c>
      <c r="S1262" s="17" t="s">
        <v>7736</v>
      </c>
      <c r="T1262" s="17" t="s">
        <v>7737</v>
      </c>
      <c r="U1262" s="17" t="s">
        <v>7738</v>
      </c>
      <c r="V1262" s="17" t="s">
        <v>35</v>
      </c>
      <c r="W1262" s="17" t="s">
        <v>35</v>
      </c>
      <c r="X1262" s="17" t="s">
        <v>7739</v>
      </c>
      <c r="Y1262" s="17" t="s">
        <v>7740</v>
      </c>
      <c r="Z1262" s="17" t="s">
        <v>35</v>
      </c>
      <c r="AA1262" s="17" t="s">
        <v>35</v>
      </c>
      <c r="AB1262" s="17" t="s">
        <v>35</v>
      </c>
      <c r="AC1262" s="17" t="s">
        <v>9539</v>
      </c>
      <c r="AD1262" s="41">
        <v>19.61</v>
      </c>
      <c r="AE1262" s="41">
        <v>19.61</v>
      </c>
      <c r="AF1262" s="48"/>
      <c r="AG1262" s="44"/>
      <c r="AH1262" s="7">
        <f t="shared" si="19"/>
        <v>0</v>
      </c>
      <c r="AI1262" s="18"/>
      <c r="AJ1262" s="18"/>
      <c r="AL1262" s="18"/>
    </row>
    <row r="1263" spans="1:38" ht="26.65" customHeight="1" x14ac:dyDescent="0.25">
      <c r="A1263" s="10" t="s">
        <v>7741</v>
      </c>
      <c r="B1263" s="9" t="s">
        <v>7676</v>
      </c>
      <c r="C1263" s="9" t="s">
        <v>43</v>
      </c>
      <c r="D1263" s="9" t="s">
        <v>5141</v>
      </c>
      <c r="E1263" s="9" t="s">
        <v>35</v>
      </c>
      <c r="F1263" s="9" t="s">
        <v>36</v>
      </c>
      <c r="G1263" s="9">
        <v>5</v>
      </c>
      <c r="H1263" s="9">
        <v>84213990</v>
      </c>
      <c r="I1263" s="11" t="s">
        <v>37</v>
      </c>
      <c r="J1263" s="12">
        <v>1.6500000000000001E-2</v>
      </c>
      <c r="K1263" s="12">
        <v>7.5999999999999998E-2</v>
      </c>
      <c r="L1263" s="12">
        <v>0</v>
      </c>
      <c r="M1263" s="13">
        <v>8003453180468</v>
      </c>
      <c r="N1263" s="14">
        <v>0.24</v>
      </c>
      <c r="O1263" s="14">
        <v>0.34899999999999998</v>
      </c>
      <c r="P1263" s="15" t="s">
        <v>35</v>
      </c>
      <c r="Q1263" s="16" t="s">
        <v>7742</v>
      </c>
      <c r="R1263" s="17" t="s">
        <v>35</v>
      </c>
      <c r="S1263" s="17" t="s">
        <v>7743</v>
      </c>
      <c r="T1263" s="17" t="s">
        <v>7744</v>
      </c>
      <c r="U1263" s="17" t="s">
        <v>7286</v>
      </c>
      <c r="V1263" s="17" t="s">
        <v>35</v>
      </c>
      <c r="W1263" s="17" t="s">
        <v>35</v>
      </c>
      <c r="X1263" s="17" t="s">
        <v>7745</v>
      </c>
      <c r="Y1263" s="17" t="s">
        <v>7746</v>
      </c>
      <c r="Z1263" s="17" t="s">
        <v>35</v>
      </c>
      <c r="AA1263" s="17" t="s">
        <v>35</v>
      </c>
      <c r="AB1263" s="17" t="s">
        <v>35</v>
      </c>
      <c r="AC1263" s="17" t="s">
        <v>9539</v>
      </c>
      <c r="AD1263" s="42">
        <v>25.18</v>
      </c>
      <c r="AE1263" s="42">
        <v>25.18</v>
      </c>
      <c r="AF1263" s="48"/>
      <c r="AG1263" s="44"/>
      <c r="AH1263" s="7">
        <f t="shared" si="19"/>
        <v>0</v>
      </c>
      <c r="AI1263" s="18"/>
      <c r="AJ1263" s="18"/>
    </row>
    <row r="1264" spans="1:38" ht="26.65" customHeight="1" x14ac:dyDescent="0.25">
      <c r="A1264" s="10" t="s">
        <v>7747</v>
      </c>
      <c r="B1264" s="9" t="s">
        <v>7676</v>
      </c>
      <c r="C1264" s="9" t="s">
        <v>43</v>
      </c>
      <c r="D1264" s="9" t="s">
        <v>5141</v>
      </c>
      <c r="E1264" s="9" t="s">
        <v>35</v>
      </c>
      <c r="F1264" s="9" t="s">
        <v>36</v>
      </c>
      <c r="G1264" s="9">
        <v>5</v>
      </c>
      <c r="H1264" s="9">
        <v>84213990</v>
      </c>
      <c r="I1264" s="11" t="s">
        <v>37</v>
      </c>
      <c r="J1264" s="12">
        <v>1.6500000000000001E-2</v>
      </c>
      <c r="K1264" s="12">
        <v>7.5999999999999998E-2</v>
      </c>
      <c r="L1264" s="12">
        <v>0</v>
      </c>
      <c r="M1264" s="13">
        <v>8003453180499</v>
      </c>
      <c r="N1264" s="14">
        <v>1.5</v>
      </c>
      <c r="O1264" s="14">
        <v>2.3199999999999998</v>
      </c>
      <c r="P1264" s="15" t="s">
        <v>35</v>
      </c>
      <c r="Q1264" s="16" t="s">
        <v>7748</v>
      </c>
      <c r="R1264" s="17" t="s">
        <v>35</v>
      </c>
      <c r="S1264" s="17" t="s">
        <v>7749</v>
      </c>
      <c r="T1264" s="17" t="s">
        <v>7750</v>
      </c>
      <c r="U1264" s="17" t="s">
        <v>7751</v>
      </c>
      <c r="V1264" s="17" t="s">
        <v>35</v>
      </c>
      <c r="W1264" s="17" t="s">
        <v>35</v>
      </c>
      <c r="X1264" s="17" t="s">
        <v>7752</v>
      </c>
      <c r="Y1264" s="17" t="s">
        <v>7753</v>
      </c>
      <c r="Z1264" s="17" t="s">
        <v>35</v>
      </c>
      <c r="AA1264" s="17" t="s">
        <v>35</v>
      </c>
      <c r="AB1264" s="17" t="s">
        <v>35</v>
      </c>
      <c r="AC1264" s="17" t="s">
        <v>9539</v>
      </c>
      <c r="AD1264" s="42">
        <v>54.1</v>
      </c>
      <c r="AE1264" s="42">
        <v>54.1</v>
      </c>
      <c r="AF1264" s="48"/>
      <c r="AG1264" s="44"/>
      <c r="AH1264" s="7">
        <f t="shared" si="19"/>
        <v>0</v>
      </c>
      <c r="AI1264" s="18"/>
      <c r="AJ1264" s="18"/>
    </row>
    <row r="1265" spans="1:38" ht="26.65" customHeight="1" x14ac:dyDescent="0.25">
      <c r="A1265" s="10" t="s">
        <v>9398</v>
      </c>
      <c r="B1265" s="9" t="s">
        <v>7676</v>
      </c>
      <c r="C1265" s="9" t="s">
        <v>43</v>
      </c>
      <c r="D1265" s="9" t="s">
        <v>5141</v>
      </c>
      <c r="E1265" s="9" t="s">
        <v>35</v>
      </c>
      <c r="F1265" s="9" t="s">
        <v>36</v>
      </c>
      <c r="G1265" s="9">
        <v>5</v>
      </c>
      <c r="H1265" s="9">
        <v>84213990</v>
      </c>
      <c r="I1265" s="11" t="s">
        <v>37</v>
      </c>
      <c r="J1265" s="12">
        <v>1.6500000000000001E-2</v>
      </c>
      <c r="K1265" s="12">
        <v>7.5999999999999998E-2</v>
      </c>
      <c r="L1265" s="12">
        <v>0</v>
      </c>
      <c r="M1265" s="13">
        <v>8003453180536</v>
      </c>
      <c r="N1265" s="14">
        <v>0.122</v>
      </c>
      <c r="O1265" s="14">
        <v>0.20200000000000001</v>
      </c>
      <c r="P1265" s="15">
        <v>45444</v>
      </c>
      <c r="Q1265" s="16" t="s">
        <v>9399</v>
      </c>
      <c r="R1265" s="17" t="s">
        <v>35</v>
      </c>
      <c r="S1265" s="17" t="s">
        <v>9400</v>
      </c>
      <c r="T1265" s="17" t="s">
        <v>9401</v>
      </c>
      <c r="U1265" s="17" t="s">
        <v>9402</v>
      </c>
      <c r="V1265" s="17" t="s">
        <v>35</v>
      </c>
      <c r="W1265" s="17" t="s">
        <v>35</v>
      </c>
      <c r="X1265" s="17" t="s">
        <v>35</v>
      </c>
      <c r="Y1265" s="17" t="s">
        <v>9403</v>
      </c>
      <c r="Z1265" s="17" t="s">
        <v>35</v>
      </c>
      <c r="AA1265" s="17" t="s">
        <v>35</v>
      </c>
      <c r="AB1265" s="17" t="s">
        <v>35</v>
      </c>
      <c r="AC1265" s="17" t="s">
        <v>9539</v>
      </c>
      <c r="AD1265" s="42">
        <v>31.86</v>
      </c>
      <c r="AE1265" s="42">
        <v>31.86</v>
      </c>
      <c r="AF1265" s="48"/>
      <c r="AG1265" s="44"/>
      <c r="AH1265" s="7">
        <f t="shared" si="19"/>
        <v>0</v>
      </c>
      <c r="AI1265" s="18"/>
      <c r="AJ1265" s="18"/>
    </row>
    <row r="1266" spans="1:38" ht="26.65" customHeight="1" x14ac:dyDescent="0.25">
      <c r="A1266" s="10" t="s">
        <v>7754</v>
      </c>
      <c r="B1266" s="9" t="s">
        <v>7676</v>
      </c>
      <c r="C1266" s="9" t="s">
        <v>43</v>
      </c>
      <c r="D1266" s="9" t="s">
        <v>5141</v>
      </c>
      <c r="E1266" s="9" t="s">
        <v>35</v>
      </c>
      <c r="F1266" s="9" t="s">
        <v>36</v>
      </c>
      <c r="G1266" s="9">
        <v>5</v>
      </c>
      <c r="H1266" s="9">
        <v>84213990</v>
      </c>
      <c r="I1266" s="11" t="s">
        <v>37</v>
      </c>
      <c r="J1266" s="12">
        <v>1.6500000000000001E-2</v>
      </c>
      <c r="K1266" s="12">
        <v>7.5999999999999998E-2</v>
      </c>
      <c r="L1266" s="12">
        <v>0</v>
      </c>
      <c r="M1266" s="13">
        <v>8003453180543</v>
      </c>
      <c r="N1266" s="14">
        <v>0.84499999999999997</v>
      </c>
      <c r="O1266" s="14">
        <v>0.96899999999999997</v>
      </c>
      <c r="P1266" s="15" t="s">
        <v>35</v>
      </c>
      <c r="Q1266" s="16" t="s">
        <v>7755</v>
      </c>
      <c r="R1266" s="17" t="s">
        <v>35</v>
      </c>
      <c r="S1266" s="17" t="s">
        <v>7756</v>
      </c>
      <c r="T1266" s="17" t="s">
        <v>7757</v>
      </c>
      <c r="U1266" s="17" t="s">
        <v>7758</v>
      </c>
      <c r="V1266" s="17" t="s">
        <v>35</v>
      </c>
      <c r="W1266" s="17" t="s">
        <v>35</v>
      </c>
      <c r="X1266" s="17" t="s">
        <v>7759</v>
      </c>
      <c r="Y1266" s="17" t="s">
        <v>7760</v>
      </c>
      <c r="Z1266" s="17" t="s">
        <v>35</v>
      </c>
      <c r="AA1266" s="17" t="s">
        <v>35</v>
      </c>
      <c r="AB1266" s="17" t="s">
        <v>35</v>
      </c>
      <c r="AC1266" s="17" t="s">
        <v>9539</v>
      </c>
      <c r="AD1266" s="41">
        <v>379.81</v>
      </c>
      <c r="AE1266" s="41">
        <v>379.81</v>
      </c>
      <c r="AF1266" s="48"/>
      <c r="AG1266" s="44"/>
      <c r="AH1266" s="7">
        <f t="shared" si="19"/>
        <v>0</v>
      </c>
      <c r="AI1266" s="18"/>
      <c r="AJ1266" s="18"/>
      <c r="AL1266" s="18"/>
    </row>
    <row r="1267" spans="1:38" ht="26.65" customHeight="1" x14ac:dyDescent="0.25">
      <c r="A1267" s="10" t="s">
        <v>7761</v>
      </c>
      <c r="B1267" s="9" t="s">
        <v>7676</v>
      </c>
      <c r="C1267" s="9" t="s">
        <v>43</v>
      </c>
      <c r="D1267" s="9" t="s">
        <v>5141</v>
      </c>
      <c r="E1267" s="9" t="s">
        <v>35</v>
      </c>
      <c r="F1267" s="9" t="s">
        <v>36</v>
      </c>
      <c r="G1267" s="9">
        <v>5</v>
      </c>
      <c r="H1267" s="9">
        <v>84213990</v>
      </c>
      <c r="I1267" s="11" t="s">
        <v>37</v>
      </c>
      <c r="J1267" s="12">
        <v>1.6500000000000001E-2</v>
      </c>
      <c r="K1267" s="12">
        <v>7.5999999999999998E-2</v>
      </c>
      <c r="L1267" s="12">
        <v>0</v>
      </c>
      <c r="M1267" s="13">
        <v>8003453180550</v>
      </c>
      <c r="N1267" s="14">
        <v>0.187</v>
      </c>
      <c r="O1267" s="14">
        <v>0.26700000000000002</v>
      </c>
      <c r="P1267" s="15" t="s">
        <v>35</v>
      </c>
      <c r="Q1267" s="16" t="s">
        <v>7762</v>
      </c>
      <c r="R1267" s="17" t="s">
        <v>35</v>
      </c>
      <c r="S1267" s="17" t="s">
        <v>7763</v>
      </c>
      <c r="T1267" s="17" t="s">
        <v>7764</v>
      </c>
      <c r="U1267" s="17" t="s">
        <v>7765</v>
      </c>
      <c r="V1267" s="17" t="s">
        <v>35</v>
      </c>
      <c r="W1267" s="17" t="s">
        <v>35</v>
      </c>
      <c r="X1267" s="17" t="s">
        <v>7766</v>
      </c>
      <c r="Y1267" s="17" t="s">
        <v>7767</v>
      </c>
      <c r="Z1267" s="17" t="s">
        <v>35</v>
      </c>
      <c r="AA1267" s="17" t="s">
        <v>35</v>
      </c>
      <c r="AB1267" s="17" t="s">
        <v>35</v>
      </c>
      <c r="AC1267" s="17" t="s">
        <v>9539</v>
      </c>
      <c r="AD1267" s="42">
        <v>37.65</v>
      </c>
      <c r="AE1267" s="42">
        <v>37.65</v>
      </c>
      <c r="AF1267" s="48"/>
      <c r="AG1267" s="44"/>
      <c r="AH1267" s="7">
        <f t="shared" si="19"/>
        <v>0</v>
      </c>
      <c r="AI1267" s="18"/>
      <c r="AJ1267" s="18"/>
    </row>
    <row r="1268" spans="1:38" ht="26.65" customHeight="1" x14ac:dyDescent="0.25">
      <c r="A1268" s="10" t="s">
        <v>9404</v>
      </c>
      <c r="B1268" s="9" t="s">
        <v>7676</v>
      </c>
      <c r="C1268" s="9" t="s">
        <v>43</v>
      </c>
      <c r="D1268" s="9" t="s">
        <v>5141</v>
      </c>
      <c r="E1268" s="9" t="s">
        <v>35</v>
      </c>
      <c r="F1268" s="9" t="s">
        <v>36</v>
      </c>
      <c r="G1268" s="9">
        <v>5</v>
      </c>
      <c r="H1268" s="9">
        <v>84213990</v>
      </c>
      <c r="I1268" s="11" t="s">
        <v>37</v>
      </c>
      <c r="J1268" s="12">
        <v>1.6500000000000001E-2</v>
      </c>
      <c r="K1268" s="12">
        <v>7.5999999999999998E-2</v>
      </c>
      <c r="L1268" s="12">
        <v>0</v>
      </c>
      <c r="M1268" s="13">
        <v>8003453180635</v>
      </c>
      <c r="N1268" s="14">
        <v>1.014</v>
      </c>
      <c r="O1268" s="14">
        <v>1.1379999999999999</v>
      </c>
      <c r="P1268" s="15">
        <v>45444</v>
      </c>
      <c r="Q1268" s="16" t="s">
        <v>9405</v>
      </c>
      <c r="R1268" s="17" t="s">
        <v>35</v>
      </c>
      <c r="S1268" s="17" t="s">
        <v>9406</v>
      </c>
      <c r="T1268" s="17" t="s">
        <v>9407</v>
      </c>
      <c r="U1268" s="17" t="s">
        <v>9408</v>
      </c>
      <c r="V1268" s="17" t="s">
        <v>35</v>
      </c>
      <c r="W1268" s="17" t="s">
        <v>35</v>
      </c>
      <c r="X1268" s="17" t="s">
        <v>9409</v>
      </c>
      <c r="Y1268" s="17" t="s">
        <v>9410</v>
      </c>
      <c r="Z1268" s="17" t="s">
        <v>35</v>
      </c>
      <c r="AA1268" s="17" t="s">
        <v>35</v>
      </c>
      <c r="AB1268" s="17" t="s">
        <v>35</v>
      </c>
      <c r="AC1268" s="17" t="s">
        <v>9539</v>
      </c>
      <c r="AD1268" s="42">
        <v>98.86</v>
      </c>
      <c r="AE1268" s="42">
        <v>98.86</v>
      </c>
      <c r="AF1268" s="48"/>
      <c r="AG1268" s="44"/>
      <c r="AH1268" s="7">
        <f t="shared" si="19"/>
        <v>0</v>
      </c>
      <c r="AI1268" s="18"/>
      <c r="AJ1268" s="18"/>
    </row>
    <row r="1269" spans="1:38" ht="26.65" customHeight="1" x14ac:dyDescent="0.25">
      <c r="A1269" s="10" t="s">
        <v>7768</v>
      </c>
      <c r="B1269" s="9" t="s">
        <v>7676</v>
      </c>
      <c r="C1269" s="9" t="s">
        <v>43</v>
      </c>
      <c r="D1269" s="9" t="s">
        <v>5141</v>
      </c>
      <c r="E1269" s="9" t="s">
        <v>35</v>
      </c>
      <c r="F1269" s="9" t="s">
        <v>36</v>
      </c>
      <c r="G1269" s="9">
        <v>6</v>
      </c>
      <c r="H1269" s="9">
        <v>84213990</v>
      </c>
      <c r="I1269" s="11" t="s">
        <v>37</v>
      </c>
      <c r="J1269" s="12">
        <v>1.6500000000000001E-2</v>
      </c>
      <c r="K1269" s="12">
        <v>7.5999999999999998E-2</v>
      </c>
      <c r="L1269" s="12">
        <v>0</v>
      </c>
      <c r="M1269" s="13">
        <v>8003453180659</v>
      </c>
      <c r="N1269" s="14">
        <v>0.20200000000000001</v>
      </c>
      <c r="O1269" s="14">
        <v>0.29699999999999999</v>
      </c>
      <c r="P1269" s="15">
        <v>44501</v>
      </c>
      <c r="Q1269" s="16" t="s">
        <v>7769</v>
      </c>
      <c r="R1269" s="17" t="s">
        <v>7770</v>
      </c>
      <c r="S1269" s="17" t="s">
        <v>7771</v>
      </c>
      <c r="T1269" s="17" t="s">
        <v>7772</v>
      </c>
      <c r="U1269" s="17" t="s">
        <v>7773</v>
      </c>
      <c r="V1269" s="17" t="s">
        <v>35</v>
      </c>
      <c r="W1269" s="17" t="s">
        <v>35</v>
      </c>
      <c r="X1269" s="17" t="s">
        <v>7774</v>
      </c>
      <c r="Y1269" s="17" t="s">
        <v>7775</v>
      </c>
      <c r="Z1269" s="17" t="s">
        <v>35</v>
      </c>
      <c r="AA1269" s="17" t="s">
        <v>35</v>
      </c>
      <c r="AB1269" s="17" t="s">
        <v>35</v>
      </c>
      <c r="AC1269" s="17" t="s">
        <v>9539</v>
      </c>
      <c r="AD1269" s="41">
        <v>19.940000000000001</v>
      </c>
      <c r="AE1269" s="41">
        <v>19.940000000000001</v>
      </c>
      <c r="AF1269" s="48"/>
      <c r="AG1269" s="44"/>
      <c r="AH1269" s="7">
        <f t="shared" si="19"/>
        <v>0</v>
      </c>
      <c r="AI1269" s="18"/>
      <c r="AJ1269" s="18"/>
      <c r="AL1269" s="18"/>
    </row>
    <row r="1270" spans="1:38" ht="26.65" customHeight="1" x14ac:dyDescent="0.25">
      <c r="A1270" s="10" t="s">
        <v>7776</v>
      </c>
      <c r="B1270" s="9" t="s">
        <v>7676</v>
      </c>
      <c r="C1270" s="9" t="s">
        <v>43</v>
      </c>
      <c r="D1270" s="9" t="s">
        <v>5141</v>
      </c>
      <c r="E1270" s="9" t="s">
        <v>35</v>
      </c>
      <c r="F1270" s="9" t="s">
        <v>36</v>
      </c>
      <c r="G1270" s="9">
        <v>5</v>
      </c>
      <c r="H1270" s="9">
        <v>84213990</v>
      </c>
      <c r="I1270" s="11" t="s">
        <v>37</v>
      </c>
      <c r="J1270" s="12">
        <v>1.6500000000000001E-2</v>
      </c>
      <c r="K1270" s="12">
        <v>7.5999999999999998E-2</v>
      </c>
      <c r="L1270" s="12">
        <v>0</v>
      </c>
      <c r="M1270" s="13">
        <v>8003453180697</v>
      </c>
      <c r="N1270" s="14">
        <v>0.31</v>
      </c>
      <c r="O1270" s="14">
        <v>0.41699999999999998</v>
      </c>
      <c r="P1270" s="15" t="s">
        <v>35</v>
      </c>
      <c r="Q1270" s="16" t="s">
        <v>7777</v>
      </c>
      <c r="R1270" s="17" t="s">
        <v>35</v>
      </c>
      <c r="S1270" s="17" t="s">
        <v>7778</v>
      </c>
      <c r="T1270" s="17" t="s">
        <v>7779</v>
      </c>
      <c r="U1270" s="17" t="s">
        <v>7780</v>
      </c>
      <c r="V1270" s="17" t="s">
        <v>35</v>
      </c>
      <c r="W1270" s="17" t="s">
        <v>35</v>
      </c>
      <c r="X1270" s="17" t="s">
        <v>7781</v>
      </c>
      <c r="Y1270" s="17" t="s">
        <v>7782</v>
      </c>
      <c r="Z1270" s="17" t="s">
        <v>35</v>
      </c>
      <c r="AA1270" s="17" t="s">
        <v>35</v>
      </c>
      <c r="AB1270" s="17" t="s">
        <v>35</v>
      </c>
      <c r="AC1270" s="17" t="s">
        <v>9539</v>
      </c>
      <c r="AD1270" s="41">
        <v>27.87</v>
      </c>
      <c r="AE1270" s="41">
        <v>27.87</v>
      </c>
      <c r="AF1270" s="48"/>
      <c r="AG1270" s="44"/>
      <c r="AH1270" s="7">
        <f t="shared" si="19"/>
        <v>0</v>
      </c>
      <c r="AI1270" s="18"/>
      <c r="AJ1270" s="18"/>
      <c r="AL1270" s="18"/>
    </row>
    <row r="1271" spans="1:38" ht="26.65" customHeight="1" x14ac:dyDescent="0.25">
      <c r="A1271" s="10" t="s">
        <v>7783</v>
      </c>
      <c r="B1271" s="9" t="s">
        <v>7676</v>
      </c>
      <c r="C1271" s="9" t="s">
        <v>43</v>
      </c>
      <c r="D1271" s="9" t="s">
        <v>5141</v>
      </c>
      <c r="E1271" s="9" t="s">
        <v>35</v>
      </c>
      <c r="F1271" s="9" t="s">
        <v>36</v>
      </c>
      <c r="G1271" s="9">
        <v>5</v>
      </c>
      <c r="H1271" s="9">
        <v>84213990</v>
      </c>
      <c r="I1271" s="11" t="s">
        <v>37</v>
      </c>
      <c r="J1271" s="12">
        <v>1.6500000000000001E-2</v>
      </c>
      <c r="K1271" s="12">
        <v>7.5999999999999998E-2</v>
      </c>
      <c r="L1271" s="12">
        <v>0</v>
      </c>
      <c r="M1271" s="13">
        <v>8003453180703</v>
      </c>
      <c r="N1271" s="14">
        <v>0.25</v>
      </c>
      <c r="O1271" s="14">
        <v>0.34200000000000003</v>
      </c>
      <c r="P1271" s="15" t="s">
        <v>35</v>
      </c>
      <c r="Q1271" s="16" t="s">
        <v>7784</v>
      </c>
      <c r="R1271" s="17" t="s">
        <v>35</v>
      </c>
      <c r="S1271" s="17" t="s">
        <v>7785</v>
      </c>
      <c r="T1271" s="17" t="s">
        <v>7786</v>
      </c>
      <c r="U1271" s="17" t="s">
        <v>7787</v>
      </c>
      <c r="V1271" s="17" t="s">
        <v>35</v>
      </c>
      <c r="W1271" s="17" t="s">
        <v>35</v>
      </c>
      <c r="X1271" s="17" t="s">
        <v>7788</v>
      </c>
      <c r="Y1271" s="17" t="s">
        <v>7789</v>
      </c>
      <c r="Z1271" s="17" t="s">
        <v>7790</v>
      </c>
      <c r="AA1271" s="17" t="s">
        <v>35</v>
      </c>
      <c r="AB1271" s="17" t="s">
        <v>35</v>
      </c>
      <c r="AC1271" s="17" t="s">
        <v>9539</v>
      </c>
      <c r="AD1271" s="41">
        <v>26.63</v>
      </c>
      <c r="AE1271" s="41">
        <v>26.63</v>
      </c>
      <c r="AF1271" s="48"/>
      <c r="AG1271" s="44"/>
      <c r="AH1271" s="7">
        <f t="shared" si="19"/>
        <v>0</v>
      </c>
      <c r="AI1271" s="18"/>
      <c r="AJ1271" s="18"/>
    </row>
    <row r="1272" spans="1:38" ht="26.65" customHeight="1" x14ac:dyDescent="0.25">
      <c r="A1272" s="10" t="s">
        <v>7791</v>
      </c>
      <c r="B1272" s="9" t="s">
        <v>7676</v>
      </c>
      <c r="C1272" s="9" t="s">
        <v>43</v>
      </c>
      <c r="D1272" s="9" t="s">
        <v>5141</v>
      </c>
      <c r="E1272" s="9" t="s">
        <v>35</v>
      </c>
      <c r="F1272" s="9" t="s">
        <v>36</v>
      </c>
      <c r="G1272" s="9">
        <v>5</v>
      </c>
      <c r="H1272" s="9">
        <v>84213990</v>
      </c>
      <c r="I1272" s="11" t="s">
        <v>37</v>
      </c>
      <c r="J1272" s="12">
        <v>1.6500000000000001E-2</v>
      </c>
      <c r="K1272" s="12">
        <v>7.5999999999999998E-2</v>
      </c>
      <c r="L1272" s="12">
        <v>0</v>
      </c>
      <c r="M1272" s="13">
        <v>8003453180710</v>
      </c>
      <c r="N1272" s="14">
        <v>0.314</v>
      </c>
      <c r="O1272" s="14">
        <v>0.40300000000000002</v>
      </c>
      <c r="P1272" s="15">
        <v>44531</v>
      </c>
      <c r="Q1272" s="16" t="s">
        <v>7792</v>
      </c>
      <c r="R1272" s="17" t="s">
        <v>7793</v>
      </c>
      <c r="S1272" s="17" t="s">
        <v>7794</v>
      </c>
      <c r="T1272" s="17" t="s">
        <v>7795</v>
      </c>
      <c r="U1272" s="17" t="s">
        <v>7796</v>
      </c>
      <c r="V1272" s="17" t="s">
        <v>35</v>
      </c>
      <c r="W1272" s="17" t="s">
        <v>35</v>
      </c>
      <c r="X1272" s="17" t="s">
        <v>7797</v>
      </c>
      <c r="Y1272" s="17" t="s">
        <v>35</v>
      </c>
      <c r="Z1272" s="17" t="s">
        <v>35</v>
      </c>
      <c r="AA1272" s="17" t="s">
        <v>35</v>
      </c>
      <c r="AB1272" s="17" t="s">
        <v>35</v>
      </c>
      <c r="AC1272" s="17" t="s">
        <v>9539</v>
      </c>
      <c r="AD1272" s="41">
        <v>24.9</v>
      </c>
      <c r="AE1272" s="41">
        <v>24.9</v>
      </c>
      <c r="AF1272" s="48"/>
      <c r="AG1272" s="44"/>
      <c r="AH1272" s="7">
        <f t="shared" si="19"/>
        <v>0</v>
      </c>
      <c r="AI1272" s="18"/>
      <c r="AJ1272" s="18"/>
      <c r="AL1272" s="18"/>
    </row>
    <row r="1273" spans="1:38" ht="26.65" customHeight="1" x14ac:dyDescent="0.25">
      <c r="A1273" s="10" t="s">
        <v>7798</v>
      </c>
      <c r="B1273" s="9" t="s">
        <v>7676</v>
      </c>
      <c r="C1273" s="9" t="s">
        <v>43</v>
      </c>
      <c r="D1273" s="9" t="s">
        <v>5141</v>
      </c>
      <c r="E1273" s="9" t="s">
        <v>35</v>
      </c>
      <c r="F1273" s="9" t="s">
        <v>36</v>
      </c>
      <c r="G1273" s="9">
        <v>5</v>
      </c>
      <c r="H1273" s="9">
        <v>84213990</v>
      </c>
      <c r="I1273" s="11" t="s">
        <v>37</v>
      </c>
      <c r="J1273" s="12">
        <v>1.6500000000000001E-2</v>
      </c>
      <c r="K1273" s="12">
        <v>7.5999999999999998E-2</v>
      </c>
      <c r="L1273" s="12">
        <v>0</v>
      </c>
      <c r="M1273" s="13">
        <v>8003453180727</v>
      </c>
      <c r="N1273" s="14">
        <v>0.16</v>
      </c>
      <c r="O1273" s="14">
        <v>0.245</v>
      </c>
      <c r="P1273" s="15" t="s">
        <v>35</v>
      </c>
      <c r="Q1273" s="16" t="s">
        <v>7799</v>
      </c>
      <c r="R1273" s="17" t="s">
        <v>35</v>
      </c>
      <c r="S1273" s="17" t="s">
        <v>7800</v>
      </c>
      <c r="T1273" s="17" t="s">
        <v>7801</v>
      </c>
      <c r="U1273" s="17" t="s">
        <v>7802</v>
      </c>
      <c r="V1273" s="17" t="s">
        <v>35</v>
      </c>
      <c r="W1273" s="17" t="s">
        <v>35</v>
      </c>
      <c r="X1273" s="17" t="s">
        <v>7803</v>
      </c>
      <c r="Y1273" s="17" t="s">
        <v>7804</v>
      </c>
      <c r="Z1273" s="17" t="s">
        <v>35</v>
      </c>
      <c r="AA1273" s="17" t="s">
        <v>35</v>
      </c>
      <c r="AB1273" s="17" t="s">
        <v>35</v>
      </c>
      <c r="AC1273" s="17" t="s">
        <v>9539</v>
      </c>
      <c r="AD1273" s="41">
        <v>74.040000000000006</v>
      </c>
      <c r="AE1273" s="41">
        <v>74.040000000000006</v>
      </c>
      <c r="AF1273" s="48"/>
      <c r="AG1273" s="44"/>
      <c r="AH1273" s="7">
        <f t="shared" si="19"/>
        <v>0</v>
      </c>
      <c r="AI1273" s="18"/>
      <c r="AJ1273" s="18"/>
      <c r="AL1273" s="18"/>
    </row>
    <row r="1274" spans="1:38" ht="26.65" customHeight="1" x14ac:dyDescent="0.25">
      <c r="A1274" s="10" t="s">
        <v>7805</v>
      </c>
      <c r="B1274" s="9" t="s">
        <v>7676</v>
      </c>
      <c r="C1274" s="9" t="s">
        <v>43</v>
      </c>
      <c r="D1274" s="9" t="s">
        <v>5141</v>
      </c>
      <c r="E1274" s="9" t="s">
        <v>35</v>
      </c>
      <c r="F1274" s="9" t="s">
        <v>36</v>
      </c>
      <c r="G1274" s="9">
        <v>5</v>
      </c>
      <c r="H1274" s="9">
        <v>84213990</v>
      </c>
      <c r="I1274" s="11" t="s">
        <v>37</v>
      </c>
      <c r="J1274" s="12">
        <v>1.6500000000000001E-2</v>
      </c>
      <c r="K1274" s="12">
        <v>7.5999999999999998E-2</v>
      </c>
      <c r="L1274" s="12">
        <v>0</v>
      </c>
      <c r="M1274" s="13">
        <v>8003453180758</v>
      </c>
      <c r="N1274" s="14">
        <v>0.51</v>
      </c>
      <c r="O1274" s="14">
        <v>1.1200000000000001</v>
      </c>
      <c r="P1274" s="15" t="s">
        <v>35</v>
      </c>
      <c r="Q1274" s="16" t="s">
        <v>7425</v>
      </c>
      <c r="R1274" s="17" t="s">
        <v>35</v>
      </c>
      <c r="S1274" s="17" t="s">
        <v>7806</v>
      </c>
      <c r="T1274" s="17" t="s">
        <v>7807</v>
      </c>
      <c r="U1274" s="17" t="s">
        <v>7808</v>
      </c>
      <c r="V1274" s="17" t="s">
        <v>35</v>
      </c>
      <c r="W1274" s="17" t="s">
        <v>35</v>
      </c>
      <c r="X1274" s="17" t="s">
        <v>7428</v>
      </c>
      <c r="Y1274" s="17" t="s">
        <v>7809</v>
      </c>
      <c r="Z1274" s="17" t="s">
        <v>35</v>
      </c>
      <c r="AA1274" s="17" t="s">
        <v>35</v>
      </c>
      <c r="AB1274" s="17" t="s">
        <v>35</v>
      </c>
      <c r="AC1274" s="17" t="s">
        <v>9539</v>
      </c>
      <c r="AD1274" s="42">
        <v>28.59</v>
      </c>
      <c r="AE1274" s="42">
        <v>28.59</v>
      </c>
      <c r="AF1274" s="48"/>
      <c r="AG1274" s="44"/>
      <c r="AH1274" s="7">
        <f t="shared" si="19"/>
        <v>0</v>
      </c>
      <c r="AI1274" s="18"/>
      <c r="AJ1274" s="18"/>
    </row>
    <row r="1275" spans="1:38" ht="26.65" customHeight="1" x14ac:dyDescent="0.25">
      <c r="A1275" s="10" t="s">
        <v>7810</v>
      </c>
      <c r="B1275" s="9" t="s">
        <v>7676</v>
      </c>
      <c r="C1275" s="9" t="s">
        <v>43</v>
      </c>
      <c r="D1275" s="9" t="s">
        <v>5141</v>
      </c>
      <c r="E1275" s="9" t="s">
        <v>35</v>
      </c>
      <c r="F1275" s="9" t="s">
        <v>36</v>
      </c>
      <c r="G1275" s="9">
        <v>5</v>
      </c>
      <c r="H1275" s="9">
        <v>84213990</v>
      </c>
      <c r="I1275" s="11" t="s">
        <v>37</v>
      </c>
      <c r="J1275" s="12">
        <v>1.6500000000000001E-2</v>
      </c>
      <c r="K1275" s="12">
        <v>7.5999999999999998E-2</v>
      </c>
      <c r="L1275" s="12">
        <v>0</v>
      </c>
      <c r="M1275" s="13">
        <v>8003453180765</v>
      </c>
      <c r="N1275" s="14">
        <v>0.24</v>
      </c>
      <c r="O1275" s="14">
        <v>0.38700000000000001</v>
      </c>
      <c r="P1275" s="15">
        <v>44986</v>
      </c>
      <c r="Q1275" s="16" t="s">
        <v>7811</v>
      </c>
      <c r="R1275" s="17" t="s">
        <v>35</v>
      </c>
      <c r="S1275" s="17" t="s">
        <v>7812</v>
      </c>
      <c r="T1275" s="17" t="s">
        <v>7813</v>
      </c>
      <c r="U1275" s="17" t="s">
        <v>7814</v>
      </c>
      <c r="V1275" s="17" t="s">
        <v>35</v>
      </c>
      <c r="W1275" s="17" t="s">
        <v>35</v>
      </c>
      <c r="X1275" s="17" t="s">
        <v>7815</v>
      </c>
      <c r="Y1275" s="17" t="s">
        <v>7816</v>
      </c>
      <c r="Z1275" s="17" t="s">
        <v>35</v>
      </c>
      <c r="AA1275" s="17" t="s">
        <v>35</v>
      </c>
      <c r="AB1275" s="17" t="s">
        <v>35</v>
      </c>
      <c r="AC1275" s="17" t="s">
        <v>9539</v>
      </c>
      <c r="AD1275" s="42">
        <v>46.34</v>
      </c>
      <c r="AE1275" s="42">
        <v>46.34</v>
      </c>
      <c r="AF1275" s="48"/>
      <c r="AG1275" s="44"/>
      <c r="AH1275" s="7">
        <f t="shared" si="19"/>
        <v>0</v>
      </c>
      <c r="AI1275" s="18"/>
      <c r="AJ1275" s="18"/>
    </row>
    <row r="1276" spans="1:38" ht="26.65" customHeight="1" x14ac:dyDescent="0.25">
      <c r="A1276" s="10" t="s">
        <v>7817</v>
      </c>
      <c r="B1276" s="9" t="s">
        <v>7676</v>
      </c>
      <c r="C1276" s="9" t="s">
        <v>43</v>
      </c>
      <c r="D1276" s="9" t="s">
        <v>5141</v>
      </c>
      <c r="E1276" s="9" t="s">
        <v>35</v>
      </c>
      <c r="F1276" s="9" t="s">
        <v>36</v>
      </c>
      <c r="G1276" s="9">
        <v>5</v>
      </c>
      <c r="H1276" s="9">
        <v>84213990</v>
      </c>
      <c r="I1276" s="11" t="s">
        <v>37</v>
      </c>
      <c r="J1276" s="12">
        <v>1.6500000000000001E-2</v>
      </c>
      <c r="K1276" s="12">
        <v>7.5999999999999998E-2</v>
      </c>
      <c r="L1276" s="12">
        <v>0</v>
      </c>
      <c r="M1276" s="13">
        <v>8003453180802</v>
      </c>
      <c r="N1276" s="14">
        <v>0.113</v>
      </c>
      <c r="O1276" s="14">
        <v>0.17399999999999999</v>
      </c>
      <c r="P1276" s="15" t="s">
        <v>35</v>
      </c>
      <c r="Q1276" s="16" t="s">
        <v>7818</v>
      </c>
      <c r="R1276" s="17" t="s">
        <v>35</v>
      </c>
      <c r="S1276" s="17" t="s">
        <v>7819</v>
      </c>
      <c r="T1276" s="17" t="s">
        <v>7820</v>
      </c>
      <c r="U1276" s="17" t="s">
        <v>7821</v>
      </c>
      <c r="V1276" s="17" t="s">
        <v>35</v>
      </c>
      <c r="W1276" s="17" t="s">
        <v>35</v>
      </c>
      <c r="X1276" s="17" t="s">
        <v>7822</v>
      </c>
      <c r="Y1276" s="17" t="s">
        <v>7823</v>
      </c>
      <c r="Z1276" s="17" t="s">
        <v>35</v>
      </c>
      <c r="AA1276" s="17" t="s">
        <v>35</v>
      </c>
      <c r="AB1276" s="17" t="s">
        <v>35</v>
      </c>
      <c r="AC1276" s="17" t="s">
        <v>9539</v>
      </c>
      <c r="AD1276" s="41">
        <v>24.35</v>
      </c>
      <c r="AE1276" s="41">
        <v>24.35</v>
      </c>
      <c r="AF1276" s="48"/>
      <c r="AG1276" s="44"/>
      <c r="AH1276" s="7">
        <f t="shared" si="19"/>
        <v>0</v>
      </c>
      <c r="AI1276" s="18"/>
      <c r="AJ1276" s="18"/>
    </row>
    <row r="1277" spans="1:38" ht="26.65" customHeight="1" x14ac:dyDescent="0.25">
      <c r="A1277" s="10" t="s">
        <v>7824</v>
      </c>
      <c r="B1277" s="9" t="s">
        <v>7676</v>
      </c>
      <c r="C1277" s="9" t="s">
        <v>43</v>
      </c>
      <c r="D1277" s="9" t="s">
        <v>5141</v>
      </c>
      <c r="E1277" s="9" t="s">
        <v>35</v>
      </c>
      <c r="F1277" s="9" t="s">
        <v>36</v>
      </c>
      <c r="G1277" s="9">
        <v>5</v>
      </c>
      <c r="H1277" s="9">
        <v>84213990</v>
      </c>
      <c r="I1277" s="11" t="s">
        <v>37</v>
      </c>
      <c r="J1277" s="12">
        <v>1.6500000000000001E-2</v>
      </c>
      <c r="K1277" s="12">
        <v>7.5999999999999998E-2</v>
      </c>
      <c r="L1277" s="12">
        <v>0</v>
      </c>
      <c r="M1277" s="13">
        <v>8003453180819</v>
      </c>
      <c r="N1277" s="14">
        <v>0.26</v>
      </c>
      <c r="O1277" s="14">
        <v>0.34899999999999998</v>
      </c>
      <c r="P1277" s="15">
        <v>44501</v>
      </c>
      <c r="Q1277" s="16" t="s">
        <v>7825</v>
      </c>
      <c r="R1277" s="17" t="s">
        <v>7826</v>
      </c>
      <c r="S1277" s="17" t="s">
        <v>7827</v>
      </c>
      <c r="T1277" s="17" t="s">
        <v>7828</v>
      </c>
      <c r="U1277" s="17" t="s">
        <v>35</v>
      </c>
      <c r="V1277" s="17" t="s">
        <v>7829</v>
      </c>
      <c r="W1277" s="17" t="s">
        <v>35</v>
      </c>
      <c r="X1277" s="17" t="s">
        <v>35</v>
      </c>
      <c r="Y1277" s="17" t="s">
        <v>7830</v>
      </c>
      <c r="Z1277" s="17" t="s">
        <v>35</v>
      </c>
      <c r="AA1277" s="17" t="s">
        <v>35</v>
      </c>
      <c r="AB1277" s="17" t="s">
        <v>35</v>
      </c>
      <c r="AC1277" s="17" t="s">
        <v>9539</v>
      </c>
      <c r="AD1277" s="41">
        <v>21.01</v>
      </c>
      <c r="AE1277" s="41">
        <v>21.01</v>
      </c>
      <c r="AF1277" s="48"/>
      <c r="AG1277" s="44"/>
      <c r="AH1277" s="7">
        <f t="shared" si="19"/>
        <v>0</v>
      </c>
      <c r="AI1277" s="18"/>
      <c r="AJ1277" s="18"/>
      <c r="AL1277" s="18"/>
    </row>
    <row r="1278" spans="1:38" ht="26.65" customHeight="1" x14ac:dyDescent="0.25">
      <c r="A1278" s="10" t="s">
        <v>7831</v>
      </c>
      <c r="B1278" s="9" t="s">
        <v>7676</v>
      </c>
      <c r="C1278" s="9" t="s">
        <v>43</v>
      </c>
      <c r="D1278" s="9" t="s">
        <v>5141</v>
      </c>
      <c r="E1278" s="9" t="s">
        <v>35</v>
      </c>
      <c r="F1278" s="9" t="s">
        <v>36</v>
      </c>
      <c r="G1278" s="9">
        <v>5</v>
      </c>
      <c r="H1278" s="9">
        <v>84213990</v>
      </c>
      <c r="I1278" s="11" t="s">
        <v>37</v>
      </c>
      <c r="J1278" s="12">
        <v>1.6500000000000001E-2</v>
      </c>
      <c r="K1278" s="12">
        <v>7.5999999999999998E-2</v>
      </c>
      <c r="L1278" s="12">
        <v>0</v>
      </c>
      <c r="M1278" s="13">
        <v>8003453180833</v>
      </c>
      <c r="N1278" s="14">
        <v>0.11</v>
      </c>
      <c r="O1278" s="14">
        <v>0.19</v>
      </c>
      <c r="P1278" s="15" t="s">
        <v>35</v>
      </c>
      <c r="Q1278" s="16" t="s">
        <v>7256</v>
      </c>
      <c r="R1278" s="17" t="s">
        <v>35</v>
      </c>
      <c r="S1278" s="17" t="s">
        <v>7832</v>
      </c>
      <c r="T1278" s="17" t="s">
        <v>7833</v>
      </c>
      <c r="U1278" s="17" t="s">
        <v>7259</v>
      </c>
      <c r="V1278" s="17" t="s">
        <v>35</v>
      </c>
      <c r="W1278" s="17" t="s">
        <v>35</v>
      </c>
      <c r="X1278" s="17" t="s">
        <v>7834</v>
      </c>
      <c r="Y1278" s="17" t="s">
        <v>7835</v>
      </c>
      <c r="Z1278" s="17" t="s">
        <v>35</v>
      </c>
      <c r="AA1278" s="17" t="s">
        <v>35</v>
      </c>
      <c r="AB1278" s="17" t="s">
        <v>35</v>
      </c>
      <c r="AC1278" s="17" t="s">
        <v>9539</v>
      </c>
      <c r="AD1278" s="41">
        <v>44.41</v>
      </c>
      <c r="AE1278" s="41">
        <v>44.41</v>
      </c>
      <c r="AF1278" s="48"/>
      <c r="AG1278" s="44"/>
      <c r="AH1278" s="7">
        <f t="shared" si="19"/>
        <v>0</v>
      </c>
      <c r="AI1278" s="18"/>
      <c r="AJ1278" s="18"/>
    </row>
    <row r="1279" spans="1:38" ht="26.65" customHeight="1" x14ac:dyDescent="0.25">
      <c r="A1279" s="10" t="s">
        <v>7836</v>
      </c>
      <c r="B1279" s="9" t="s">
        <v>7676</v>
      </c>
      <c r="C1279" s="9" t="s">
        <v>43</v>
      </c>
      <c r="D1279" s="9" t="s">
        <v>5141</v>
      </c>
      <c r="E1279" s="9" t="s">
        <v>35</v>
      </c>
      <c r="F1279" s="9" t="s">
        <v>36</v>
      </c>
      <c r="G1279" s="9">
        <v>5</v>
      </c>
      <c r="H1279" s="9">
        <v>84213990</v>
      </c>
      <c r="I1279" s="11" t="s">
        <v>37</v>
      </c>
      <c r="J1279" s="12">
        <v>1.6500000000000001E-2</v>
      </c>
      <c r="K1279" s="12">
        <v>7.5999999999999998E-2</v>
      </c>
      <c r="L1279" s="12">
        <v>0</v>
      </c>
      <c r="M1279" s="13">
        <v>8003453180857</v>
      </c>
      <c r="N1279" s="14">
        <v>0.442</v>
      </c>
      <c r="O1279" s="14">
        <v>0.77800000000000002</v>
      </c>
      <c r="P1279" s="15" t="s">
        <v>35</v>
      </c>
      <c r="Q1279" s="16" t="s">
        <v>7837</v>
      </c>
      <c r="R1279" s="17" t="s">
        <v>35</v>
      </c>
      <c r="S1279" s="17" t="s">
        <v>7838</v>
      </c>
      <c r="T1279" s="17" t="s">
        <v>7839</v>
      </c>
      <c r="U1279" s="17" t="s">
        <v>7840</v>
      </c>
      <c r="V1279" s="17" t="s">
        <v>35</v>
      </c>
      <c r="W1279" s="17" t="s">
        <v>35</v>
      </c>
      <c r="X1279" s="17" t="s">
        <v>7841</v>
      </c>
      <c r="Y1279" s="17" t="s">
        <v>7842</v>
      </c>
      <c r="Z1279" s="17" t="s">
        <v>35</v>
      </c>
      <c r="AA1279" s="17" t="s">
        <v>35</v>
      </c>
      <c r="AB1279" s="17" t="s">
        <v>35</v>
      </c>
      <c r="AC1279" s="17" t="s">
        <v>9539</v>
      </c>
      <c r="AD1279" s="42">
        <v>57.19</v>
      </c>
      <c r="AE1279" s="42">
        <v>57.19</v>
      </c>
      <c r="AF1279" s="48"/>
      <c r="AG1279" s="44"/>
      <c r="AH1279" s="7">
        <f t="shared" si="19"/>
        <v>0</v>
      </c>
      <c r="AI1279" s="18"/>
      <c r="AJ1279" s="18"/>
    </row>
    <row r="1280" spans="1:38" ht="26.65" customHeight="1" x14ac:dyDescent="0.25">
      <c r="A1280" s="10" t="s">
        <v>7843</v>
      </c>
      <c r="B1280" s="9" t="s">
        <v>7676</v>
      </c>
      <c r="C1280" s="9" t="s">
        <v>43</v>
      </c>
      <c r="D1280" s="9" t="s">
        <v>5141</v>
      </c>
      <c r="E1280" s="9" t="s">
        <v>35</v>
      </c>
      <c r="F1280" s="9" t="s">
        <v>36</v>
      </c>
      <c r="G1280" s="9">
        <v>5</v>
      </c>
      <c r="H1280" s="9">
        <v>84213990</v>
      </c>
      <c r="I1280" s="11" t="s">
        <v>37</v>
      </c>
      <c r="J1280" s="12">
        <v>1.6500000000000001E-2</v>
      </c>
      <c r="K1280" s="12">
        <v>7.5999999999999998E-2</v>
      </c>
      <c r="L1280" s="12">
        <v>0</v>
      </c>
      <c r="M1280" s="13">
        <v>8003453180895</v>
      </c>
      <c r="N1280" s="14">
        <v>0.15</v>
      </c>
      <c r="O1280" s="14">
        <v>0.23</v>
      </c>
      <c r="P1280" s="15" t="s">
        <v>35</v>
      </c>
      <c r="Q1280" s="16" t="s">
        <v>7844</v>
      </c>
      <c r="R1280" s="17" t="s">
        <v>35</v>
      </c>
      <c r="S1280" s="17" t="s">
        <v>7845</v>
      </c>
      <c r="T1280" s="17" t="s">
        <v>7846</v>
      </c>
      <c r="U1280" s="17" t="s">
        <v>7847</v>
      </c>
      <c r="V1280" s="17" t="s">
        <v>35</v>
      </c>
      <c r="W1280" s="17" t="s">
        <v>35</v>
      </c>
      <c r="X1280" s="17" t="s">
        <v>35</v>
      </c>
      <c r="Y1280" s="17" t="s">
        <v>7848</v>
      </c>
      <c r="Z1280" s="17" t="s">
        <v>35</v>
      </c>
      <c r="AA1280" s="17" t="s">
        <v>35</v>
      </c>
      <c r="AB1280" s="17" t="s">
        <v>35</v>
      </c>
      <c r="AC1280" s="17" t="s">
        <v>9539</v>
      </c>
      <c r="AD1280" s="42">
        <v>29.35</v>
      </c>
      <c r="AE1280" s="42">
        <v>29.35</v>
      </c>
      <c r="AF1280" s="48"/>
      <c r="AG1280" s="44"/>
      <c r="AH1280" s="7">
        <f t="shared" si="19"/>
        <v>0</v>
      </c>
      <c r="AI1280" s="18"/>
      <c r="AJ1280" s="18"/>
    </row>
    <row r="1281" spans="1:38" ht="26.65" customHeight="1" x14ac:dyDescent="0.25">
      <c r="A1281" s="10" t="s">
        <v>7849</v>
      </c>
      <c r="B1281" s="9" t="s">
        <v>7676</v>
      </c>
      <c r="C1281" s="9" t="s">
        <v>43</v>
      </c>
      <c r="D1281" s="9" t="s">
        <v>5141</v>
      </c>
      <c r="E1281" s="9" t="s">
        <v>35</v>
      </c>
      <c r="F1281" s="9" t="s">
        <v>36</v>
      </c>
      <c r="G1281" s="9">
        <v>5</v>
      </c>
      <c r="H1281" s="9">
        <v>84213990</v>
      </c>
      <c r="I1281" s="11" t="s">
        <v>37</v>
      </c>
      <c r="J1281" s="12">
        <v>1.6500000000000001E-2</v>
      </c>
      <c r="K1281" s="12">
        <v>7.5999999999999998E-2</v>
      </c>
      <c r="L1281" s="12">
        <v>0</v>
      </c>
      <c r="M1281" s="13">
        <v>8003453180901</v>
      </c>
      <c r="N1281" s="14">
        <v>0.182</v>
      </c>
      <c r="O1281" s="14">
        <v>0.26200000000000001</v>
      </c>
      <c r="P1281" s="15" t="s">
        <v>35</v>
      </c>
      <c r="Q1281" s="16" t="s">
        <v>5798</v>
      </c>
      <c r="R1281" s="17" t="s">
        <v>35</v>
      </c>
      <c r="S1281" s="17" t="s">
        <v>7850</v>
      </c>
      <c r="T1281" s="17" t="s">
        <v>7851</v>
      </c>
      <c r="U1281" s="17" t="s">
        <v>7852</v>
      </c>
      <c r="V1281" s="17" t="s">
        <v>35</v>
      </c>
      <c r="W1281" s="17" t="s">
        <v>35</v>
      </c>
      <c r="X1281" s="17" t="s">
        <v>7853</v>
      </c>
      <c r="Y1281" s="17" t="s">
        <v>7854</v>
      </c>
      <c r="Z1281" s="17" t="s">
        <v>35</v>
      </c>
      <c r="AA1281" s="17" t="s">
        <v>35</v>
      </c>
      <c r="AB1281" s="17" t="s">
        <v>35</v>
      </c>
      <c r="AC1281" s="17" t="s">
        <v>9539</v>
      </c>
      <c r="AD1281" s="41">
        <v>36</v>
      </c>
      <c r="AE1281" s="41">
        <v>36</v>
      </c>
      <c r="AF1281" s="48"/>
      <c r="AG1281" s="44"/>
      <c r="AH1281" s="7">
        <f t="shared" si="19"/>
        <v>0</v>
      </c>
      <c r="AI1281" s="18"/>
      <c r="AJ1281" s="18"/>
      <c r="AL1281" s="18"/>
    </row>
    <row r="1282" spans="1:38" ht="26.65" customHeight="1" x14ac:dyDescent="0.25">
      <c r="A1282" s="38" t="s">
        <v>7855</v>
      </c>
      <c r="B1282" s="9" t="s">
        <v>7676</v>
      </c>
      <c r="C1282" s="9" t="s">
        <v>43</v>
      </c>
      <c r="D1282" s="9" t="s">
        <v>5141</v>
      </c>
      <c r="E1282" s="9" t="s">
        <v>35</v>
      </c>
      <c r="F1282" s="9" t="s">
        <v>36</v>
      </c>
      <c r="G1282" s="9">
        <v>5</v>
      </c>
      <c r="H1282" s="9">
        <v>84213990</v>
      </c>
      <c r="I1282" s="11" t="s">
        <v>37</v>
      </c>
      <c r="J1282" s="12">
        <v>1.6500000000000001E-2</v>
      </c>
      <c r="K1282" s="12">
        <v>7.5999999999999998E-2</v>
      </c>
      <c r="L1282" s="12">
        <v>0</v>
      </c>
      <c r="M1282" s="13">
        <v>8003453180949</v>
      </c>
      <c r="N1282" s="14">
        <v>0.22</v>
      </c>
      <c r="O1282" s="14">
        <v>0.28999999999999998</v>
      </c>
      <c r="P1282" s="15" t="s">
        <v>35</v>
      </c>
      <c r="Q1282" s="16" t="s">
        <v>7856</v>
      </c>
      <c r="R1282" s="17" t="s">
        <v>35</v>
      </c>
      <c r="S1282" s="17" t="s">
        <v>7857</v>
      </c>
      <c r="T1282" s="17" t="s">
        <v>35</v>
      </c>
      <c r="U1282" s="17" t="s">
        <v>7858</v>
      </c>
      <c r="V1282" s="17" t="s">
        <v>7859</v>
      </c>
      <c r="W1282" s="17" t="s">
        <v>35</v>
      </c>
      <c r="X1282" s="17" t="s">
        <v>7860</v>
      </c>
      <c r="Y1282" s="17" t="s">
        <v>7861</v>
      </c>
      <c r="Z1282" s="17" t="s">
        <v>35</v>
      </c>
      <c r="AA1282" s="17" t="s">
        <v>35</v>
      </c>
      <c r="AB1282" s="17" t="s">
        <v>35</v>
      </c>
      <c r="AC1282" s="17" t="s">
        <v>9538</v>
      </c>
      <c r="AD1282" s="42">
        <v>32.950000000000003</v>
      </c>
      <c r="AE1282" s="42">
        <v>32.950000000000003</v>
      </c>
      <c r="AF1282" s="48"/>
      <c r="AG1282" s="44"/>
      <c r="AH1282" s="7">
        <f t="shared" si="19"/>
        <v>0</v>
      </c>
      <c r="AI1282" s="18"/>
      <c r="AJ1282" s="18"/>
    </row>
    <row r="1283" spans="1:38" ht="26.65" customHeight="1" x14ac:dyDescent="0.25">
      <c r="A1283" s="10" t="s">
        <v>7862</v>
      </c>
      <c r="B1283" s="9" t="s">
        <v>7676</v>
      </c>
      <c r="C1283" s="9" t="s">
        <v>43</v>
      </c>
      <c r="D1283" s="9" t="s">
        <v>5141</v>
      </c>
      <c r="E1283" s="9" t="s">
        <v>35</v>
      </c>
      <c r="F1283" s="9" t="s">
        <v>36</v>
      </c>
      <c r="G1283" s="9">
        <v>5</v>
      </c>
      <c r="H1283" s="9">
        <v>84213990</v>
      </c>
      <c r="I1283" s="11" t="s">
        <v>37</v>
      </c>
      <c r="J1283" s="12">
        <v>1.6500000000000001E-2</v>
      </c>
      <c r="K1283" s="12">
        <v>7.5999999999999998E-2</v>
      </c>
      <c r="L1283" s="12">
        <v>0</v>
      </c>
      <c r="M1283" s="13">
        <v>8003453180970</v>
      </c>
      <c r="N1283" s="14">
        <v>0.124</v>
      </c>
      <c r="O1283" s="14">
        <v>0.20399999999999999</v>
      </c>
      <c r="P1283" s="15" t="s">
        <v>35</v>
      </c>
      <c r="Q1283" s="16" t="s">
        <v>7863</v>
      </c>
      <c r="R1283" s="17" t="s">
        <v>35</v>
      </c>
      <c r="S1283" s="17" t="s">
        <v>7864</v>
      </c>
      <c r="T1283" s="17" t="s">
        <v>7865</v>
      </c>
      <c r="U1283" s="17" t="s">
        <v>7866</v>
      </c>
      <c r="V1283" s="17" t="s">
        <v>35</v>
      </c>
      <c r="W1283" s="17" t="s">
        <v>35</v>
      </c>
      <c r="X1283" s="17" t="s">
        <v>35</v>
      </c>
      <c r="Y1283" s="17" t="s">
        <v>7867</v>
      </c>
      <c r="Z1283" s="17" t="s">
        <v>35</v>
      </c>
      <c r="AA1283" s="17" t="s">
        <v>35</v>
      </c>
      <c r="AB1283" s="17" t="s">
        <v>35</v>
      </c>
      <c r="AC1283" s="17" t="s">
        <v>9539</v>
      </c>
      <c r="AD1283" s="42">
        <v>41.06</v>
      </c>
      <c r="AE1283" s="42">
        <v>41.06</v>
      </c>
      <c r="AF1283" s="48"/>
      <c r="AG1283" s="44"/>
      <c r="AH1283" s="7">
        <f t="shared" si="19"/>
        <v>0</v>
      </c>
      <c r="AI1283" s="18"/>
      <c r="AJ1283" s="18"/>
    </row>
    <row r="1284" spans="1:38" ht="26.65" customHeight="1" x14ac:dyDescent="0.25">
      <c r="A1284" s="10" t="s">
        <v>7868</v>
      </c>
      <c r="B1284" s="9" t="s">
        <v>7676</v>
      </c>
      <c r="C1284" s="9" t="s">
        <v>43</v>
      </c>
      <c r="D1284" s="9" t="s">
        <v>5141</v>
      </c>
      <c r="E1284" s="9" t="s">
        <v>35</v>
      </c>
      <c r="F1284" s="9" t="s">
        <v>36</v>
      </c>
      <c r="G1284" s="9">
        <v>5</v>
      </c>
      <c r="H1284" s="9">
        <v>84213990</v>
      </c>
      <c r="I1284" s="11" t="s">
        <v>37</v>
      </c>
      <c r="J1284" s="12">
        <v>1.6500000000000001E-2</v>
      </c>
      <c r="K1284" s="12">
        <v>7.5999999999999998E-2</v>
      </c>
      <c r="L1284" s="12">
        <v>0</v>
      </c>
      <c r="M1284" s="13">
        <v>8003453180987</v>
      </c>
      <c r="N1284" s="14">
        <v>0.158</v>
      </c>
      <c r="O1284" s="14">
        <v>0.23799999999999999</v>
      </c>
      <c r="P1284" s="15" t="s">
        <v>35</v>
      </c>
      <c r="Q1284" s="16" t="s">
        <v>5902</v>
      </c>
      <c r="R1284" s="17" t="s">
        <v>35</v>
      </c>
      <c r="S1284" s="17" t="s">
        <v>7869</v>
      </c>
      <c r="T1284" s="17" t="s">
        <v>7870</v>
      </c>
      <c r="U1284" s="17" t="s">
        <v>7871</v>
      </c>
      <c r="V1284" s="17" t="s">
        <v>35</v>
      </c>
      <c r="W1284" s="17" t="s">
        <v>35</v>
      </c>
      <c r="X1284" s="17" t="s">
        <v>7872</v>
      </c>
      <c r="Y1284" s="17" t="s">
        <v>7873</v>
      </c>
      <c r="Z1284" s="17" t="s">
        <v>35</v>
      </c>
      <c r="AA1284" s="17" t="s">
        <v>35</v>
      </c>
      <c r="AB1284" s="17" t="s">
        <v>35</v>
      </c>
      <c r="AC1284" s="17" t="s">
        <v>9539</v>
      </c>
      <c r="AD1284" s="41">
        <v>23.14</v>
      </c>
      <c r="AE1284" s="41">
        <v>23.14</v>
      </c>
      <c r="AF1284" s="48"/>
      <c r="AG1284" s="44"/>
      <c r="AH1284" s="7">
        <f t="shared" ref="AH1284:AH1347" si="20">AG1284*AE1284</f>
        <v>0</v>
      </c>
      <c r="AI1284" s="18"/>
      <c r="AJ1284" s="18"/>
      <c r="AL1284" s="18"/>
    </row>
    <row r="1285" spans="1:38" ht="26.65" customHeight="1" x14ac:dyDescent="0.25">
      <c r="A1285" s="38" t="s">
        <v>7874</v>
      </c>
      <c r="B1285" s="9" t="s">
        <v>6924</v>
      </c>
      <c r="C1285" s="9" t="s">
        <v>58</v>
      </c>
      <c r="D1285" s="9" t="s">
        <v>5141</v>
      </c>
      <c r="E1285" s="9" t="s">
        <v>35</v>
      </c>
      <c r="F1285" s="9" t="s">
        <v>36</v>
      </c>
      <c r="G1285" s="9">
        <v>5</v>
      </c>
      <c r="H1285" s="9">
        <v>84213990</v>
      </c>
      <c r="I1285" s="11" t="s">
        <v>37</v>
      </c>
      <c r="J1285" s="12">
        <v>1.6500000000000001E-2</v>
      </c>
      <c r="K1285" s="12">
        <v>7.5999999999999998E-2</v>
      </c>
      <c r="L1285" s="12">
        <v>0</v>
      </c>
      <c r="M1285" s="13">
        <v>8003453180994</v>
      </c>
      <c r="N1285" s="14">
        <v>0.44800000000000001</v>
      </c>
      <c r="O1285" s="14">
        <v>0.57399999999999995</v>
      </c>
      <c r="P1285" s="15">
        <v>45200</v>
      </c>
      <c r="Q1285" s="16" t="s">
        <v>2930</v>
      </c>
      <c r="R1285" s="17" t="s">
        <v>7875</v>
      </c>
      <c r="S1285" s="17" t="s">
        <v>7876</v>
      </c>
      <c r="T1285" s="17" t="s">
        <v>7877</v>
      </c>
      <c r="U1285" s="17" t="s">
        <v>7878</v>
      </c>
      <c r="V1285" s="17" t="s">
        <v>35</v>
      </c>
      <c r="W1285" s="17" t="s">
        <v>35</v>
      </c>
      <c r="X1285" s="17" t="s">
        <v>7879</v>
      </c>
      <c r="Y1285" s="17" t="s">
        <v>35</v>
      </c>
      <c r="Z1285" s="17" t="s">
        <v>7880</v>
      </c>
      <c r="AA1285" s="17" t="s">
        <v>35</v>
      </c>
      <c r="AB1285" s="17" t="s">
        <v>7881</v>
      </c>
      <c r="AC1285" s="17" t="s">
        <v>9538</v>
      </c>
      <c r="AD1285" s="42">
        <v>39.1</v>
      </c>
      <c r="AE1285" s="42">
        <v>39.1</v>
      </c>
      <c r="AF1285" s="48"/>
      <c r="AG1285" s="44"/>
      <c r="AH1285" s="7">
        <f t="shared" si="20"/>
        <v>0</v>
      </c>
      <c r="AI1285" s="18"/>
      <c r="AJ1285" s="18"/>
    </row>
    <row r="1286" spans="1:38" ht="26.65" customHeight="1" x14ac:dyDescent="0.25">
      <c r="A1286" s="10" t="s">
        <v>7882</v>
      </c>
      <c r="B1286" s="9" t="s">
        <v>7676</v>
      </c>
      <c r="C1286" s="9" t="s">
        <v>43</v>
      </c>
      <c r="D1286" s="9" t="s">
        <v>5141</v>
      </c>
      <c r="E1286" s="9" t="s">
        <v>35</v>
      </c>
      <c r="F1286" s="9" t="s">
        <v>36</v>
      </c>
      <c r="G1286" s="9">
        <v>5</v>
      </c>
      <c r="H1286" s="9">
        <v>84213990</v>
      </c>
      <c r="I1286" s="11" t="s">
        <v>37</v>
      </c>
      <c r="J1286" s="12">
        <v>1.6500000000000001E-2</v>
      </c>
      <c r="K1286" s="12">
        <v>7.5999999999999998E-2</v>
      </c>
      <c r="L1286" s="12">
        <v>0</v>
      </c>
      <c r="M1286" s="13">
        <v>8003453181007</v>
      </c>
      <c r="N1286" s="14">
        <v>0.23</v>
      </c>
      <c r="O1286" s="14">
        <v>0.30599999999999999</v>
      </c>
      <c r="P1286" s="15" t="s">
        <v>35</v>
      </c>
      <c r="Q1286" s="16" t="s">
        <v>7883</v>
      </c>
      <c r="R1286" s="17" t="s">
        <v>35</v>
      </c>
      <c r="S1286" s="17" t="s">
        <v>7884</v>
      </c>
      <c r="T1286" s="17" t="s">
        <v>7885</v>
      </c>
      <c r="U1286" s="17" t="s">
        <v>7469</v>
      </c>
      <c r="V1286" s="17" t="s">
        <v>7470</v>
      </c>
      <c r="W1286" s="17" t="s">
        <v>7471</v>
      </c>
      <c r="X1286" s="17" t="s">
        <v>7886</v>
      </c>
      <c r="Y1286" s="17" t="s">
        <v>7887</v>
      </c>
      <c r="Z1286" s="17" t="s">
        <v>35</v>
      </c>
      <c r="AA1286" s="17" t="s">
        <v>35</v>
      </c>
      <c r="AB1286" s="17" t="s">
        <v>35</v>
      </c>
      <c r="AC1286" s="17" t="s">
        <v>9539</v>
      </c>
      <c r="AD1286" s="42">
        <v>26.68</v>
      </c>
      <c r="AE1286" s="42">
        <v>26.68</v>
      </c>
      <c r="AF1286" s="48"/>
      <c r="AG1286" s="44"/>
      <c r="AH1286" s="7">
        <f t="shared" si="20"/>
        <v>0</v>
      </c>
      <c r="AI1286" s="18"/>
      <c r="AJ1286" s="18"/>
    </row>
    <row r="1287" spans="1:38" ht="26.65" customHeight="1" x14ac:dyDescent="0.25">
      <c r="A1287" s="10" t="s">
        <v>7888</v>
      </c>
      <c r="B1287" s="9" t="s">
        <v>7676</v>
      </c>
      <c r="C1287" s="9" t="s">
        <v>43</v>
      </c>
      <c r="D1287" s="9" t="s">
        <v>5141</v>
      </c>
      <c r="E1287" s="9" t="s">
        <v>35</v>
      </c>
      <c r="F1287" s="9" t="s">
        <v>36</v>
      </c>
      <c r="G1287" s="9">
        <v>5</v>
      </c>
      <c r="H1287" s="9">
        <v>84213990</v>
      </c>
      <c r="I1287" s="11" t="s">
        <v>37</v>
      </c>
      <c r="J1287" s="12">
        <v>1.6500000000000001E-2</v>
      </c>
      <c r="K1287" s="12">
        <v>7.5999999999999998E-2</v>
      </c>
      <c r="L1287" s="12">
        <v>0</v>
      </c>
      <c r="M1287" s="13">
        <v>8003453181069</v>
      </c>
      <c r="N1287" s="14">
        <v>0.16</v>
      </c>
      <c r="O1287" s="14">
        <v>0.30499999999999999</v>
      </c>
      <c r="P1287" s="15" t="s">
        <v>35</v>
      </c>
      <c r="Q1287" s="16" t="s">
        <v>7889</v>
      </c>
      <c r="R1287" s="17" t="s">
        <v>35</v>
      </c>
      <c r="S1287" s="17" t="s">
        <v>7890</v>
      </c>
      <c r="T1287" s="17" t="s">
        <v>7891</v>
      </c>
      <c r="U1287" s="17" t="s">
        <v>7892</v>
      </c>
      <c r="V1287" s="17" t="s">
        <v>35</v>
      </c>
      <c r="W1287" s="17" t="s">
        <v>35</v>
      </c>
      <c r="X1287" s="17" t="s">
        <v>7710</v>
      </c>
      <c r="Y1287" s="17" t="s">
        <v>7893</v>
      </c>
      <c r="Z1287" s="17" t="s">
        <v>35</v>
      </c>
      <c r="AA1287" s="17" t="s">
        <v>35</v>
      </c>
      <c r="AB1287" s="17" t="s">
        <v>35</v>
      </c>
      <c r="AC1287" s="17" t="s">
        <v>9539</v>
      </c>
      <c r="AD1287" s="42">
        <v>38.119999999999997</v>
      </c>
      <c r="AE1287" s="42">
        <v>38.119999999999997</v>
      </c>
      <c r="AF1287" s="48"/>
      <c r="AG1287" s="44"/>
      <c r="AH1287" s="7">
        <f t="shared" si="20"/>
        <v>0</v>
      </c>
      <c r="AI1287" s="18"/>
      <c r="AJ1287" s="18"/>
    </row>
    <row r="1288" spans="1:38" ht="26.65" customHeight="1" x14ac:dyDescent="0.25">
      <c r="A1288" s="10" t="s">
        <v>7894</v>
      </c>
      <c r="B1288" s="9" t="s">
        <v>7676</v>
      </c>
      <c r="C1288" s="9" t="s">
        <v>43</v>
      </c>
      <c r="D1288" s="9" t="s">
        <v>5141</v>
      </c>
      <c r="E1288" s="9" t="s">
        <v>35</v>
      </c>
      <c r="F1288" s="9" t="s">
        <v>36</v>
      </c>
      <c r="G1288" s="9">
        <v>5</v>
      </c>
      <c r="H1288" s="9">
        <v>84213990</v>
      </c>
      <c r="I1288" s="11" t="s">
        <v>37</v>
      </c>
      <c r="J1288" s="12">
        <v>1.6500000000000001E-2</v>
      </c>
      <c r="K1288" s="12">
        <v>7.5999999999999998E-2</v>
      </c>
      <c r="L1288" s="12">
        <v>0</v>
      </c>
      <c r="M1288" s="13">
        <v>8003453181151</v>
      </c>
      <c r="N1288" s="14">
        <v>0.26</v>
      </c>
      <c r="O1288" s="14">
        <v>0.34</v>
      </c>
      <c r="P1288" s="15" t="s">
        <v>35</v>
      </c>
      <c r="Q1288" s="16" t="s">
        <v>7895</v>
      </c>
      <c r="R1288" s="17" t="s">
        <v>35</v>
      </c>
      <c r="S1288" s="17" t="s">
        <v>7896</v>
      </c>
      <c r="T1288" s="17" t="s">
        <v>7897</v>
      </c>
      <c r="U1288" s="17" t="s">
        <v>7898</v>
      </c>
      <c r="V1288" s="17" t="s">
        <v>35</v>
      </c>
      <c r="W1288" s="17" t="s">
        <v>35</v>
      </c>
      <c r="X1288" s="17" t="s">
        <v>7899</v>
      </c>
      <c r="Y1288" s="17" t="s">
        <v>7900</v>
      </c>
      <c r="Z1288" s="17" t="s">
        <v>35</v>
      </c>
      <c r="AA1288" s="17" t="s">
        <v>35</v>
      </c>
      <c r="AB1288" s="17" t="s">
        <v>35</v>
      </c>
      <c r="AC1288" s="17" t="s">
        <v>9539</v>
      </c>
      <c r="AD1288" s="42">
        <v>67.77</v>
      </c>
      <c r="AE1288" s="42">
        <v>67.77</v>
      </c>
      <c r="AF1288" s="48"/>
      <c r="AG1288" s="44"/>
      <c r="AH1288" s="7">
        <f t="shared" si="20"/>
        <v>0</v>
      </c>
      <c r="AI1288" s="18"/>
      <c r="AJ1288" s="18"/>
    </row>
    <row r="1289" spans="1:38" ht="26.65" customHeight="1" x14ac:dyDescent="0.25">
      <c r="A1289" s="10" t="s">
        <v>7901</v>
      </c>
      <c r="B1289" s="9" t="s">
        <v>7676</v>
      </c>
      <c r="C1289" s="9" t="s">
        <v>43</v>
      </c>
      <c r="D1289" s="9" t="s">
        <v>5141</v>
      </c>
      <c r="E1289" s="9" t="s">
        <v>35</v>
      </c>
      <c r="F1289" s="9" t="s">
        <v>36</v>
      </c>
      <c r="G1289" s="9">
        <v>5</v>
      </c>
      <c r="H1289" s="9">
        <v>84213990</v>
      </c>
      <c r="I1289" s="11" t="s">
        <v>37</v>
      </c>
      <c r="J1289" s="12">
        <v>1.6500000000000001E-2</v>
      </c>
      <c r="K1289" s="12">
        <v>7.5999999999999998E-2</v>
      </c>
      <c r="L1289" s="12">
        <v>0</v>
      </c>
      <c r="M1289" s="13">
        <v>8003453181090</v>
      </c>
      <c r="N1289" s="14">
        <v>8.4000000000000005E-2</v>
      </c>
      <c r="O1289" s="14">
        <v>0.19400000000000001</v>
      </c>
      <c r="P1289" s="15" t="s">
        <v>35</v>
      </c>
      <c r="Q1289" s="16" t="s">
        <v>7902</v>
      </c>
      <c r="R1289" s="17" t="s">
        <v>35</v>
      </c>
      <c r="S1289" s="17" t="s">
        <v>7903</v>
      </c>
      <c r="T1289" s="17" t="s">
        <v>7904</v>
      </c>
      <c r="U1289" s="17" t="s">
        <v>7905</v>
      </c>
      <c r="V1289" s="17" t="s">
        <v>7906</v>
      </c>
      <c r="W1289" s="17" t="s">
        <v>35</v>
      </c>
      <c r="X1289" s="17" t="s">
        <v>35</v>
      </c>
      <c r="Y1289" s="17" t="s">
        <v>7907</v>
      </c>
      <c r="Z1289" s="17" t="s">
        <v>35</v>
      </c>
      <c r="AA1289" s="17" t="s">
        <v>35</v>
      </c>
      <c r="AB1289" s="17" t="s">
        <v>35</v>
      </c>
      <c r="AC1289" s="17" t="s">
        <v>9539</v>
      </c>
      <c r="AD1289" s="42">
        <v>42.32</v>
      </c>
      <c r="AE1289" s="42">
        <v>42.32</v>
      </c>
      <c r="AF1289" s="48"/>
      <c r="AG1289" s="44"/>
      <c r="AH1289" s="7">
        <f t="shared" si="20"/>
        <v>0</v>
      </c>
      <c r="AI1289" s="18"/>
      <c r="AJ1289" s="18"/>
    </row>
    <row r="1290" spans="1:38" ht="26.65" customHeight="1" x14ac:dyDescent="0.25">
      <c r="A1290" s="10" t="s">
        <v>7908</v>
      </c>
      <c r="B1290" s="9" t="s">
        <v>7676</v>
      </c>
      <c r="C1290" s="9" t="s">
        <v>43</v>
      </c>
      <c r="D1290" s="9" t="s">
        <v>5141</v>
      </c>
      <c r="E1290" s="9" t="s">
        <v>35</v>
      </c>
      <c r="F1290" s="9" t="s">
        <v>36</v>
      </c>
      <c r="G1290" s="9">
        <v>5</v>
      </c>
      <c r="H1290" s="9">
        <v>84213990</v>
      </c>
      <c r="I1290" s="11" t="s">
        <v>37</v>
      </c>
      <c r="J1290" s="12">
        <v>1.6500000000000001E-2</v>
      </c>
      <c r="K1290" s="12">
        <v>7.5999999999999998E-2</v>
      </c>
      <c r="L1290" s="12">
        <v>0</v>
      </c>
      <c r="M1290" s="13">
        <v>8003453181106</v>
      </c>
      <c r="N1290" s="14">
        <v>0.12</v>
      </c>
      <c r="O1290" s="14">
        <v>0.2</v>
      </c>
      <c r="P1290" s="15" t="s">
        <v>35</v>
      </c>
      <c r="Q1290" s="16" t="s">
        <v>7909</v>
      </c>
      <c r="R1290" s="17" t="s">
        <v>35</v>
      </c>
      <c r="S1290" s="17" t="s">
        <v>7910</v>
      </c>
      <c r="T1290" s="17" t="s">
        <v>7911</v>
      </c>
      <c r="U1290" s="17" t="s">
        <v>7912</v>
      </c>
      <c r="V1290" s="17" t="s">
        <v>35</v>
      </c>
      <c r="W1290" s="17" t="s">
        <v>35</v>
      </c>
      <c r="X1290" s="17" t="s">
        <v>7913</v>
      </c>
      <c r="Y1290" s="17" t="s">
        <v>7914</v>
      </c>
      <c r="Z1290" s="17" t="s">
        <v>35</v>
      </c>
      <c r="AA1290" s="17" t="s">
        <v>35</v>
      </c>
      <c r="AB1290" s="17" t="s">
        <v>35</v>
      </c>
      <c r="AC1290" s="17" t="s">
        <v>9539</v>
      </c>
      <c r="AD1290" s="42">
        <v>30.39</v>
      </c>
      <c r="AE1290" s="42">
        <v>30.39</v>
      </c>
      <c r="AF1290" s="48"/>
      <c r="AG1290" s="44"/>
      <c r="AH1290" s="7">
        <f t="shared" si="20"/>
        <v>0</v>
      </c>
      <c r="AI1290" s="18"/>
      <c r="AJ1290" s="18"/>
    </row>
    <row r="1291" spans="1:38" ht="26.65" customHeight="1" x14ac:dyDescent="0.25">
      <c r="A1291" s="38" t="s">
        <v>7915</v>
      </c>
      <c r="B1291" s="9" t="s">
        <v>7676</v>
      </c>
      <c r="C1291" s="9" t="s">
        <v>43</v>
      </c>
      <c r="D1291" s="9" t="s">
        <v>5141</v>
      </c>
      <c r="E1291" s="9" t="s">
        <v>35</v>
      </c>
      <c r="F1291" s="9" t="s">
        <v>36</v>
      </c>
      <c r="G1291" s="9">
        <v>5</v>
      </c>
      <c r="H1291" s="9">
        <v>84213990</v>
      </c>
      <c r="I1291" s="11" t="s">
        <v>37</v>
      </c>
      <c r="J1291" s="12">
        <v>1.6500000000000001E-2</v>
      </c>
      <c r="K1291" s="12">
        <v>7.5999999999999998E-2</v>
      </c>
      <c r="L1291" s="12">
        <v>0</v>
      </c>
      <c r="M1291" s="13">
        <v>8003453181113</v>
      </c>
      <c r="N1291" s="14">
        <v>0.14099999999999999</v>
      </c>
      <c r="O1291" s="14">
        <v>0.26400000000000001</v>
      </c>
      <c r="P1291" s="15">
        <v>44927</v>
      </c>
      <c r="Q1291" s="16" t="s">
        <v>7916</v>
      </c>
      <c r="R1291" s="17" t="s">
        <v>7917</v>
      </c>
      <c r="S1291" s="17" t="s">
        <v>7918</v>
      </c>
      <c r="T1291" s="17" t="s">
        <v>7919</v>
      </c>
      <c r="U1291" s="17" t="s">
        <v>7920</v>
      </c>
      <c r="V1291" s="17" t="s">
        <v>7921</v>
      </c>
      <c r="W1291" s="17" t="s">
        <v>35</v>
      </c>
      <c r="X1291" s="17" t="s">
        <v>7922</v>
      </c>
      <c r="Y1291" s="17" t="s">
        <v>7923</v>
      </c>
      <c r="Z1291" s="17" t="s">
        <v>35</v>
      </c>
      <c r="AA1291" s="17" t="s">
        <v>35</v>
      </c>
      <c r="AB1291" s="17" t="s">
        <v>35</v>
      </c>
      <c r="AC1291" s="17" t="s">
        <v>9538</v>
      </c>
      <c r="AD1291" s="41">
        <v>37.549999999999997</v>
      </c>
      <c r="AE1291" s="41">
        <v>37.549999999999997</v>
      </c>
      <c r="AF1291" s="48"/>
      <c r="AG1291" s="44"/>
      <c r="AH1291" s="7">
        <f t="shared" si="20"/>
        <v>0</v>
      </c>
      <c r="AI1291" s="18"/>
      <c r="AJ1291" s="18"/>
      <c r="AL1291" s="18"/>
    </row>
    <row r="1292" spans="1:38" ht="26.65" customHeight="1" x14ac:dyDescent="0.25">
      <c r="A1292" s="10" t="s">
        <v>7924</v>
      </c>
      <c r="B1292" s="9" t="s">
        <v>7676</v>
      </c>
      <c r="C1292" s="9" t="s">
        <v>43</v>
      </c>
      <c r="D1292" s="9" t="s">
        <v>5141</v>
      </c>
      <c r="E1292" s="9" t="s">
        <v>35</v>
      </c>
      <c r="F1292" s="9" t="s">
        <v>36</v>
      </c>
      <c r="G1292" s="9">
        <v>5</v>
      </c>
      <c r="H1292" s="9">
        <v>84213990</v>
      </c>
      <c r="I1292" s="11" t="s">
        <v>37</v>
      </c>
      <c r="J1292" s="12">
        <v>1.6500000000000001E-2</v>
      </c>
      <c r="K1292" s="12">
        <v>7.5999999999999998E-2</v>
      </c>
      <c r="L1292" s="12">
        <v>0</v>
      </c>
      <c r="M1292" s="13">
        <v>8003453181137</v>
      </c>
      <c r="N1292" s="14">
        <v>0.124</v>
      </c>
      <c r="O1292" s="14">
        <v>0.20399999999999999</v>
      </c>
      <c r="P1292" s="15" t="s">
        <v>35</v>
      </c>
      <c r="Q1292" s="16" t="s">
        <v>7925</v>
      </c>
      <c r="R1292" s="17" t="s">
        <v>35</v>
      </c>
      <c r="S1292" s="17" t="s">
        <v>7926</v>
      </c>
      <c r="T1292" s="17" t="s">
        <v>7927</v>
      </c>
      <c r="U1292" s="17" t="s">
        <v>7928</v>
      </c>
      <c r="V1292" s="17" t="s">
        <v>35</v>
      </c>
      <c r="W1292" s="17" t="s">
        <v>35</v>
      </c>
      <c r="X1292" s="17" t="s">
        <v>7929</v>
      </c>
      <c r="Y1292" s="17" t="s">
        <v>7930</v>
      </c>
      <c r="Z1292" s="17" t="s">
        <v>35</v>
      </c>
      <c r="AA1292" s="17" t="s">
        <v>35</v>
      </c>
      <c r="AB1292" s="17" t="s">
        <v>35</v>
      </c>
      <c r="AC1292" s="17" t="s">
        <v>9539</v>
      </c>
      <c r="AD1292" s="41">
        <v>23.79</v>
      </c>
      <c r="AE1292" s="41">
        <v>23.79</v>
      </c>
      <c r="AF1292" s="48"/>
      <c r="AG1292" s="44"/>
      <c r="AH1292" s="7">
        <f t="shared" si="20"/>
        <v>0</v>
      </c>
      <c r="AI1292" s="18"/>
      <c r="AJ1292" s="18"/>
      <c r="AL1292" s="18"/>
    </row>
    <row r="1293" spans="1:38" ht="26.65" customHeight="1" x14ac:dyDescent="0.25">
      <c r="A1293" s="10" t="s">
        <v>7931</v>
      </c>
      <c r="B1293" s="9" t="s">
        <v>7676</v>
      </c>
      <c r="C1293" s="9" t="s">
        <v>43</v>
      </c>
      <c r="D1293" s="9" t="s">
        <v>5141</v>
      </c>
      <c r="E1293" s="9" t="s">
        <v>35</v>
      </c>
      <c r="F1293" s="9" t="s">
        <v>36</v>
      </c>
      <c r="G1293" s="9">
        <v>5</v>
      </c>
      <c r="H1293" s="9">
        <v>84213990</v>
      </c>
      <c r="I1293" s="11" t="s">
        <v>37</v>
      </c>
      <c r="J1293" s="12">
        <v>1.6500000000000001E-2</v>
      </c>
      <c r="K1293" s="12">
        <v>7.5999999999999998E-2</v>
      </c>
      <c r="L1293" s="12">
        <v>0</v>
      </c>
      <c r="M1293" s="13">
        <v>8003453181182</v>
      </c>
      <c r="N1293" s="14">
        <v>0.11</v>
      </c>
      <c r="O1293" s="14">
        <v>0.19</v>
      </c>
      <c r="P1293" s="15" t="s">
        <v>35</v>
      </c>
      <c r="Q1293" s="16" t="s">
        <v>7417</v>
      </c>
      <c r="R1293" s="17">
        <v>64119237555</v>
      </c>
      <c r="S1293" s="17" t="s">
        <v>7932</v>
      </c>
      <c r="T1293" s="17" t="s">
        <v>7933</v>
      </c>
      <c r="U1293" s="17" t="s">
        <v>7420</v>
      </c>
      <c r="V1293" s="17" t="s">
        <v>35</v>
      </c>
      <c r="W1293" s="17" t="s">
        <v>35</v>
      </c>
      <c r="X1293" s="17" t="s">
        <v>7934</v>
      </c>
      <c r="Y1293" s="17" t="s">
        <v>7935</v>
      </c>
      <c r="Z1293" s="17" t="s">
        <v>35</v>
      </c>
      <c r="AA1293" s="17" t="s">
        <v>35</v>
      </c>
      <c r="AB1293" s="17" t="s">
        <v>35</v>
      </c>
      <c r="AC1293" s="17" t="s">
        <v>9539</v>
      </c>
      <c r="AD1293" s="42">
        <v>46.07</v>
      </c>
      <c r="AE1293" s="42">
        <v>46.07</v>
      </c>
      <c r="AF1293" s="48"/>
      <c r="AG1293" s="44"/>
      <c r="AH1293" s="7">
        <f t="shared" si="20"/>
        <v>0</v>
      </c>
      <c r="AI1293" s="18"/>
      <c r="AJ1293" s="18"/>
    </row>
    <row r="1294" spans="1:38" ht="26.65" customHeight="1" x14ac:dyDescent="0.25">
      <c r="A1294" s="10" t="s">
        <v>10648</v>
      </c>
      <c r="B1294" s="9" t="s">
        <v>7676</v>
      </c>
      <c r="C1294" s="9" t="s">
        <v>43</v>
      </c>
      <c r="D1294" s="9" t="s">
        <v>5141</v>
      </c>
      <c r="E1294" s="9" t="s">
        <v>35</v>
      </c>
      <c r="F1294" s="9" t="s">
        <v>36</v>
      </c>
      <c r="G1294" s="9">
        <v>6</v>
      </c>
      <c r="H1294" s="9">
        <v>84213990</v>
      </c>
      <c r="I1294" s="11" t="s">
        <v>37</v>
      </c>
      <c r="J1294" s="12">
        <v>1.6500000000000001E-2</v>
      </c>
      <c r="K1294" s="12">
        <v>7.5999999999999998E-2</v>
      </c>
      <c r="L1294" s="12">
        <v>0</v>
      </c>
      <c r="M1294" s="13">
        <v>8003453181199</v>
      </c>
      <c r="N1294" s="14">
        <v>0.188</v>
      </c>
      <c r="O1294" s="14">
        <v>0.252</v>
      </c>
      <c r="P1294" s="15">
        <v>45597</v>
      </c>
      <c r="Q1294" s="16" t="s">
        <v>10649</v>
      </c>
      <c r="R1294" s="17" t="s">
        <v>10650</v>
      </c>
      <c r="S1294" s="17" t="s">
        <v>10651</v>
      </c>
      <c r="T1294" s="17" t="s">
        <v>35</v>
      </c>
      <c r="U1294" s="17" t="s">
        <v>35</v>
      </c>
      <c r="V1294" s="17" t="s">
        <v>35</v>
      </c>
      <c r="W1294" s="17" t="s">
        <v>35</v>
      </c>
      <c r="X1294" s="17" t="s">
        <v>35</v>
      </c>
      <c r="Y1294" s="17" t="s">
        <v>35</v>
      </c>
      <c r="Z1294" s="17" t="s">
        <v>35</v>
      </c>
      <c r="AA1294" s="17" t="s">
        <v>35</v>
      </c>
      <c r="AB1294" s="17" t="s">
        <v>35</v>
      </c>
      <c r="AC1294" s="17" t="s">
        <v>9539</v>
      </c>
      <c r="AD1294" s="41">
        <v>19.95</v>
      </c>
      <c r="AE1294" s="41">
        <v>19.95</v>
      </c>
      <c r="AF1294" s="48"/>
      <c r="AG1294" s="44"/>
      <c r="AH1294" s="7">
        <f t="shared" si="20"/>
        <v>0</v>
      </c>
      <c r="AI1294" s="18"/>
      <c r="AJ1294" s="18"/>
    </row>
    <row r="1295" spans="1:38" ht="26.65" customHeight="1" x14ac:dyDescent="0.25">
      <c r="A1295" s="10" t="s">
        <v>7936</v>
      </c>
      <c r="B1295" s="9" t="s">
        <v>7676</v>
      </c>
      <c r="C1295" s="9" t="s">
        <v>43</v>
      </c>
      <c r="D1295" s="9" t="s">
        <v>5141</v>
      </c>
      <c r="E1295" s="9" t="s">
        <v>35</v>
      </c>
      <c r="F1295" s="9" t="s">
        <v>36</v>
      </c>
      <c r="G1295" s="9">
        <v>5</v>
      </c>
      <c r="H1295" s="9">
        <v>84213990</v>
      </c>
      <c r="I1295" s="11" t="s">
        <v>37</v>
      </c>
      <c r="J1295" s="12">
        <v>1.6500000000000001E-2</v>
      </c>
      <c r="K1295" s="12">
        <v>7.5999999999999998E-2</v>
      </c>
      <c r="L1295" s="12">
        <v>0</v>
      </c>
      <c r="M1295" s="13">
        <v>8003453181205</v>
      </c>
      <c r="N1295" s="14">
        <v>0.23100000000000001</v>
      </c>
      <c r="O1295" s="14">
        <v>0.25600000000000001</v>
      </c>
      <c r="P1295" s="15" t="s">
        <v>35</v>
      </c>
      <c r="Q1295" s="16" t="s">
        <v>7937</v>
      </c>
      <c r="R1295" s="17" t="s">
        <v>35</v>
      </c>
      <c r="S1295" s="17" t="s">
        <v>7938</v>
      </c>
      <c r="T1295" s="17" t="s">
        <v>7939</v>
      </c>
      <c r="U1295" s="17" t="s">
        <v>7940</v>
      </c>
      <c r="V1295" s="17" t="s">
        <v>35</v>
      </c>
      <c r="W1295" s="17" t="s">
        <v>35</v>
      </c>
      <c r="X1295" s="17" t="s">
        <v>7941</v>
      </c>
      <c r="Y1295" s="17" t="s">
        <v>7942</v>
      </c>
      <c r="Z1295" s="17" t="s">
        <v>35</v>
      </c>
      <c r="AA1295" s="17" t="s">
        <v>35</v>
      </c>
      <c r="AB1295" s="17" t="s">
        <v>35</v>
      </c>
      <c r="AC1295" s="17" t="s">
        <v>9539</v>
      </c>
      <c r="AD1295" s="41">
        <v>25.68</v>
      </c>
      <c r="AE1295" s="41">
        <v>25.68</v>
      </c>
      <c r="AF1295" s="48"/>
      <c r="AG1295" s="44"/>
      <c r="AH1295" s="7">
        <f t="shared" si="20"/>
        <v>0</v>
      </c>
      <c r="AI1295" s="18"/>
      <c r="AJ1295" s="18"/>
      <c r="AL1295" s="18"/>
    </row>
    <row r="1296" spans="1:38" ht="26.65" customHeight="1" x14ac:dyDescent="0.25">
      <c r="A1296" s="10" t="s">
        <v>7943</v>
      </c>
      <c r="B1296" s="9" t="s">
        <v>7676</v>
      </c>
      <c r="C1296" s="9" t="s">
        <v>43</v>
      </c>
      <c r="D1296" s="9" t="s">
        <v>5141</v>
      </c>
      <c r="E1296" s="9" t="s">
        <v>35</v>
      </c>
      <c r="F1296" s="9" t="s">
        <v>36</v>
      </c>
      <c r="G1296" s="9">
        <v>5</v>
      </c>
      <c r="H1296" s="9">
        <v>84213990</v>
      </c>
      <c r="I1296" s="11" t="s">
        <v>37</v>
      </c>
      <c r="J1296" s="12">
        <v>1.6500000000000001E-2</v>
      </c>
      <c r="K1296" s="12">
        <v>7.5999999999999998E-2</v>
      </c>
      <c r="L1296" s="12">
        <v>0</v>
      </c>
      <c r="M1296" s="13">
        <v>8003453181267</v>
      </c>
      <c r="N1296" s="14">
        <v>0.18</v>
      </c>
      <c r="O1296" s="14">
        <v>0.26</v>
      </c>
      <c r="P1296" s="15">
        <v>44501</v>
      </c>
      <c r="Q1296" s="16" t="s">
        <v>7944</v>
      </c>
      <c r="R1296" s="17" t="s">
        <v>7945</v>
      </c>
      <c r="S1296" s="17" t="s">
        <v>7946</v>
      </c>
      <c r="T1296" s="17" t="s">
        <v>7947</v>
      </c>
      <c r="U1296" s="17" t="s">
        <v>7948</v>
      </c>
      <c r="V1296" s="17" t="s">
        <v>35</v>
      </c>
      <c r="W1296" s="17" t="s">
        <v>35</v>
      </c>
      <c r="X1296" s="17" t="s">
        <v>35</v>
      </c>
      <c r="Y1296" s="17" t="s">
        <v>7949</v>
      </c>
      <c r="Z1296" s="17" t="s">
        <v>35</v>
      </c>
      <c r="AA1296" s="17" t="s">
        <v>35</v>
      </c>
      <c r="AB1296" s="17" t="s">
        <v>35</v>
      </c>
      <c r="AC1296" s="17" t="s">
        <v>9539</v>
      </c>
      <c r="AD1296" s="41">
        <v>61.39</v>
      </c>
      <c r="AE1296" s="41">
        <v>61.39</v>
      </c>
      <c r="AF1296" s="48"/>
      <c r="AG1296" s="44"/>
      <c r="AH1296" s="7">
        <f t="shared" si="20"/>
        <v>0</v>
      </c>
      <c r="AI1296" s="18"/>
      <c r="AJ1296" s="18"/>
      <c r="AL1296" s="18"/>
    </row>
    <row r="1297" spans="1:38" ht="26.65" customHeight="1" x14ac:dyDescent="0.25">
      <c r="A1297" s="10" t="s">
        <v>7950</v>
      </c>
      <c r="B1297" s="9" t="s">
        <v>7676</v>
      </c>
      <c r="C1297" s="9" t="s">
        <v>43</v>
      </c>
      <c r="D1297" s="9" t="s">
        <v>5141</v>
      </c>
      <c r="E1297" s="9" t="s">
        <v>35</v>
      </c>
      <c r="F1297" s="9" t="s">
        <v>36</v>
      </c>
      <c r="G1297" s="9">
        <v>5</v>
      </c>
      <c r="H1297" s="9">
        <v>84213990</v>
      </c>
      <c r="I1297" s="11" t="s">
        <v>37</v>
      </c>
      <c r="J1297" s="12">
        <v>1.6500000000000001E-2</v>
      </c>
      <c r="K1297" s="12">
        <v>7.5999999999999998E-2</v>
      </c>
      <c r="L1297" s="12">
        <v>0</v>
      </c>
      <c r="M1297" s="13">
        <v>8003453181335</v>
      </c>
      <c r="N1297" s="14">
        <v>0.40200000000000002</v>
      </c>
      <c r="O1297" s="14">
        <v>0.54</v>
      </c>
      <c r="P1297" s="15">
        <v>44531</v>
      </c>
      <c r="Q1297" s="16" t="s">
        <v>7951</v>
      </c>
      <c r="R1297" s="17" t="s">
        <v>7952</v>
      </c>
      <c r="S1297" s="17" t="s">
        <v>7953</v>
      </c>
      <c r="T1297" s="17" t="s">
        <v>7954</v>
      </c>
      <c r="U1297" s="17" t="s">
        <v>7955</v>
      </c>
      <c r="V1297" s="17" t="s">
        <v>35</v>
      </c>
      <c r="W1297" s="17" t="s">
        <v>35</v>
      </c>
      <c r="X1297" s="17" t="s">
        <v>7956</v>
      </c>
      <c r="Y1297" s="17" t="s">
        <v>7957</v>
      </c>
      <c r="Z1297" s="17" t="s">
        <v>35</v>
      </c>
      <c r="AA1297" s="17" t="s">
        <v>35</v>
      </c>
      <c r="AB1297" s="17" t="s">
        <v>35</v>
      </c>
      <c r="AC1297" s="17" t="s">
        <v>9539</v>
      </c>
      <c r="AD1297" s="42">
        <v>55.8</v>
      </c>
      <c r="AE1297" s="42">
        <v>55.8</v>
      </c>
      <c r="AF1297" s="48"/>
      <c r="AG1297" s="44"/>
      <c r="AH1297" s="7">
        <f t="shared" si="20"/>
        <v>0</v>
      </c>
      <c r="AI1297" s="18"/>
      <c r="AJ1297" s="18"/>
    </row>
    <row r="1298" spans="1:38" ht="26.65" customHeight="1" x14ac:dyDescent="0.25">
      <c r="A1298" s="38" t="s">
        <v>7958</v>
      </c>
      <c r="B1298" s="9" t="s">
        <v>7676</v>
      </c>
      <c r="C1298" s="9" t="s">
        <v>43</v>
      </c>
      <c r="D1298" s="9" t="s">
        <v>5141</v>
      </c>
      <c r="E1298" s="9" t="s">
        <v>35</v>
      </c>
      <c r="F1298" s="9" t="s">
        <v>36</v>
      </c>
      <c r="G1298" s="9">
        <v>5</v>
      </c>
      <c r="H1298" s="9">
        <v>84213990</v>
      </c>
      <c r="I1298" s="11" t="s">
        <v>37</v>
      </c>
      <c r="J1298" s="12">
        <v>1.6500000000000001E-2</v>
      </c>
      <c r="K1298" s="12">
        <v>7.5999999999999998E-2</v>
      </c>
      <c r="L1298" s="12">
        <v>0</v>
      </c>
      <c r="M1298" s="13">
        <v>8003453181359</v>
      </c>
      <c r="N1298" s="14">
        <v>0.11</v>
      </c>
      <c r="O1298" s="14">
        <v>0.17699999999999999</v>
      </c>
      <c r="P1298" s="15" t="s">
        <v>35</v>
      </c>
      <c r="Q1298" s="16" t="s">
        <v>7959</v>
      </c>
      <c r="R1298" s="17" t="s">
        <v>35</v>
      </c>
      <c r="S1298" s="17" t="s">
        <v>7960</v>
      </c>
      <c r="T1298" s="17" t="s">
        <v>35</v>
      </c>
      <c r="U1298" s="17" t="s">
        <v>35</v>
      </c>
      <c r="V1298" s="17" t="s">
        <v>35</v>
      </c>
      <c r="W1298" s="17" t="s">
        <v>35</v>
      </c>
      <c r="X1298" s="17" t="s">
        <v>35</v>
      </c>
      <c r="Y1298" s="17" t="s">
        <v>7961</v>
      </c>
      <c r="Z1298" s="17" t="s">
        <v>35</v>
      </c>
      <c r="AA1298" s="17" t="s">
        <v>35</v>
      </c>
      <c r="AB1298" s="17" t="s">
        <v>35</v>
      </c>
      <c r="AC1298" s="17" t="s">
        <v>9538</v>
      </c>
      <c r="AD1298" s="41">
        <v>24.46</v>
      </c>
      <c r="AE1298" s="41">
        <v>24.46</v>
      </c>
      <c r="AF1298" s="48"/>
      <c r="AG1298" s="44"/>
      <c r="AH1298" s="7">
        <f t="shared" si="20"/>
        <v>0</v>
      </c>
      <c r="AI1298" s="18"/>
      <c r="AJ1298" s="18"/>
      <c r="AL1298" s="18"/>
    </row>
    <row r="1299" spans="1:38" ht="26.65" customHeight="1" x14ac:dyDescent="0.25">
      <c r="A1299" s="10" t="s">
        <v>7962</v>
      </c>
      <c r="B1299" s="9" t="s">
        <v>7676</v>
      </c>
      <c r="C1299" s="9" t="s">
        <v>43</v>
      </c>
      <c r="D1299" s="9" t="s">
        <v>5141</v>
      </c>
      <c r="E1299" s="9" t="s">
        <v>35</v>
      </c>
      <c r="F1299" s="9" t="s">
        <v>36</v>
      </c>
      <c r="G1299" s="9">
        <v>5</v>
      </c>
      <c r="H1299" s="9">
        <v>84213990</v>
      </c>
      <c r="I1299" s="11" t="s">
        <v>37</v>
      </c>
      <c r="J1299" s="12">
        <v>1.6500000000000001E-2</v>
      </c>
      <c r="K1299" s="12">
        <v>7.5999999999999998E-2</v>
      </c>
      <c r="L1299" s="12">
        <v>0</v>
      </c>
      <c r="M1299" s="13">
        <v>8003453172449</v>
      </c>
      <c r="N1299" s="14">
        <v>0.17799999999999999</v>
      </c>
      <c r="O1299" s="14">
        <v>0.26200000000000001</v>
      </c>
      <c r="P1299" s="15" t="s">
        <v>35</v>
      </c>
      <c r="Q1299" s="16" t="s">
        <v>7963</v>
      </c>
      <c r="R1299" s="17" t="s">
        <v>35</v>
      </c>
      <c r="S1299" s="17" t="s">
        <v>7964</v>
      </c>
      <c r="T1299" s="17" t="s">
        <v>7965</v>
      </c>
      <c r="U1299" s="17" t="s">
        <v>7966</v>
      </c>
      <c r="V1299" s="17" t="s">
        <v>35</v>
      </c>
      <c r="W1299" s="17" t="s">
        <v>35</v>
      </c>
      <c r="X1299" s="17" t="s">
        <v>7967</v>
      </c>
      <c r="Y1299" s="17" t="s">
        <v>7968</v>
      </c>
      <c r="Z1299" s="17" t="s">
        <v>35</v>
      </c>
      <c r="AA1299" s="17" t="s">
        <v>35</v>
      </c>
      <c r="AB1299" s="17" t="s">
        <v>35</v>
      </c>
      <c r="AC1299" s="17" t="s">
        <v>9539</v>
      </c>
      <c r="AD1299" s="41">
        <v>52.23</v>
      </c>
      <c r="AE1299" s="41">
        <v>52.23</v>
      </c>
      <c r="AF1299" s="48"/>
      <c r="AG1299" s="44"/>
      <c r="AH1299" s="7">
        <f t="shared" si="20"/>
        <v>0</v>
      </c>
      <c r="AI1299" s="18"/>
      <c r="AJ1299" s="18"/>
    </row>
    <row r="1300" spans="1:38" ht="26.65" customHeight="1" x14ac:dyDescent="0.25">
      <c r="A1300" s="10" t="s">
        <v>7969</v>
      </c>
      <c r="B1300" s="9" t="s">
        <v>7676</v>
      </c>
      <c r="C1300" s="9" t="s">
        <v>43</v>
      </c>
      <c r="D1300" s="9" t="s">
        <v>5141</v>
      </c>
      <c r="E1300" s="9" t="s">
        <v>35</v>
      </c>
      <c r="F1300" s="9" t="s">
        <v>36</v>
      </c>
      <c r="G1300" s="9">
        <v>5</v>
      </c>
      <c r="H1300" s="9">
        <v>84213990</v>
      </c>
      <c r="I1300" s="11" t="s">
        <v>37</v>
      </c>
      <c r="J1300" s="12">
        <v>1.6500000000000001E-2</v>
      </c>
      <c r="K1300" s="12">
        <v>7.5999999999999998E-2</v>
      </c>
      <c r="L1300" s="12">
        <v>0</v>
      </c>
      <c r="M1300" s="13">
        <v>8003453172456</v>
      </c>
      <c r="N1300" s="14">
        <v>0.16800000000000001</v>
      </c>
      <c r="O1300" s="14">
        <v>0.252</v>
      </c>
      <c r="P1300" s="15" t="s">
        <v>35</v>
      </c>
      <c r="Q1300" s="16" t="s">
        <v>7970</v>
      </c>
      <c r="R1300" s="17" t="s">
        <v>35</v>
      </c>
      <c r="S1300" s="17" t="s">
        <v>7971</v>
      </c>
      <c r="T1300" s="17" t="s">
        <v>7972</v>
      </c>
      <c r="U1300" s="17" t="s">
        <v>7973</v>
      </c>
      <c r="V1300" s="17" t="s">
        <v>35</v>
      </c>
      <c r="W1300" s="17" t="s">
        <v>35</v>
      </c>
      <c r="X1300" s="17" t="s">
        <v>7974</v>
      </c>
      <c r="Y1300" s="17" t="s">
        <v>7975</v>
      </c>
      <c r="Z1300" s="17" t="s">
        <v>35</v>
      </c>
      <c r="AA1300" s="17" t="s">
        <v>35</v>
      </c>
      <c r="AB1300" s="17" t="s">
        <v>35</v>
      </c>
      <c r="AC1300" s="17" t="s">
        <v>9539</v>
      </c>
      <c r="AD1300" s="41">
        <v>17.28</v>
      </c>
      <c r="AE1300" s="41">
        <v>17.28</v>
      </c>
      <c r="AF1300" s="48"/>
      <c r="AG1300" s="44"/>
      <c r="AH1300" s="7">
        <f t="shared" si="20"/>
        <v>0</v>
      </c>
      <c r="AI1300" s="18"/>
      <c r="AJ1300" s="18"/>
    </row>
    <row r="1301" spans="1:38" ht="26.65" customHeight="1" x14ac:dyDescent="0.25">
      <c r="A1301" s="38" t="s">
        <v>7976</v>
      </c>
      <c r="B1301" s="9" t="s">
        <v>7676</v>
      </c>
      <c r="C1301" s="9" t="s">
        <v>43</v>
      </c>
      <c r="D1301" s="9" t="s">
        <v>5141</v>
      </c>
      <c r="E1301" s="9" t="s">
        <v>35</v>
      </c>
      <c r="F1301" s="9" t="s">
        <v>36</v>
      </c>
      <c r="G1301" s="9">
        <v>5</v>
      </c>
      <c r="H1301" s="9">
        <v>84213990</v>
      </c>
      <c r="I1301" s="11" t="s">
        <v>37</v>
      </c>
      <c r="J1301" s="12">
        <v>1.6500000000000001E-2</v>
      </c>
      <c r="K1301" s="12">
        <v>7.5999999999999998E-2</v>
      </c>
      <c r="L1301" s="12">
        <v>0</v>
      </c>
      <c r="M1301" s="13">
        <v>8003453172487</v>
      </c>
      <c r="N1301" s="14">
        <v>0.17199999999999999</v>
      </c>
      <c r="O1301" s="14">
        <v>0.23599999999999999</v>
      </c>
      <c r="P1301" s="15" t="s">
        <v>35</v>
      </c>
      <c r="Q1301" s="16" t="s">
        <v>7977</v>
      </c>
      <c r="R1301" s="17" t="s">
        <v>35</v>
      </c>
      <c r="S1301" s="17" t="s">
        <v>7978</v>
      </c>
      <c r="T1301" s="17" t="s">
        <v>7979</v>
      </c>
      <c r="U1301" s="17" t="s">
        <v>7980</v>
      </c>
      <c r="V1301" s="17" t="s">
        <v>35</v>
      </c>
      <c r="W1301" s="17" t="s">
        <v>35</v>
      </c>
      <c r="X1301" s="17" t="s">
        <v>7981</v>
      </c>
      <c r="Y1301" s="17" t="s">
        <v>7982</v>
      </c>
      <c r="Z1301" s="17" t="s">
        <v>35</v>
      </c>
      <c r="AA1301" s="17" t="s">
        <v>35</v>
      </c>
      <c r="AB1301" s="17" t="s">
        <v>35</v>
      </c>
      <c r="AC1301" s="17" t="s">
        <v>9538</v>
      </c>
      <c r="AD1301" s="41">
        <v>48.73</v>
      </c>
      <c r="AE1301" s="41">
        <v>48.73</v>
      </c>
      <c r="AF1301" s="48"/>
      <c r="AG1301" s="44"/>
      <c r="AH1301" s="7">
        <f t="shared" si="20"/>
        <v>0</v>
      </c>
      <c r="AI1301" s="18"/>
      <c r="AJ1301" s="18"/>
      <c r="AL1301" s="18"/>
    </row>
    <row r="1302" spans="1:38" ht="26.65" customHeight="1" x14ac:dyDescent="0.25">
      <c r="A1302" s="10" t="s">
        <v>7983</v>
      </c>
      <c r="B1302" s="9" t="s">
        <v>7676</v>
      </c>
      <c r="C1302" s="9" t="s">
        <v>43</v>
      </c>
      <c r="D1302" s="9" t="s">
        <v>5141</v>
      </c>
      <c r="E1302" s="9" t="s">
        <v>35</v>
      </c>
      <c r="F1302" s="9" t="s">
        <v>36</v>
      </c>
      <c r="G1302" s="9">
        <v>5</v>
      </c>
      <c r="H1302" s="9">
        <v>84213990</v>
      </c>
      <c r="I1302" s="11" t="s">
        <v>37</v>
      </c>
      <c r="J1302" s="12">
        <v>1.6500000000000001E-2</v>
      </c>
      <c r="K1302" s="12">
        <v>7.5999999999999998E-2</v>
      </c>
      <c r="L1302" s="12">
        <v>0</v>
      </c>
      <c r="M1302" s="13">
        <v>8003453172500</v>
      </c>
      <c r="N1302" s="14">
        <v>0.14000000000000001</v>
      </c>
      <c r="O1302" s="14">
        <v>0.20399999999999999</v>
      </c>
      <c r="P1302" s="15" t="s">
        <v>35</v>
      </c>
      <c r="Q1302" s="16" t="s">
        <v>7273</v>
      </c>
      <c r="R1302" s="17" t="s">
        <v>35</v>
      </c>
      <c r="S1302" s="17" t="s">
        <v>7984</v>
      </c>
      <c r="T1302" s="17" t="s">
        <v>7985</v>
      </c>
      <c r="U1302" s="17" t="s">
        <v>7986</v>
      </c>
      <c r="V1302" s="17" t="s">
        <v>7987</v>
      </c>
      <c r="W1302" s="17" t="s">
        <v>35</v>
      </c>
      <c r="X1302" s="17" t="s">
        <v>35</v>
      </c>
      <c r="Y1302" s="17" t="s">
        <v>7988</v>
      </c>
      <c r="Z1302" s="17" t="s">
        <v>35</v>
      </c>
      <c r="AA1302" s="17" t="s">
        <v>35</v>
      </c>
      <c r="AB1302" s="17" t="s">
        <v>35</v>
      </c>
      <c r="AC1302" s="17" t="s">
        <v>9539</v>
      </c>
      <c r="AD1302" s="41">
        <v>24.46</v>
      </c>
      <c r="AE1302" s="41">
        <v>24.46</v>
      </c>
      <c r="AF1302" s="48"/>
      <c r="AG1302" s="44"/>
      <c r="AH1302" s="7">
        <f t="shared" si="20"/>
        <v>0</v>
      </c>
      <c r="AI1302" s="18"/>
      <c r="AJ1302" s="18"/>
      <c r="AL1302" s="18"/>
    </row>
    <row r="1303" spans="1:38" ht="26.65" customHeight="1" x14ac:dyDescent="0.25">
      <c r="A1303" s="38" t="s">
        <v>7989</v>
      </c>
      <c r="B1303" s="9" t="s">
        <v>7676</v>
      </c>
      <c r="C1303" s="9" t="s">
        <v>43</v>
      </c>
      <c r="D1303" s="9" t="s">
        <v>5141</v>
      </c>
      <c r="E1303" s="9" t="s">
        <v>35</v>
      </c>
      <c r="F1303" s="9" t="s">
        <v>36</v>
      </c>
      <c r="G1303" s="9">
        <v>5</v>
      </c>
      <c r="H1303" s="9">
        <v>84213990</v>
      </c>
      <c r="I1303" s="11" t="s">
        <v>37</v>
      </c>
      <c r="J1303" s="12">
        <v>1.6500000000000001E-2</v>
      </c>
      <c r="K1303" s="12">
        <v>7.5999999999999998E-2</v>
      </c>
      <c r="L1303" s="12">
        <v>0</v>
      </c>
      <c r="M1303" s="13">
        <v>8003453172555</v>
      </c>
      <c r="N1303" s="14">
        <v>0.13600000000000001</v>
      </c>
      <c r="O1303" s="14">
        <v>0.2</v>
      </c>
      <c r="P1303" s="15" t="s">
        <v>35</v>
      </c>
      <c r="Q1303" s="16" t="s">
        <v>7990</v>
      </c>
      <c r="R1303" s="17" t="s">
        <v>35</v>
      </c>
      <c r="S1303" s="17" t="s">
        <v>7991</v>
      </c>
      <c r="T1303" s="17" t="s">
        <v>7992</v>
      </c>
      <c r="U1303" s="17" t="s">
        <v>7993</v>
      </c>
      <c r="V1303" s="17" t="s">
        <v>35</v>
      </c>
      <c r="W1303" s="17" t="s">
        <v>35</v>
      </c>
      <c r="X1303" s="17" t="s">
        <v>7994</v>
      </c>
      <c r="Y1303" s="17" t="s">
        <v>7995</v>
      </c>
      <c r="Z1303" s="17" t="s">
        <v>35</v>
      </c>
      <c r="AA1303" s="17" t="s">
        <v>35</v>
      </c>
      <c r="AB1303" s="17" t="s">
        <v>35</v>
      </c>
      <c r="AC1303" s="17" t="s">
        <v>9538</v>
      </c>
      <c r="AD1303" s="41">
        <v>43.89</v>
      </c>
      <c r="AE1303" s="41">
        <v>43.89</v>
      </c>
      <c r="AF1303" s="48"/>
      <c r="AG1303" s="44"/>
      <c r="AH1303" s="7">
        <f t="shared" si="20"/>
        <v>0</v>
      </c>
      <c r="AI1303" s="18"/>
      <c r="AJ1303" s="18"/>
    </row>
    <row r="1304" spans="1:38" ht="26.65" customHeight="1" x14ac:dyDescent="0.25">
      <c r="A1304" s="10" t="s">
        <v>7996</v>
      </c>
      <c r="B1304" s="9" t="s">
        <v>7676</v>
      </c>
      <c r="C1304" s="9" t="s">
        <v>43</v>
      </c>
      <c r="D1304" s="9" t="s">
        <v>5141</v>
      </c>
      <c r="E1304" s="9" t="s">
        <v>35</v>
      </c>
      <c r="F1304" s="9" t="s">
        <v>36</v>
      </c>
      <c r="G1304" s="9">
        <v>5</v>
      </c>
      <c r="H1304" s="9">
        <v>84213990</v>
      </c>
      <c r="I1304" s="11" t="s">
        <v>37</v>
      </c>
      <c r="J1304" s="12">
        <v>1.6500000000000001E-2</v>
      </c>
      <c r="K1304" s="12">
        <v>7.5999999999999998E-2</v>
      </c>
      <c r="L1304" s="12">
        <v>0</v>
      </c>
      <c r="M1304" s="13">
        <v>8003453172784</v>
      </c>
      <c r="N1304" s="14">
        <v>0.22800000000000001</v>
      </c>
      <c r="O1304" s="14">
        <v>0.312</v>
      </c>
      <c r="P1304" s="15">
        <v>44501</v>
      </c>
      <c r="Q1304" s="16" t="s">
        <v>7997</v>
      </c>
      <c r="R1304" s="17" t="s">
        <v>7998</v>
      </c>
      <c r="S1304" s="17" t="s">
        <v>7999</v>
      </c>
      <c r="T1304" s="17" t="s">
        <v>35</v>
      </c>
      <c r="U1304" s="17" t="s">
        <v>8000</v>
      </c>
      <c r="V1304" s="17" t="s">
        <v>35</v>
      </c>
      <c r="W1304" s="17" t="s">
        <v>35</v>
      </c>
      <c r="X1304" s="17" t="s">
        <v>8001</v>
      </c>
      <c r="Y1304" s="17" t="s">
        <v>35</v>
      </c>
      <c r="Z1304" s="17" t="s">
        <v>35</v>
      </c>
      <c r="AA1304" s="17" t="s">
        <v>35</v>
      </c>
      <c r="AB1304" s="17" t="s">
        <v>35</v>
      </c>
      <c r="AC1304" s="17" t="s">
        <v>9539</v>
      </c>
      <c r="AD1304" s="42">
        <v>60.06</v>
      </c>
      <c r="AE1304" s="42">
        <v>60.06</v>
      </c>
      <c r="AF1304" s="48"/>
      <c r="AG1304" s="44"/>
      <c r="AH1304" s="7">
        <f t="shared" si="20"/>
        <v>0</v>
      </c>
      <c r="AI1304" s="18"/>
      <c r="AJ1304" s="18"/>
    </row>
    <row r="1305" spans="1:38" ht="26.65" customHeight="1" x14ac:dyDescent="0.25">
      <c r="A1305" s="10" t="s">
        <v>8002</v>
      </c>
      <c r="B1305" s="9" t="s">
        <v>7676</v>
      </c>
      <c r="C1305" s="9" t="s">
        <v>43</v>
      </c>
      <c r="D1305" s="9" t="s">
        <v>5141</v>
      </c>
      <c r="E1305" s="9" t="s">
        <v>35</v>
      </c>
      <c r="F1305" s="9" t="s">
        <v>36</v>
      </c>
      <c r="G1305" s="9">
        <v>5</v>
      </c>
      <c r="H1305" s="9">
        <v>84213990</v>
      </c>
      <c r="I1305" s="11" t="s">
        <v>37</v>
      </c>
      <c r="J1305" s="12">
        <v>1.6500000000000001E-2</v>
      </c>
      <c r="K1305" s="12">
        <v>7.5999999999999998E-2</v>
      </c>
      <c r="L1305" s="12">
        <v>0</v>
      </c>
      <c r="M1305" s="13">
        <v>8003453172890</v>
      </c>
      <c r="N1305" s="14">
        <v>0.17599999999999999</v>
      </c>
      <c r="O1305" s="14">
        <v>0.24</v>
      </c>
      <c r="P1305" s="15" t="s">
        <v>35</v>
      </c>
      <c r="Q1305" s="16" t="s">
        <v>8003</v>
      </c>
      <c r="R1305" s="17" t="s">
        <v>35</v>
      </c>
      <c r="S1305" s="17" t="s">
        <v>8004</v>
      </c>
      <c r="T1305" s="17" t="s">
        <v>35</v>
      </c>
      <c r="U1305" s="17" t="s">
        <v>8005</v>
      </c>
      <c r="V1305" s="17" t="s">
        <v>35</v>
      </c>
      <c r="W1305" s="17" t="s">
        <v>35</v>
      </c>
      <c r="X1305" s="17" t="s">
        <v>35</v>
      </c>
      <c r="Y1305" s="17" t="s">
        <v>8006</v>
      </c>
      <c r="Z1305" s="17" t="s">
        <v>35</v>
      </c>
      <c r="AA1305" s="17" t="s">
        <v>35</v>
      </c>
      <c r="AB1305" s="17" t="s">
        <v>35</v>
      </c>
      <c r="AC1305" s="17" t="s">
        <v>9539</v>
      </c>
      <c r="AD1305" s="41">
        <v>21.71</v>
      </c>
      <c r="AE1305" s="41">
        <v>21.71</v>
      </c>
      <c r="AF1305" s="48"/>
      <c r="AG1305" s="44"/>
      <c r="AH1305" s="7">
        <f t="shared" si="20"/>
        <v>0</v>
      </c>
      <c r="AI1305" s="18"/>
      <c r="AJ1305" s="18"/>
      <c r="AL1305" s="18"/>
    </row>
    <row r="1306" spans="1:38" ht="26.65" customHeight="1" x14ac:dyDescent="0.25">
      <c r="A1306" s="10" t="s">
        <v>8007</v>
      </c>
      <c r="B1306" s="9" t="s">
        <v>7676</v>
      </c>
      <c r="C1306" s="9" t="s">
        <v>43</v>
      </c>
      <c r="D1306" s="9" t="s">
        <v>5141</v>
      </c>
      <c r="E1306" s="9" t="s">
        <v>35</v>
      </c>
      <c r="F1306" s="9" t="s">
        <v>36</v>
      </c>
      <c r="G1306" s="9">
        <v>5</v>
      </c>
      <c r="H1306" s="9">
        <v>84213990</v>
      </c>
      <c r="I1306" s="11" t="s">
        <v>37</v>
      </c>
      <c r="J1306" s="12">
        <v>1.6500000000000001E-2</v>
      </c>
      <c r="K1306" s="12">
        <v>7.5999999999999998E-2</v>
      </c>
      <c r="L1306" s="12">
        <v>0</v>
      </c>
      <c r="M1306" s="13">
        <v>8003453172913</v>
      </c>
      <c r="N1306" s="14">
        <v>0.19</v>
      </c>
      <c r="O1306" s="14">
        <v>0.27400000000000002</v>
      </c>
      <c r="P1306" s="15">
        <v>44531</v>
      </c>
      <c r="Q1306" s="16" t="s">
        <v>8008</v>
      </c>
      <c r="R1306" s="17" t="s">
        <v>8009</v>
      </c>
      <c r="S1306" s="17" t="s">
        <v>8010</v>
      </c>
      <c r="T1306" s="17" t="s">
        <v>8011</v>
      </c>
      <c r="U1306" s="17" t="s">
        <v>8012</v>
      </c>
      <c r="V1306" s="17" t="s">
        <v>35</v>
      </c>
      <c r="W1306" s="17" t="s">
        <v>35</v>
      </c>
      <c r="X1306" s="17" t="s">
        <v>8013</v>
      </c>
      <c r="Y1306" s="17" t="s">
        <v>8014</v>
      </c>
      <c r="Z1306" s="17" t="s">
        <v>35</v>
      </c>
      <c r="AA1306" s="17" t="s">
        <v>35</v>
      </c>
      <c r="AB1306" s="17" t="s">
        <v>35</v>
      </c>
      <c r="AC1306" s="17" t="s">
        <v>9539</v>
      </c>
      <c r="AD1306" s="41">
        <v>56.65</v>
      </c>
      <c r="AE1306" s="41">
        <v>56.65</v>
      </c>
      <c r="AF1306" s="48"/>
      <c r="AG1306" s="44"/>
      <c r="AH1306" s="7">
        <f t="shared" si="20"/>
        <v>0</v>
      </c>
      <c r="AI1306" s="18"/>
      <c r="AJ1306" s="18"/>
      <c r="AL1306" s="18"/>
    </row>
    <row r="1307" spans="1:38" ht="26.65" customHeight="1" x14ac:dyDescent="0.25">
      <c r="A1307" s="38" t="s">
        <v>8015</v>
      </c>
      <c r="B1307" s="9" t="s">
        <v>7676</v>
      </c>
      <c r="C1307" s="9" t="s">
        <v>58</v>
      </c>
      <c r="D1307" s="9" t="s">
        <v>7087</v>
      </c>
      <c r="E1307" s="9" t="s">
        <v>35</v>
      </c>
      <c r="F1307" s="9" t="s">
        <v>36</v>
      </c>
      <c r="G1307" s="9">
        <v>5</v>
      </c>
      <c r="H1307" s="9">
        <v>84213990</v>
      </c>
      <c r="I1307" s="11" t="s">
        <v>37</v>
      </c>
      <c r="J1307" s="12">
        <v>1.6500000000000001E-2</v>
      </c>
      <c r="K1307" s="12">
        <v>7.5999999999999998E-2</v>
      </c>
      <c r="L1307" s="12">
        <v>0</v>
      </c>
      <c r="M1307" s="13">
        <v>8003453173767</v>
      </c>
      <c r="N1307" s="14">
        <v>0.2</v>
      </c>
      <c r="O1307" s="14">
        <v>0.309</v>
      </c>
      <c r="P1307" s="15">
        <v>45139</v>
      </c>
      <c r="Q1307" s="16" t="s">
        <v>8016</v>
      </c>
      <c r="R1307" s="17" t="s">
        <v>8017</v>
      </c>
      <c r="S1307" s="17" t="s">
        <v>8018</v>
      </c>
      <c r="T1307" s="17" t="s">
        <v>8019</v>
      </c>
      <c r="U1307" s="17" t="s">
        <v>8020</v>
      </c>
      <c r="V1307" s="17" t="s">
        <v>35</v>
      </c>
      <c r="W1307" s="17" t="s">
        <v>35</v>
      </c>
      <c r="X1307" s="17" t="s">
        <v>35</v>
      </c>
      <c r="Y1307" s="17" t="s">
        <v>35</v>
      </c>
      <c r="Z1307" s="17" t="s">
        <v>8021</v>
      </c>
      <c r="AA1307" s="17" t="s">
        <v>35</v>
      </c>
      <c r="AB1307" s="17" t="s">
        <v>35</v>
      </c>
      <c r="AC1307" s="17" t="s">
        <v>9538</v>
      </c>
      <c r="AD1307" s="42">
        <v>101.48</v>
      </c>
      <c r="AE1307" s="42">
        <v>101.48</v>
      </c>
      <c r="AF1307" s="48"/>
      <c r="AG1307" s="44"/>
      <c r="AH1307" s="7">
        <f t="shared" si="20"/>
        <v>0</v>
      </c>
      <c r="AI1307" s="18"/>
      <c r="AJ1307" s="18"/>
    </row>
    <row r="1308" spans="1:38" ht="26.65" customHeight="1" x14ac:dyDescent="0.25">
      <c r="A1308" s="10" t="s">
        <v>8022</v>
      </c>
      <c r="B1308" s="9" t="s">
        <v>7676</v>
      </c>
      <c r="C1308" s="9" t="s">
        <v>43</v>
      </c>
      <c r="D1308" s="9" t="s">
        <v>5141</v>
      </c>
      <c r="E1308" s="9" t="s">
        <v>35</v>
      </c>
      <c r="F1308" s="9" t="s">
        <v>36</v>
      </c>
      <c r="G1308" s="9">
        <v>5</v>
      </c>
      <c r="H1308" s="9">
        <v>84213990</v>
      </c>
      <c r="I1308" s="11" t="s">
        <v>37</v>
      </c>
      <c r="J1308" s="12">
        <v>1.6500000000000001E-2</v>
      </c>
      <c r="K1308" s="12">
        <v>7.5999999999999998E-2</v>
      </c>
      <c r="L1308" s="12">
        <v>0</v>
      </c>
      <c r="M1308" s="13">
        <v>8003453182912</v>
      </c>
      <c r="N1308" s="14">
        <v>0.30599999999999999</v>
      </c>
      <c r="O1308" s="14">
        <v>0.377</v>
      </c>
      <c r="P1308" s="15">
        <v>44958</v>
      </c>
      <c r="Q1308" s="16" t="s">
        <v>8023</v>
      </c>
      <c r="R1308" s="17" t="s">
        <v>8024</v>
      </c>
      <c r="S1308" s="17" t="s">
        <v>8025</v>
      </c>
      <c r="T1308" s="17" t="s">
        <v>8026</v>
      </c>
      <c r="U1308" s="17" t="s">
        <v>35</v>
      </c>
      <c r="V1308" s="17" t="s">
        <v>35</v>
      </c>
      <c r="W1308" s="17" t="s">
        <v>35</v>
      </c>
      <c r="X1308" s="17" t="s">
        <v>8027</v>
      </c>
      <c r="Y1308" s="17" t="s">
        <v>8028</v>
      </c>
      <c r="Z1308" s="17" t="s">
        <v>35</v>
      </c>
      <c r="AA1308" s="17" t="s">
        <v>35</v>
      </c>
      <c r="AB1308" s="17" t="s">
        <v>35</v>
      </c>
      <c r="AC1308" s="17" t="s">
        <v>9539</v>
      </c>
      <c r="AD1308" s="42">
        <v>53.55</v>
      </c>
      <c r="AE1308" s="42">
        <v>53.55</v>
      </c>
      <c r="AF1308" s="48"/>
      <c r="AG1308" s="44"/>
      <c r="AH1308" s="7">
        <f t="shared" si="20"/>
        <v>0</v>
      </c>
      <c r="AI1308" s="18"/>
      <c r="AJ1308" s="18"/>
    </row>
    <row r="1309" spans="1:38" ht="26.65" customHeight="1" x14ac:dyDescent="0.25">
      <c r="A1309" s="10" t="s">
        <v>8029</v>
      </c>
      <c r="B1309" s="9" t="s">
        <v>6924</v>
      </c>
      <c r="C1309" s="9" t="s">
        <v>34</v>
      </c>
      <c r="D1309" s="9" t="s">
        <v>5141</v>
      </c>
      <c r="E1309" s="9" t="s">
        <v>35</v>
      </c>
      <c r="F1309" s="9" t="s">
        <v>36</v>
      </c>
      <c r="G1309" s="9">
        <v>5</v>
      </c>
      <c r="H1309" s="9">
        <v>84213990</v>
      </c>
      <c r="I1309" s="11" t="s">
        <v>37</v>
      </c>
      <c r="J1309" s="12">
        <v>1.6500000000000001E-2</v>
      </c>
      <c r="K1309" s="12">
        <v>7.5999999999999998E-2</v>
      </c>
      <c r="L1309" s="12">
        <v>0</v>
      </c>
      <c r="M1309" s="13">
        <v>8003453174320</v>
      </c>
      <c r="N1309" s="14">
        <v>0.76800000000000002</v>
      </c>
      <c r="O1309" s="14">
        <v>0.91400000000000003</v>
      </c>
      <c r="P1309" s="15">
        <v>45200</v>
      </c>
      <c r="Q1309" s="16" t="s">
        <v>8030</v>
      </c>
      <c r="R1309" s="17" t="s">
        <v>8031</v>
      </c>
      <c r="S1309" s="17" t="s">
        <v>8032</v>
      </c>
      <c r="T1309" s="17" t="s">
        <v>35</v>
      </c>
      <c r="U1309" s="17" t="s">
        <v>35</v>
      </c>
      <c r="V1309" s="17" t="s">
        <v>35</v>
      </c>
      <c r="W1309" s="17" t="s">
        <v>35</v>
      </c>
      <c r="X1309" s="17" t="s">
        <v>35</v>
      </c>
      <c r="Y1309" s="17" t="s">
        <v>35</v>
      </c>
      <c r="Z1309" s="17" t="s">
        <v>8033</v>
      </c>
      <c r="AA1309" s="17" t="s">
        <v>35</v>
      </c>
      <c r="AB1309" s="17" t="s">
        <v>35</v>
      </c>
      <c r="AC1309" s="17" t="s">
        <v>9539</v>
      </c>
      <c r="AD1309" s="42">
        <v>880.66</v>
      </c>
      <c r="AE1309" s="42">
        <v>880.66</v>
      </c>
      <c r="AF1309" s="48"/>
      <c r="AG1309" s="44"/>
      <c r="AH1309" s="7">
        <f t="shared" si="20"/>
        <v>0</v>
      </c>
      <c r="AI1309" s="18"/>
      <c r="AJ1309" s="18"/>
    </row>
    <row r="1310" spans="1:38" ht="26.65" customHeight="1" x14ac:dyDescent="0.25">
      <c r="A1310" s="10" t="s">
        <v>9198</v>
      </c>
      <c r="B1310" s="9" t="s">
        <v>7676</v>
      </c>
      <c r="C1310" s="9" t="s">
        <v>34</v>
      </c>
      <c r="D1310" s="9" t="s">
        <v>5141</v>
      </c>
      <c r="E1310" s="9" t="s">
        <v>35</v>
      </c>
      <c r="F1310" s="9" t="s">
        <v>36</v>
      </c>
      <c r="G1310" s="9">
        <v>5</v>
      </c>
      <c r="H1310" s="9">
        <v>84213990</v>
      </c>
      <c r="I1310" s="11" t="s">
        <v>37</v>
      </c>
      <c r="J1310" s="12">
        <v>1.6500000000000001E-2</v>
      </c>
      <c r="K1310" s="12">
        <v>7.5999999999999998E-2</v>
      </c>
      <c r="L1310" s="12">
        <v>0</v>
      </c>
      <c r="M1310" s="13">
        <v>8003453174399</v>
      </c>
      <c r="N1310" s="14">
        <v>0</v>
      </c>
      <c r="O1310" s="14">
        <v>0</v>
      </c>
      <c r="P1310" s="15">
        <v>45383</v>
      </c>
      <c r="Q1310" s="16" t="s">
        <v>9199</v>
      </c>
      <c r="R1310" s="17" t="s">
        <v>35</v>
      </c>
      <c r="S1310" s="17" t="s">
        <v>35</v>
      </c>
      <c r="T1310" s="17" t="s">
        <v>35</v>
      </c>
      <c r="U1310" s="17" t="s">
        <v>35</v>
      </c>
      <c r="V1310" s="17" t="s">
        <v>35</v>
      </c>
      <c r="W1310" s="17" t="s">
        <v>35</v>
      </c>
      <c r="X1310" s="17" t="s">
        <v>35</v>
      </c>
      <c r="Y1310" s="17" t="s">
        <v>9200</v>
      </c>
      <c r="Z1310" s="17" t="s">
        <v>9201</v>
      </c>
      <c r="AA1310" s="17" t="s">
        <v>35</v>
      </c>
      <c r="AB1310" s="17" t="s">
        <v>35</v>
      </c>
      <c r="AC1310" s="17" t="s">
        <v>9539</v>
      </c>
      <c r="AD1310" s="42">
        <v>80.95</v>
      </c>
      <c r="AE1310" s="42">
        <v>80.95</v>
      </c>
      <c r="AF1310" s="48"/>
      <c r="AG1310" s="44"/>
      <c r="AH1310" s="7">
        <f t="shared" si="20"/>
        <v>0</v>
      </c>
      <c r="AI1310" s="18"/>
      <c r="AJ1310" s="18"/>
    </row>
    <row r="1311" spans="1:38" ht="26.65" customHeight="1" x14ac:dyDescent="0.25">
      <c r="A1311" s="10" t="s">
        <v>8034</v>
      </c>
      <c r="B1311" s="9" t="s">
        <v>7676</v>
      </c>
      <c r="C1311" s="9" t="s">
        <v>43</v>
      </c>
      <c r="D1311" s="9" t="s">
        <v>5141</v>
      </c>
      <c r="E1311" s="9" t="s">
        <v>35</v>
      </c>
      <c r="F1311" s="9" t="s">
        <v>36</v>
      </c>
      <c r="G1311" s="9">
        <v>5</v>
      </c>
      <c r="H1311" s="9">
        <v>84213990</v>
      </c>
      <c r="I1311" s="11" t="s">
        <v>37</v>
      </c>
      <c r="J1311" s="12">
        <v>1.6500000000000001E-2</v>
      </c>
      <c r="K1311" s="12">
        <v>7.5999999999999998E-2</v>
      </c>
      <c r="L1311" s="12">
        <v>0</v>
      </c>
      <c r="M1311" s="13">
        <v>8003453182981</v>
      </c>
      <c r="N1311" s="14">
        <v>0.184</v>
      </c>
      <c r="O1311" s="14">
        <v>0.318</v>
      </c>
      <c r="P1311" s="15">
        <v>45078</v>
      </c>
      <c r="Q1311" s="16" t="s">
        <v>7038</v>
      </c>
      <c r="R1311" s="17" t="s">
        <v>8035</v>
      </c>
      <c r="S1311" s="17" t="s">
        <v>8036</v>
      </c>
      <c r="T1311" s="17" t="s">
        <v>8037</v>
      </c>
      <c r="U1311" s="17" t="s">
        <v>8038</v>
      </c>
      <c r="V1311" s="17" t="s">
        <v>35</v>
      </c>
      <c r="W1311" s="17" t="s">
        <v>35</v>
      </c>
      <c r="X1311" s="17" t="s">
        <v>35</v>
      </c>
      <c r="Y1311" s="17" t="s">
        <v>8039</v>
      </c>
      <c r="Z1311" s="17" t="s">
        <v>35</v>
      </c>
      <c r="AA1311" s="17" t="s">
        <v>35</v>
      </c>
      <c r="AB1311" s="17" t="s">
        <v>35</v>
      </c>
      <c r="AC1311" s="17" t="s">
        <v>9539</v>
      </c>
      <c r="AD1311" s="41">
        <v>51.83</v>
      </c>
      <c r="AE1311" s="41">
        <v>51.83</v>
      </c>
      <c r="AF1311" s="48"/>
      <c r="AG1311" s="44"/>
      <c r="AH1311" s="7">
        <f t="shared" si="20"/>
        <v>0</v>
      </c>
      <c r="AI1311" s="18"/>
      <c r="AJ1311" s="18"/>
      <c r="AL1311" s="18"/>
    </row>
    <row r="1312" spans="1:38" ht="26.65" customHeight="1" x14ac:dyDescent="0.25">
      <c r="A1312" s="10" t="s">
        <v>8040</v>
      </c>
      <c r="B1312" s="9" t="s">
        <v>7676</v>
      </c>
      <c r="C1312" s="9" t="s">
        <v>43</v>
      </c>
      <c r="D1312" s="9" t="s">
        <v>5141</v>
      </c>
      <c r="E1312" s="9" t="s">
        <v>35</v>
      </c>
      <c r="F1312" s="9" t="s">
        <v>36</v>
      </c>
      <c r="G1312" s="9">
        <v>5</v>
      </c>
      <c r="H1312" s="9">
        <v>84213990</v>
      </c>
      <c r="I1312" s="11" t="s">
        <v>37</v>
      </c>
      <c r="J1312" s="12">
        <v>1.6500000000000001E-2</v>
      </c>
      <c r="K1312" s="12">
        <v>7.5999999999999998E-2</v>
      </c>
      <c r="L1312" s="12">
        <v>0</v>
      </c>
      <c r="M1312" s="13">
        <v>8003453175037</v>
      </c>
      <c r="N1312" s="14">
        <v>0.16200000000000001</v>
      </c>
      <c r="O1312" s="14">
        <v>0.246</v>
      </c>
      <c r="P1312" s="15">
        <v>44958</v>
      </c>
      <c r="Q1312" s="16" t="s">
        <v>8041</v>
      </c>
      <c r="R1312" s="17" t="s">
        <v>8042</v>
      </c>
      <c r="S1312" s="17" t="s">
        <v>8043</v>
      </c>
      <c r="T1312" s="17" t="s">
        <v>8044</v>
      </c>
      <c r="U1312" s="17" t="s">
        <v>8045</v>
      </c>
      <c r="V1312" s="17" t="s">
        <v>35</v>
      </c>
      <c r="W1312" s="17" t="s">
        <v>35</v>
      </c>
      <c r="X1312" s="17" t="s">
        <v>8046</v>
      </c>
      <c r="Y1312" s="17" t="s">
        <v>8047</v>
      </c>
      <c r="Z1312" s="17" t="s">
        <v>35</v>
      </c>
      <c r="AA1312" s="17" t="s">
        <v>35</v>
      </c>
      <c r="AB1312" s="17" t="s">
        <v>35</v>
      </c>
      <c r="AC1312" s="17" t="s">
        <v>9539</v>
      </c>
      <c r="AD1312" s="41">
        <v>36.909999999999997</v>
      </c>
      <c r="AE1312" s="41">
        <v>36.909999999999997</v>
      </c>
      <c r="AF1312" s="48"/>
      <c r="AG1312" s="44"/>
      <c r="AH1312" s="7">
        <f t="shared" si="20"/>
        <v>0</v>
      </c>
      <c r="AI1312" s="18"/>
      <c r="AJ1312" s="18"/>
      <c r="AL1312" s="18"/>
    </row>
    <row r="1313" spans="1:38" ht="26.65" customHeight="1" x14ac:dyDescent="0.25">
      <c r="A1313" s="10" t="s">
        <v>8048</v>
      </c>
      <c r="B1313" s="9" t="s">
        <v>7676</v>
      </c>
      <c r="C1313" s="9" t="s">
        <v>43</v>
      </c>
      <c r="D1313" s="9" t="s">
        <v>5141</v>
      </c>
      <c r="E1313" s="9" t="s">
        <v>35</v>
      </c>
      <c r="F1313" s="9" t="s">
        <v>36</v>
      </c>
      <c r="G1313" s="9">
        <v>5</v>
      </c>
      <c r="H1313" s="9">
        <v>84213990</v>
      </c>
      <c r="I1313" s="11" t="s">
        <v>37</v>
      </c>
      <c r="J1313" s="12">
        <v>1.6500000000000001E-2</v>
      </c>
      <c r="K1313" s="12">
        <v>7.5999999999999998E-2</v>
      </c>
      <c r="L1313" s="12">
        <v>0</v>
      </c>
      <c r="M1313" s="13">
        <v>8003453175044</v>
      </c>
      <c r="N1313" s="14">
        <v>0.17399999999999999</v>
      </c>
      <c r="O1313" s="14">
        <v>0.246</v>
      </c>
      <c r="P1313" s="15">
        <v>44958</v>
      </c>
      <c r="Q1313" s="16" t="s">
        <v>8049</v>
      </c>
      <c r="R1313" s="17" t="s">
        <v>8050</v>
      </c>
      <c r="S1313" s="17" t="s">
        <v>7050</v>
      </c>
      <c r="T1313" s="17" t="s">
        <v>35</v>
      </c>
      <c r="U1313" s="17" t="s">
        <v>35</v>
      </c>
      <c r="V1313" s="17" t="s">
        <v>8051</v>
      </c>
      <c r="W1313" s="17" t="s">
        <v>35</v>
      </c>
      <c r="X1313" s="17" t="s">
        <v>35</v>
      </c>
      <c r="Y1313" s="17" t="s">
        <v>7052</v>
      </c>
      <c r="Z1313" s="17" t="s">
        <v>35</v>
      </c>
      <c r="AA1313" s="17" t="s">
        <v>35</v>
      </c>
      <c r="AB1313" s="17" t="s">
        <v>35</v>
      </c>
      <c r="AC1313" s="17" t="s">
        <v>9539</v>
      </c>
      <c r="AD1313" s="42">
        <v>55.74</v>
      </c>
      <c r="AE1313" s="42">
        <v>55.74</v>
      </c>
      <c r="AF1313" s="48"/>
      <c r="AG1313" s="44"/>
      <c r="AH1313" s="7">
        <f t="shared" si="20"/>
        <v>0</v>
      </c>
      <c r="AI1313" s="18"/>
      <c r="AJ1313" s="18"/>
    </row>
    <row r="1314" spans="1:38" ht="26.65" customHeight="1" x14ac:dyDescent="0.25">
      <c r="A1314" s="10" t="s">
        <v>10503</v>
      </c>
      <c r="B1314" s="9" t="s">
        <v>7676</v>
      </c>
      <c r="C1314" s="9" t="s">
        <v>43</v>
      </c>
      <c r="D1314" s="9" t="s">
        <v>5141</v>
      </c>
      <c r="E1314" s="9" t="s">
        <v>35</v>
      </c>
      <c r="F1314" s="9" t="s">
        <v>36</v>
      </c>
      <c r="G1314" s="9">
        <v>5</v>
      </c>
      <c r="H1314" s="9">
        <v>84213990</v>
      </c>
      <c r="I1314" s="11" t="s">
        <v>37</v>
      </c>
      <c r="J1314" s="12">
        <v>1.6500000000000001E-2</v>
      </c>
      <c r="K1314" s="12">
        <v>7.5999999999999998E-2</v>
      </c>
      <c r="L1314" s="12">
        <v>0</v>
      </c>
      <c r="M1314" s="13">
        <v>8003453175051</v>
      </c>
      <c r="N1314" s="14">
        <v>0</v>
      </c>
      <c r="O1314" s="14">
        <v>0</v>
      </c>
      <c r="P1314" s="15">
        <v>45566</v>
      </c>
      <c r="Q1314" s="16" t="s">
        <v>10504</v>
      </c>
      <c r="R1314" s="17" t="s">
        <v>35</v>
      </c>
      <c r="S1314" s="17" t="s">
        <v>10505</v>
      </c>
      <c r="T1314" s="17" t="s">
        <v>10506</v>
      </c>
      <c r="U1314" s="17" t="s">
        <v>10507</v>
      </c>
      <c r="V1314" s="17" t="s">
        <v>35</v>
      </c>
      <c r="W1314" s="17" t="s">
        <v>35</v>
      </c>
      <c r="X1314" s="17" t="s">
        <v>35</v>
      </c>
      <c r="Y1314" s="17" t="s">
        <v>35</v>
      </c>
      <c r="Z1314" s="17" t="s">
        <v>35</v>
      </c>
      <c r="AA1314" s="17" t="s">
        <v>35</v>
      </c>
      <c r="AB1314" s="17" t="s">
        <v>35</v>
      </c>
      <c r="AC1314" s="17" t="s">
        <v>9539</v>
      </c>
      <c r="AD1314" s="41">
        <v>53.73</v>
      </c>
      <c r="AE1314" s="41">
        <v>53.73</v>
      </c>
      <c r="AF1314" s="48"/>
      <c r="AG1314" s="44"/>
      <c r="AH1314" s="7">
        <f t="shared" si="20"/>
        <v>0</v>
      </c>
      <c r="AI1314" s="18"/>
      <c r="AJ1314" s="18"/>
    </row>
    <row r="1315" spans="1:38" ht="26.65" customHeight="1" x14ac:dyDescent="0.25">
      <c r="A1315" s="10" t="s">
        <v>8052</v>
      </c>
      <c r="B1315" s="9" t="s">
        <v>7676</v>
      </c>
      <c r="C1315" s="9" t="s">
        <v>43</v>
      </c>
      <c r="D1315" s="9" t="s">
        <v>5141</v>
      </c>
      <c r="E1315" s="9" t="s">
        <v>35</v>
      </c>
      <c r="F1315" s="9" t="s">
        <v>36</v>
      </c>
      <c r="G1315" s="9">
        <v>5</v>
      </c>
      <c r="H1315" s="9">
        <v>84213990</v>
      </c>
      <c r="I1315" s="11" t="s">
        <v>37</v>
      </c>
      <c r="J1315" s="12">
        <v>1.6500000000000001E-2</v>
      </c>
      <c r="K1315" s="12">
        <v>7.5999999999999998E-2</v>
      </c>
      <c r="L1315" s="12">
        <v>0</v>
      </c>
      <c r="M1315" s="13">
        <v>8003453141711</v>
      </c>
      <c r="N1315" s="14">
        <v>0.19400000000000001</v>
      </c>
      <c r="O1315" s="14">
        <v>0.29399999999999998</v>
      </c>
      <c r="P1315" s="15">
        <v>44958</v>
      </c>
      <c r="Q1315" s="16" t="s">
        <v>8053</v>
      </c>
      <c r="R1315" s="17" t="s">
        <v>8054</v>
      </c>
      <c r="S1315" s="17" t="s">
        <v>8055</v>
      </c>
      <c r="T1315" s="17" t="s">
        <v>8056</v>
      </c>
      <c r="U1315" s="17" t="s">
        <v>8057</v>
      </c>
      <c r="V1315" s="17" t="s">
        <v>35</v>
      </c>
      <c r="W1315" s="17" t="s">
        <v>35</v>
      </c>
      <c r="X1315" s="17" t="s">
        <v>35</v>
      </c>
      <c r="Y1315" s="17" t="s">
        <v>8058</v>
      </c>
      <c r="Z1315" s="17" t="s">
        <v>35</v>
      </c>
      <c r="AA1315" s="17" t="s">
        <v>35</v>
      </c>
      <c r="AB1315" s="17" t="s">
        <v>35</v>
      </c>
      <c r="AC1315" s="17" t="s">
        <v>9539</v>
      </c>
      <c r="AD1315" s="42">
        <v>80.73</v>
      </c>
      <c r="AE1315" s="42">
        <v>80.73</v>
      </c>
      <c r="AF1315" s="48"/>
      <c r="AG1315" s="44"/>
      <c r="AH1315" s="7">
        <f t="shared" si="20"/>
        <v>0</v>
      </c>
      <c r="AI1315" s="18"/>
      <c r="AJ1315" s="18"/>
    </row>
    <row r="1316" spans="1:38" ht="26.65" customHeight="1" x14ac:dyDescent="0.25">
      <c r="A1316" s="10" t="s">
        <v>9271</v>
      </c>
      <c r="B1316" s="9" t="s">
        <v>7676</v>
      </c>
      <c r="C1316" s="9" t="s">
        <v>43</v>
      </c>
      <c r="D1316" s="9" t="s">
        <v>7087</v>
      </c>
      <c r="E1316" s="9" t="s">
        <v>35</v>
      </c>
      <c r="F1316" s="9" t="s">
        <v>36</v>
      </c>
      <c r="G1316" s="9">
        <v>5</v>
      </c>
      <c r="H1316" s="9">
        <v>84213990</v>
      </c>
      <c r="I1316" s="11" t="s">
        <v>37</v>
      </c>
      <c r="J1316" s="12">
        <v>1.6500000000000001E-2</v>
      </c>
      <c r="K1316" s="12">
        <v>7.5999999999999998E-2</v>
      </c>
      <c r="L1316" s="12">
        <v>0</v>
      </c>
      <c r="M1316" s="13">
        <v>8003453183032</v>
      </c>
      <c r="N1316" s="14">
        <v>0</v>
      </c>
      <c r="O1316" s="14">
        <v>0</v>
      </c>
      <c r="P1316" s="15">
        <v>45413</v>
      </c>
      <c r="Q1316" s="16" t="s">
        <v>9272</v>
      </c>
      <c r="R1316" s="17" t="s">
        <v>35</v>
      </c>
      <c r="S1316" s="17" t="s">
        <v>35</v>
      </c>
      <c r="T1316" s="17" t="s">
        <v>9273</v>
      </c>
      <c r="U1316" s="17" t="s">
        <v>35</v>
      </c>
      <c r="V1316" s="17" t="s">
        <v>35</v>
      </c>
      <c r="W1316" s="17" t="s">
        <v>35</v>
      </c>
      <c r="X1316" s="17" t="s">
        <v>35</v>
      </c>
      <c r="Y1316" s="17" t="s">
        <v>35</v>
      </c>
      <c r="Z1316" s="17" t="s">
        <v>35</v>
      </c>
      <c r="AA1316" s="17" t="s">
        <v>35</v>
      </c>
      <c r="AB1316" s="17" t="s">
        <v>35</v>
      </c>
      <c r="AC1316" s="17" t="s">
        <v>9539</v>
      </c>
      <c r="AD1316" s="42">
        <v>23.85</v>
      </c>
      <c r="AE1316" s="42">
        <v>23.85</v>
      </c>
      <c r="AF1316" s="48"/>
      <c r="AG1316" s="44"/>
      <c r="AH1316" s="7">
        <f t="shared" si="20"/>
        <v>0</v>
      </c>
      <c r="AI1316" s="18"/>
      <c r="AJ1316" s="18"/>
    </row>
    <row r="1317" spans="1:38" ht="26.65" customHeight="1" x14ac:dyDescent="0.25">
      <c r="A1317" s="10" t="s">
        <v>9411</v>
      </c>
      <c r="B1317" s="9" t="s">
        <v>7676</v>
      </c>
      <c r="C1317" s="9" t="s">
        <v>43</v>
      </c>
      <c r="D1317" s="9" t="s">
        <v>5141</v>
      </c>
      <c r="E1317" s="9" t="s">
        <v>35</v>
      </c>
      <c r="F1317" s="9" t="s">
        <v>36</v>
      </c>
      <c r="G1317" s="9">
        <v>6</v>
      </c>
      <c r="H1317" s="9">
        <v>84213990</v>
      </c>
      <c r="I1317" s="11" t="s">
        <v>37</v>
      </c>
      <c r="J1317" s="12">
        <v>1.6500000000000001E-2</v>
      </c>
      <c r="K1317" s="12">
        <v>7.5999999999999998E-2</v>
      </c>
      <c r="L1317" s="12">
        <v>0</v>
      </c>
      <c r="M1317" s="13" t="s">
        <v>35</v>
      </c>
      <c r="N1317" s="14">
        <v>0</v>
      </c>
      <c r="O1317" s="14">
        <v>0</v>
      </c>
      <c r="P1317" s="15">
        <v>45444</v>
      </c>
      <c r="Q1317" s="16" t="s">
        <v>9412</v>
      </c>
      <c r="R1317" s="17" t="s">
        <v>35</v>
      </c>
      <c r="S1317" s="17" t="s">
        <v>9413</v>
      </c>
      <c r="T1317" s="17" t="s">
        <v>9414</v>
      </c>
      <c r="U1317" s="17" t="s">
        <v>35</v>
      </c>
      <c r="V1317" s="17" t="s">
        <v>35</v>
      </c>
      <c r="W1317" s="17" t="s">
        <v>35</v>
      </c>
      <c r="X1317" s="17" t="s">
        <v>35</v>
      </c>
      <c r="Y1317" s="17" t="s">
        <v>35</v>
      </c>
      <c r="Z1317" s="17" t="s">
        <v>35</v>
      </c>
      <c r="AA1317" s="17" t="s">
        <v>35</v>
      </c>
      <c r="AB1317" s="17" t="s">
        <v>35</v>
      </c>
      <c r="AC1317" s="17" t="s">
        <v>9539</v>
      </c>
      <c r="AD1317" s="42">
        <v>143.96</v>
      </c>
      <c r="AE1317" s="42">
        <v>143.96</v>
      </c>
      <c r="AF1317" s="48"/>
      <c r="AG1317" s="44"/>
      <c r="AH1317" s="7">
        <f t="shared" si="20"/>
        <v>0</v>
      </c>
      <c r="AI1317" s="18"/>
      <c r="AJ1317" s="18"/>
    </row>
    <row r="1318" spans="1:38" ht="26.65" customHeight="1" x14ac:dyDescent="0.25">
      <c r="A1318" s="10" t="s">
        <v>8969</v>
      </c>
      <c r="B1318" s="9" t="s">
        <v>7676</v>
      </c>
      <c r="C1318" s="9" t="s">
        <v>43</v>
      </c>
      <c r="D1318" s="9" t="s">
        <v>5141</v>
      </c>
      <c r="E1318" s="9" t="s">
        <v>35</v>
      </c>
      <c r="F1318" s="9" t="s">
        <v>36</v>
      </c>
      <c r="G1318" s="9">
        <v>5</v>
      </c>
      <c r="H1318" s="9">
        <v>84213990</v>
      </c>
      <c r="I1318" s="11" t="s">
        <v>37</v>
      </c>
      <c r="J1318" s="12">
        <v>1.6500000000000001E-2</v>
      </c>
      <c r="K1318" s="12">
        <v>7.5999999999999998E-2</v>
      </c>
      <c r="L1318" s="12">
        <v>0</v>
      </c>
      <c r="M1318" s="13">
        <v>8003453175280</v>
      </c>
      <c r="N1318" s="14">
        <v>0</v>
      </c>
      <c r="O1318" s="14">
        <v>0</v>
      </c>
      <c r="P1318" s="15">
        <v>45352</v>
      </c>
      <c r="Q1318" s="16" t="s">
        <v>8970</v>
      </c>
      <c r="R1318" s="17" t="s">
        <v>8971</v>
      </c>
      <c r="S1318" s="17" t="s">
        <v>8972</v>
      </c>
      <c r="T1318" s="17" t="s">
        <v>8973</v>
      </c>
      <c r="U1318" s="17" t="s">
        <v>35</v>
      </c>
      <c r="V1318" s="17" t="s">
        <v>35</v>
      </c>
      <c r="W1318" s="17" t="s">
        <v>35</v>
      </c>
      <c r="X1318" s="17" t="s">
        <v>8974</v>
      </c>
      <c r="Y1318" s="17" t="s">
        <v>35</v>
      </c>
      <c r="Z1318" s="17" t="s">
        <v>35</v>
      </c>
      <c r="AA1318" s="17" t="s">
        <v>35</v>
      </c>
      <c r="AB1318" s="17" t="s">
        <v>35</v>
      </c>
      <c r="AC1318" s="17" t="s">
        <v>9539</v>
      </c>
      <c r="AD1318" s="42">
        <v>67.099999999999994</v>
      </c>
      <c r="AE1318" s="42">
        <v>67.099999999999994</v>
      </c>
      <c r="AF1318" s="48"/>
      <c r="AG1318" s="44"/>
      <c r="AH1318" s="7">
        <f t="shared" si="20"/>
        <v>0</v>
      </c>
      <c r="AI1318" s="18"/>
      <c r="AJ1318" s="18"/>
    </row>
    <row r="1319" spans="1:38" ht="26.65" customHeight="1" x14ac:dyDescent="0.25">
      <c r="A1319" s="38" t="s">
        <v>8059</v>
      </c>
      <c r="B1319" s="9" t="s">
        <v>1658</v>
      </c>
      <c r="C1319" s="9" t="s">
        <v>43</v>
      </c>
      <c r="D1319" s="9" t="s">
        <v>904</v>
      </c>
      <c r="E1319" s="9" t="s">
        <v>122</v>
      </c>
      <c r="F1319" s="9" t="s">
        <v>36</v>
      </c>
      <c r="G1319" s="9">
        <v>1</v>
      </c>
      <c r="H1319" s="9">
        <v>84212300</v>
      </c>
      <c r="I1319" s="11" t="s">
        <v>37</v>
      </c>
      <c r="J1319" s="12">
        <v>2.3E-2</v>
      </c>
      <c r="K1319" s="12">
        <v>0.108</v>
      </c>
      <c r="L1319" s="12">
        <v>5.1999999999999998E-2</v>
      </c>
      <c r="M1319" s="13">
        <v>8003453210097</v>
      </c>
      <c r="N1319" s="14">
        <v>0.60799999999999998</v>
      </c>
      <c r="O1319" s="14">
        <v>0.78800000000000003</v>
      </c>
      <c r="P1319" s="15" t="s">
        <v>35</v>
      </c>
      <c r="Q1319" s="16" t="s">
        <v>8060</v>
      </c>
      <c r="R1319" s="17">
        <v>1345983080</v>
      </c>
      <c r="S1319" s="17" t="s">
        <v>35</v>
      </c>
      <c r="T1319" s="17" t="s">
        <v>35</v>
      </c>
      <c r="U1319" s="17" t="s">
        <v>35</v>
      </c>
      <c r="V1319" s="17" t="s">
        <v>35</v>
      </c>
      <c r="W1319" s="17" t="s">
        <v>35</v>
      </c>
      <c r="X1319" s="17" t="s">
        <v>35</v>
      </c>
      <c r="Y1319" s="17" t="s">
        <v>35</v>
      </c>
      <c r="Z1319" s="17" t="s">
        <v>35</v>
      </c>
      <c r="AA1319" s="17" t="s">
        <v>35</v>
      </c>
      <c r="AB1319" s="17" t="s">
        <v>35</v>
      </c>
      <c r="AC1319" s="17" t="s">
        <v>9538</v>
      </c>
      <c r="AD1319" s="41">
        <v>259.64</v>
      </c>
      <c r="AE1319" s="41">
        <v>273.14</v>
      </c>
      <c r="AF1319" s="48"/>
      <c r="AG1319" s="44"/>
      <c r="AH1319" s="7">
        <f t="shared" si="20"/>
        <v>0</v>
      </c>
      <c r="AI1319" s="18"/>
      <c r="AJ1319" s="18"/>
      <c r="AL1319" s="18"/>
    </row>
    <row r="1320" spans="1:38" ht="26.65" customHeight="1" x14ac:dyDescent="0.25">
      <c r="A1320" s="38" t="s">
        <v>8061</v>
      </c>
      <c r="B1320" s="9" t="s">
        <v>1667</v>
      </c>
      <c r="C1320" s="9" t="s">
        <v>43</v>
      </c>
      <c r="D1320" s="9" t="s">
        <v>904</v>
      </c>
      <c r="E1320" s="9" t="s">
        <v>122</v>
      </c>
      <c r="F1320" s="9" t="s">
        <v>36</v>
      </c>
      <c r="G1320" s="9">
        <v>1</v>
      </c>
      <c r="H1320" s="9">
        <v>84212300</v>
      </c>
      <c r="I1320" s="11" t="s">
        <v>37</v>
      </c>
      <c r="J1320" s="12">
        <v>2.3E-2</v>
      </c>
      <c r="K1320" s="12">
        <v>0.108</v>
      </c>
      <c r="L1320" s="12">
        <v>5.1999999999999998E-2</v>
      </c>
      <c r="M1320" s="13">
        <v>8003453210127</v>
      </c>
      <c r="N1320" s="14">
        <v>0.57999999999999996</v>
      </c>
      <c r="O1320" s="14">
        <v>0.76</v>
      </c>
      <c r="P1320" s="15" t="s">
        <v>35</v>
      </c>
      <c r="Q1320" s="16" t="s">
        <v>8711</v>
      </c>
      <c r="R1320" s="17">
        <v>1345984080</v>
      </c>
      <c r="S1320" s="17" t="s">
        <v>35</v>
      </c>
      <c r="T1320" s="17" t="s">
        <v>35</v>
      </c>
      <c r="U1320" s="17" t="s">
        <v>35</v>
      </c>
      <c r="V1320" s="17" t="s">
        <v>35</v>
      </c>
      <c r="W1320" s="17" t="s">
        <v>35</v>
      </c>
      <c r="X1320" s="17" t="s">
        <v>35</v>
      </c>
      <c r="Y1320" s="17" t="s">
        <v>35</v>
      </c>
      <c r="Z1320" s="17" t="s">
        <v>35</v>
      </c>
      <c r="AA1320" s="17" t="s">
        <v>35</v>
      </c>
      <c r="AB1320" s="17" t="s">
        <v>35</v>
      </c>
      <c r="AC1320" s="17" t="s">
        <v>9538</v>
      </c>
      <c r="AD1320" s="41">
        <v>220.3</v>
      </c>
      <c r="AE1320" s="41">
        <v>231.76</v>
      </c>
      <c r="AF1320" s="48"/>
      <c r="AG1320" s="44"/>
      <c r="AH1320" s="7">
        <f t="shared" si="20"/>
        <v>0</v>
      </c>
      <c r="AI1320" s="18"/>
      <c r="AJ1320" s="18"/>
    </row>
    <row r="1321" spans="1:38" ht="26.65" customHeight="1" x14ac:dyDescent="0.25">
      <c r="A1321" s="10" t="s">
        <v>8062</v>
      </c>
      <c r="B1321" s="9" t="s">
        <v>1658</v>
      </c>
      <c r="C1321" s="9" t="s">
        <v>58</v>
      </c>
      <c r="D1321" s="9" t="s">
        <v>59</v>
      </c>
      <c r="E1321" s="9" t="s">
        <v>35</v>
      </c>
      <c r="F1321" s="9" t="s">
        <v>36</v>
      </c>
      <c r="G1321" s="9">
        <v>6</v>
      </c>
      <c r="H1321" s="9">
        <v>84212300</v>
      </c>
      <c r="I1321" s="11" t="s">
        <v>37</v>
      </c>
      <c r="J1321" s="12">
        <v>2.3E-2</v>
      </c>
      <c r="K1321" s="12">
        <v>0.108</v>
      </c>
      <c r="L1321" s="12">
        <v>5.1999999999999998E-2</v>
      </c>
      <c r="M1321" s="13" t="s">
        <v>8063</v>
      </c>
      <c r="N1321" s="14">
        <v>0.9</v>
      </c>
      <c r="O1321" s="14">
        <v>0.98</v>
      </c>
      <c r="P1321" s="15">
        <v>44896</v>
      </c>
      <c r="Q1321" s="16" t="s">
        <v>8064</v>
      </c>
      <c r="R1321" s="17" t="s">
        <v>8065</v>
      </c>
      <c r="S1321" s="17" t="s">
        <v>8066</v>
      </c>
      <c r="T1321" s="17" t="s">
        <v>8067</v>
      </c>
      <c r="U1321" s="17" t="s">
        <v>35</v>
      </c>
      <c r="V1321" s="17" t="s">
        <v>8068</v>
      </c>
      <c r="W1321" s="17" t="s">
        <v>35</v>
      </c>
      <c r="X1321" s="17" t="s">
        <v>35</v>
      </c>
      <c r="Y1321" s="17" t="s">
        <v>8069</v>
      </c>
      <c r="Z1321" s="17" t="s">
        <v>8070</v>
      </c>
      <c r="AA1321" s="17" t="s">
        <v>8071</v>
      </c>
      <c r="AB1321" s="17" t="s">
        <v>8072</v>
      </c>
      <c r="AC1321" s="17" t="s">
        <v>9539</v>
      </c>
      <c r="AD1321" s="42">
        <v>54.7</v>
      </c>
      <c r="AE1321" s="42">
        <v>57.54</v>
      </c>
      <c r="AF1321" s="48"/>
      <c r="AG1321" s="44"/>
      <c r="AH1321" s="7">
        <f t="shared" si="20"/>
        <v>0</v>
      </c>
      <c r="AI1321" s="18"/>
      <c r="AJ1321" s="18"/>
    </row>
    <row r="1322" spans="1:38" ht="26.65" customHeight="1" x14ac:dyDescent="0.25">
      <c r="A1322" s="38" t="s">
        <v>8073</v>
      </c>
      <c r="B1322" s="9" t="s">
        <v>1658</v>
      </c>
      <c r="C1322" s="9" t="s">
        <v>58</v>
      </c>
      <c r="D1322" s="9" t="s">
        <v>59</v>
      </c>
      <c r="E1322" s="9" t="s">
        <v>35</v>
      </c>
      <c r="F1322" s="9" t="s">
        <v>36</v>
      </c>
      <c r="G1322" s="9">
        <v>6</v>
      </c>
      <c r="H1322" s="9">
        <v>84212300</v>
      </c>
      <c r="I1322" s="11" t="s">
        <v>37</v>
      </c>
      <c r="J1322" s="12">
        <v>2.3E-2</v>
      </c>
      <c r="K1322" s="12">
        <v>0.108</v>
      </c>
      <c r="L1322" s="12">
        <v>5.1999999999999998E-2</v>
      </c>
      <c r="M1322" s="13" t="s">
        <v>8074</v>
      </c>
      <c r="N1322" s="14">
        <v>1.1000000000000001</v>
      </c>
      <c r="O1322" s="14">
        <v>1.22</v>
      </c>
      <c r="P1322" s="15">
        <v>44896</v>
      </c>
      <c r="Q1322" s="16" t="s">
        <v>8075</v>
      </c>
      <c r="R1322" s="17" t="s">
        <v>8076</v>
      </c>
      <c r="S1322" s="17" t="s">
        <v>8077</v>
      </c>
      <c r="T1322" s="17" t="s">
        <v>8078</v>
      </c>
      <c r="U1322" s="17" t="s">
        <v>35</v>
      </c>
      <c r="V1322" s="17" t="s">
        <v>8079</v>
      </c>
      <c r="W1322" s="17" t="s">
        <v>35</v>
      </c>
      <c r="X1322" s="17" t="s">
        <v>35</v>
      </c>
      <c r="Y1322" s="17" t="s">
        <v>8080</v>
      </c>
      <c r="Z1322" s="17" t="s">
        <v>8081</v>
      </c>
      <c r="AA1322" s="17" t="s">
        <v>8082</v>
      </c>
      <c r="AB1322" s="17" t="s">
        <v>8083</v>
      </c>
      <c r="AC1322" s="17" t="s">
        <v>9538</v>
      </c>
      <c r="AD1322" s="42">
        <v>60.77</v>
      </c>
      <c r="AE1322" s="42">
        <v>63.93</v>
      </c>
      <c r="AF1322" s="48"/>
      <c r="AG1322" s="44"/>
      <c r="AH1322" s="7">
        <f t="shared" si="20"/>
        <v>0</v>
      </c>
      <c r="AI1322" s="18"/>
      <c r="AJ1322" s="18"/>
    </row>
    <row r="1323" spans="1:38" ht="26.65" customHeight="1" x14ac:dyDescent="0.25">
      <c r="A1323" s="38" t="s">
        <v>8084</v>
      </c>
      <c r="B1323" s="9" t="s">
        <v>1658</v>
      </c>
      <c r="C1323" s="9" t="s">
        <v>58</v>
      </c>
      <c r="D1323" s="9" t="s">
        <v>59</v>
      </c>
      <c r="E1323" s="9" t="s">
        <v>35</v>
      </c>
      <c r="F1323" s="9" t="s">
        <v>36</v>
      </c>
      <c r="G1323" s="9">
        <v>6</v>
      </c>
      <c r="H1323" s="9">
        <v>84212300</v>
      </c>
      <c r="I1323" s="11" t="s">
        <v>37</v>
      </c>
      <c r="J1323" s="12">
        <v>2.3E-2</v>
      </c>
      <c r="K1323" s="12">
        <v>0.108</v>
      </c>
      <c r="L1323" s="12">
        <v>5.1999999999999998E-2</v>
      </c>
      <c r="M1323" s="13" t="s">
        <v>8085</v>
      </c>
      <c r="N1323" s="14">
        <v>1.02</v>
      </c>
      <c r="O1323" s="14">
        <v>1.1200000000000001</v>
      </c>
      <c r="P1323" s="15">
        <v>44896</v>
      </c>
      <c r="Q1323" s="16" t="s">
        <v>8086</v>
      </c>
      <c r="R1323" s="17" t="s">
        <v>8087</v>
      </c>
      <c r="S1323" s="17" t="s">
        <v>8088</v>
      </c>
      <c r="T1323" s="17" t="s">
        <v>8089</v>
      </c>
      <c r="U1323" s="17" t="s">
        <v>35</v>
      </c>
      <c r="V1323" s="17" t="s">
        <v>8090</v>
      </c>
      <c r="W1323" s="17" t="s">
        <v>35</v>
      </c>
      <c r="X1323" s="17" t="s">
        <v>35</v>
      </c>
      <c r="Y1323" s="17" t="s">
        <v>35</v>
      </c>
      <c r="Z1323" s="17" t="s">
        <v>35</v>
      </c>
      <c r="AA1323" s="17" t="s">
        <v>8091</v>
      </c>
      <c r="AB1323" s="17" t="s">
        <v>35</v>
      </c>
      <c r="AC1323" s="17" t="s">
        <v>9538</v>
      </c>
      <c r="AD1323" s="41">
        <v>56.88</v>
      </c>
      <c r="AE1323" s="41">
        <v>59.84</v>
      </c>
      <c r="AF1323" s="48"/>
      <c r="AG1323" s="44"/>
      <c r="AH1323" s="7">
        <f t="shared" si="20"/>
        <v>0</v>
      </c>
      <c r="AI1323" s="18"/>
      <c r="AJ1323" s="18"/>
      <c r="AL1323" s="18"/>
    </row>
    <row r="1324" spans="1:38" ht="26.65" customHeight="1" x14ac:dyDescent="0.25">
      <c r="A1324" s="10" t="s">
        <v>8092</v>
      </c>
      <c r="B1324" s="9" t="s">
        <v>1658</v>
      </c>
      <c r="C1324" s="9" t="s">
        <v>58</v>
      </c>
      <c r="D1324" s="9" t="s">
        <v>59</v>
      </c>
      <c r="E1324" s="9" t="s">
        <v>35</v>
      </c>
      <c r="F1324" s="9" t="s">
        <v>36</v>
      </c>
      <c r="G1324" s="9">
        <v>6</v>
      </c>
      <c r="H1324" s="9">
        <v>84212300</v>
      </c>
      <c r="I1324" s="11" t="s">
        <v>37</v>
      </c>
      <c r="J1324" s="12">
        <v>2.3E-2</v>
      </c>
      <c r="K1324" s="12">
        <v>0.108</v>
      </c>
      <c r="L1324" s="12">
        <v>5.1999999999999998E-2</v>
      </c>
      <c r="M1324" s="13">
        <v>8003453807389</v>
      </c>
      <c r="N1324" s="14">
        <v>1.1000000000000001</v>
      </c>
      <c r="O1324" s="14">
        <v>1.22</v>
      </c>
      <c r="P1324" s="15">
        <v>44896</v>
      </c>
      <c r="Q1324" s="16" t="s">
        <v>8093</v>
      </c>
      <c r="R1324" s="17" t="s">
        <v>1612</v>
      </c>
      <c r="S1324" s="17" t="s">
        <v>8094</v>
      </c>
      <c r="T1324" s="17" t="s">
        <v>35</v>
      </c>
      <c r="U1324" s="17" t="s">
        <v>35</v>
      </c>
      <c r="V1324" s="17" t="s">
        <v>8095</v>
      </c>
      <c r="W1324" s="17" t="s">
        <v>35</v>
      </c>
      <c r="X1324" s="17" t="s">
        <v>35</v>
      </c>
      <c r="Y1324" s="17" t="s">
        <v>8096</v>
      </c>
      <c r="Z1324" s="17" t="s">
        <v>1012</v>
      </c>
      <c r="AA1324" s="17" t="s">
        <v>8097</v>
      </c>
      <c r="AB1324" s="17" t="s">
        <v>1013</v>
      </c>
      <c r="AC1324" s="17" t="s">
        <v>9539</v>
      </c>
      <c r="AD1324" s="41">
        <v>60.22</v>
      </c>
      <c r="AE1324" s="41">
        <v>63.35</v>
      </c>
      <c r="AF1324" s="48"/>
      <c r="AG1324" s="44"/>
      <c r="AH1324" s="7">
        <f t="shared" si="20"/>
        <v>0</v>
      </c>
      <c r="AI1324" s="18"/>
      <c r="AJ1324" s="18"/>
    </row>
    <row r="1325" spans="1:38" ht="26.65" customHeight="1" x14ac:dyDescent="0.25">
      <c r="A1325" s="38" t="s">
        <v>8098</v>
      </c>
      <c r="B1325" s="9" t="s">
        <v>1658</v>
      </c>
      <c r="C1325" s="9" t="s">
        <v>58</v>
      </c>
      <c r="D1325" s="9" t="s">
        <v>59</v>
      </c>
      <c r="E1325" s="9" t="s">
        <v>35</v>
      </c>
      <c r="F1325" s="9" t="s">
        <v>36</v>
      </c>
      <c r="G1325" s="9">
        <v>6</v>
      </c>
      <c r="H1325" s="9">
        <v>84212300</v>
      </c>
      <c r="I1325" s="11" t="s">
        <v>37</v>
      </c>
      <c r="J1325" s="12">
        <v>2.3E-2</v>
      </c>
      <c r="K1325" s="12">
        <v>0.108</v>
      </c>
      <c r="L1325" s="12">
        <v>5.1999999999999998E-2</v>
      </c>
      <c r="M1325" s="13">
        <v>8003453808584</v>
      </c>
      <c r="N1325" s="14">
        <v>1.1000000000000001</v>
      </c>
      <c r="O1325" s="14">
        <v>1.22</v>
      </c>
      <c r="P1325" s="15">
        <v>45139</v>
      </c>
      <c r="Q1325" s="16" t="s">
        <v>8099</v>
      </c>
      <c r="R1325" s="17" t="s">
        <v>8100</v>
      </c>
      <c r="S1325" s="17" t="s">
        <v>8101</v>
      </c>
      <c r="T1325" s="17" t="s">
        <v>8102</v>
      </c>
      <c r="U1325" s="17" t="s">
        <v>8103</v>
      </c>
      <c r="V1325" s="17" t="s">
        <v>8104</v>
      </c>
      <c r="W1325" s="17" t="s">
        <v>35</v>
      </c>
      <c r="X1325" s="17" t="s">
        <v>35</v>
      </c>
      <c r="Y1325" s="17" t="s">
        <v>8105</v>
      </c>
      <c r="Z1325" s="17" t="s">
        <v>35</v>
      </c>
      <c r="AA1325" s="17" t="s">
        <v>8106</v>
      </c>
      <c r="AB1325" s="17" t="s">
        <v>8107</v>
      </c>
      <c r="AC1325" s="17" t="s">
        <v>9538</v>
      </c>
      <c r="AD1325" s="42">
        <v>51.11</v>
      </c>
      <c r="AE1325" s="42">
        <v>53.77</v>
      </c>
      <c r="AF1325" s="48"/>
      <c r="AG1325" s="44"/>
      <c r="AH1325" s="7">
        <f t="shared" si="20"/>
        <v>0</v>
      </c>
      <c r="AI1325" s="18"/>
      <c r="AJ1325" s="18"/>
      <c r="AK1325" s="21"/>
    </row>
    <row r="1326" spans="1:38" ht="26.65" customHeight="1" x14ac:dyDescent="0.25">
      <c r="A1326" s="10" t="s">
        <v>8108</v>
      </c>
      <c r="B1326" s="9" t="s">
        <v>1658</v>
      </c>
      <c r="C1326" s="9" t="s">
        <v>58</v>
      </c>
      <c r="D1326" s="9" t="s">
        <v>904</v>
      </c>
      <c r="E1326" s="9" t="s">
        <v>35</v>
      </c>
      <c r="F1326" s="9" t="s">
        <v>36</v>
      </c>
      <c r="G1326" s="9">
        <v>6</v>
      </c>
      <c r="H1326" s="9">
        <v>84212300</v>
      </c>
      <c r="I1326" s="11" t="s">
        <v>37</v>
      </c>
      <c r="J1326" s="12">
        <v>2.3E-2</v>
      </c>
      <c r="K1326" s="12">
        <v>0.108</v>
      </c>
      <c r="L1326" s="12">
        <v>5.1999999999999998E-2</v>
      </c>
      <c r="M1326" s="13">
        <v>8003453807396</v>
      </c>
      <c r="N1326" s="14">
        <v>1.04</v>
      </c>
      <c r="O1326" s="14">
        <v>1.1399999999999999</v>
      </c>
      <c r="P1326" s="15">
        <v>44896</v>
      </c>
      <c r="Q1326" s="16" t="s">
        <v>8712</v>
      </c>
      <c r="R1326" s="17" t="s">
        <v>8109</v>
      </c>
      <c r="S1326" s="17" t="s">
        <v>1055</v>
      </c>
      <c r="T1326" s="17" t="s">
        <v>1056</v>
      </c>
      <c r="U1326" s="17" t="s">
        <v>8713</v>
      </c>
      <c r="V1326" s="17" t="s">
        <v>1058</v>
      </c>
      <c r="W1326" s="17" t="s">
        <v>1059</v>
      </c>
      <c r="X1326" s="17" t="s">
        <v>1060</v>
      </c>
      <c r="Y1326" s="17" t="s">
        <v>8714</v>
      </c>
      <c r="Z1326" s="17" t="s">
        <v>1062</v>
      </c>
      <c r="AA1326" s="17" t="s">
        <v>8110</v>
      </c>
      <c r="AB1326" s="17" t="s">
        <v>1063</v>
      </c>
      <c r="AC1326" s="17" t="s">
        <v>9539</v>
      </c>
      <c r="AD1326" s="42">
        <v>51.66</v>
      </c>
      <c r="AE1326" s="42">
        <v>54.35</v>
      </c>
      <c r="AF1326" s="48"/>
      <c r="AG1326" s="44"/>
      <c r="AH1326" s="7">
        <f t="shared" si="20"/>
        <v>0</v>
      </c>
      <c r="AI1326" s="18"/>
      <c r="AJ1326" s="18"/>
    </row>
    <row r="1327" spans="1:38" ht="26.65" customHeight="1" x14ac:dyDescent="0.25">
      <c r="A1327" s="38" t="s">
        <v>8111</v>
      </c>
      <c r="B1327" s="9" t="s">
        <v>1658</v>
      </c>
      <c r="C1327" s="9" t="s">
        <v>154</v>
      </c>
      <c r="D1327" s="9" t="s">
        <v>59</v>
      </c>
      <c r="E1327" s="9" t="s">
        <v>35</v>
      </c>
      <c r="F1327" s="9" t="s">
        <v>36</v>
      </c>
      <c r="G1327" s="9">
        <v>6</v>
      </c>
      <c r="H1327" s="9">
        <v>84212300</v>
      </c>
      <c r="I1327" s="11" t="s">
        <v>37</v>
      </c>
      <c r="J1327" s="12">
        <v>2.3E-2</v>
      </c>
      <c r="K1327" s="12">
        <v>0.108</v>
      </c>
      <c r="L1327" s="12">
        <v>5.1999999999999998E-2</v>
      </c>
      <c r="M1327" s="13">
        <v>8003453807402</v>
      </c>
      <c r="N1327" s="14">
        <v>1.02</v>
      </c>
      <c r="O1327" s="14">
        <v>1.1200000000000001</v>
      </c>
      <c r="P1327" s="15">
        <v>44896</v>
      </c>
      <c r="Q1327" s="16" t="s">
        <v>8715</v>
      </c>
      <c r="R1327" s="17" t="s">
        <v>1612</v>
      </c>
      <c r="S1327" s="17" t="s">
        <v>8094</v>
      </c>
      <c r="T1327" s="17" t="s">
        <v>35</v>
      </c>
      <c r="U1327" s="17" t="s">
        <v>8716</v>
      </c>
      <c r="V1327" s="17" t="s">
        <v>8095</v>
      </c>
      <c r="W1327" s="17" t="s">
        <v>35</v>
      </c>
      <c r="X1327" s="17" t="s">
        <v>35</v>
      </c>
      <c r="Y1327" s="17" t="s">
        <v>8096</v>
      </c>
      <c r="Z1327" s="17" t="s">
        <v>1012</v>
      </c>
      <c r="AA1327" s="17" t="s">
        <v>8097</v>
      </c>
      <c r="AB1327" s="17" t="s">
        <v>1013</v>
      </c>
      <c r="AC1327" s="17" t="s">
        <v>9538</v>
      </c>
      <c r="AD1327" s="42">
        <v>58.12</v>
      </c>
      <c r="AE1327" s="42">
        <v>61.14</v>
      </c>
      <c r="AF1327" s="48"/>
      <c r="AG1327" s="44"/>
      <c r="AH1327" s="7">
        <f t="shared" si="20"/>
        <v>0</v>
      </c>
      <c r="AI1327" s="18"/>
      <c r="AJ1327" s="18"/>
    </row>
    <row r="1328" spans="1:38" ht="26.65" customHeight="1" x14ac:dyDescent="0.25">
      <c r="A1328" s="10" t="s">
        <v>8112</v>
      </c>
      <c r="B1328" s="9" t="s">
        <v>1658</v>
      </c>
      <c r="C1328" s="9" t="s">
        <v>58</v>
      </c>
      <c r="D1328" s="9" t="s">
        <v>904</v>
      </c>
      <c r="E1328" s="9" t="s">
        <v>35</v>
      </c>
      <c r="F1328" s="9" t="s">
        <v>36</v>
      </c>
      <c r="G1328" s="9">
        <v>6</v>
      </c>
      <c r="H1328" s="9">
        <v>84212300</v>
      </c>
      <c r="I1328" s="11" t="s">
        <v>37</v>
      </c>
      <c r="J1328" s="12">
        <v>2.3E-2</v>
      </c>
      <c r="K1328" s="12">
        <v>0.108</v>
      </c>
      <c r="L1328" s="12">
        <v>5.1999999999999998E-2</v>
      </c>
      <c r="M1328" s="13">
        <v>8003453807914</v>
      </c>
      <c r="N1328" s="14">
        <v>0.42099999999999999</v>
      </c>
      <c r="O1328" s="14">
        <v>0.47799999999999998</v>
      </c>
      <c r="P1328" s="15">
        <v>44986</v>
      </c>
      <c r="Q1328" s="16" t="s">
        <v>8113</v>
      </c>
      <c r="R1328" s="17" t="s">
        <v>8114</v>
      </c>
      <c r="S1328" s="17" t="s">
        <v>35</v>
      </c>
      <c r="T1328" s="17" t="s">
        <v>35</v>
      </c>
      <c r="U1328" s="17" t="s">
        <v>8115</v>
      </c>
      <c r="V1328" s="17" t="s">
        <v>8116</v>
      </c>
      <c r="W1328" s="17" t="s">
        <v>8117</v>
      </c>
      <c r="X1328" s="17" t="s">
        <v>35</v>
      </c>
      <c r="Y1328" s="17" t="s">
        <v>8118</v>
      </c>
      <c r="Z1328" s="17" t="s">
        <v>8119</v>
      </c>
      <c r="AA1328" s="17" t="s">
        <v>8120</v>
      </c>
      <c r="AB1328" s="17" t="s">
        <v>8121</v>
      </c>
      <c r="AC1328" s="17" t="s">
        <v>9539</v>
      </c>
      <c r="AD1328" s="42">
        <v>79.77</v>
      </c>
      <c r="AE1328" s="42">
        <v>83.92</v>
      </c>
      <c r="AF1328" s="48"/>
      <c r="AG1328" s="44"/>
      <c r="AH1328" s="7">
        <f t="shared" si="20"/>
        <v>0</v>
      </c>
      <c r="AI1328" s="18"/>
      <c r="AJ1328" s="18"/>
    </row>
    <row r="1329" spans="1:38" ht="26.65" customHeight="1" x14ac:dyDescent="0.25">
      <c r="A1329" s="38" t="s">
        <v>8122</v>
      </c>
      <c r="B1329" s="9" t="s">
        <v>57</v>
      </c>
      <c r="C1329" s="9" t="s">
        <v>43</v>
      </c>
      <c r="D1329" s="9" t="s">
        <v>904</v>
      </c>
      <c r="E1329" s="9" t="s">
        <v>122</v>
      </c>
      <c r="F1329" s="9" t="s">
        <v>36</v>
      </c>
      <c r="G1329" s="9">
        <v>6</v>
      </c>
      <c r="H1329" s="9">
        <v>84219999</v>
      </c>
      <c r="I1329" s="11" t="s">
        <v>37</v>
      </c>
      <c r="J1329" s="12">
        <v>1.6500000000000001E-2</v>
      </c>
      <c r="K1329" s="12">
        <v>7.5999999999999998E-2</v>
      </c>
      <c r="L1329" s="12">
        <v>5.1999999999999998E-2</v>
      </c>
      <c r="M1329" s="13">
        <v>8003453200012</v>
      </c>
      <c r="N1329" s="14">
        <v>0.115</v>
      </c>
      <c r="O1329" s="14">
        <v>0.13</v>
      </c>
      <c r="P1329" s="15" t="s">
        <v>35</v>
      </c>
      <c r="Q1329" s="16" t="s">
        <v>8717</v>
      </c>
      <c r="R1329" s="17" t="s">
        <v>8123</v>
      </c>
      <c r="S1329" s="17" t="s">
        <v>8124</v>
      </c>
      <c r="T1329" s="17" t="s">
        <v>8125</v>
      </c>
      <c r="U1329" s="17" t="s">
        <v>8126</v>
      </c>
      <c r="V1329" s="17" t="s">
        <v>8127</v>
      </c>
      <c r="W1329" s="17" t="s">
        <v>8128</v>
      </c>
      <c r="X1329" s="17" t="s">
        <v>8129</v>
      </c>
      <c r="Y1329" s="17" t="s">
        <v>8130</v>
      </c>
      <c r="Z1329" s="17" t="s">
        <v>35</v>
      </c>
      <c r="AA1329" s="17" t="s">
        <v>35</v>
      </c>
      <c r="AB1329" s="17" t="s">
        <v>35</v>
      </c>
      <c r="AC1329" s="17" t="s">
        <v>9538</v>
      </c>
      <c r="AD1329" s="42">
        <v>27.25</v>
      </c>
      <c r="AE1329" s="42">
        <v>28.67</v>
      </c>
      <c r="AF1329" s="48"/>
      <c r="AG1329" s="44"/>
      <c r="AH1329" s="7">
        <f t="shared" si="20"/>
        <v>0</v>
      </c>
      <c r="AI1329" s="18"/>
      <c r="AJ1329" s="18"/>
    </row>
    <row r="1330" spans="1:38" ht="26.65" customHeight="1" x14ac:dyDescent="0.25">
      <c r="A1330" s="38" t="s">
        <v>8131</v>
      </c>
      <c r="B1330" s="9" t="s">
        <v>8132</v>
      </c>
      <c r="C1330" s="9" t="s">
        <v>58</v>
      </c>
      <c r="D1330" s="9" t="s">
        <v>67</v>
      </c>
      <c r="E1330" s="9" t="s">
        <v>122</v>
      </c>
      <c r="F1330" s="9" t="s">
        <v>36</v>
      </c>
      <c r="G1330" s="9">
        <v>1</v>
      </c>
      <c r="H1330" s="9">
        <v>84219999</v>
      </c>
      <c r="I1330" s="11" t="s">
        <v>37</v>
      </c>
      <c r="J1330" s="12">
        <v>1.6500000000000001E-2</v>
      </c>
      <c r="K1330" s="12">
        <v>7.5999999999999998E-2</v>
      </c>
      <c r="L1330" s="12">
        <v>5.1999999999999998E-2</v>
      </c>
      <c r="M1330" s="13">
        <v>8003453270015</v>
      </c>
      <c r="N1330" s="14">
        <v>1.401</v>
      </c>
      <c r="O1330" s="14">
        <v>1.53</v>
      </c>
      <c r="P1330" s="15" t="s">
        <v>35</v>
      </c>
      <c r="Q1330" s="16" t="s">
        <v>8133</v>
      </c>
      <c r="R1330" s="17" t="s">
        <v>8134</v>
      </c>
      <c r="S1330" s="17" t="s">
        <v>8135</v>
      </c>
      <c r="T1330" s="17" t="s">
        <v>8136</v>
      </c>
      <c r="U1330" s="17" t="s">
        <v>35</v>
      </c>
      <c r="V1330" s="17" t="s">
        <v>35</v>
      </c>
      <c r="W1330" s="17" t="s">
        <v>35</v>
      </c>
      <c r="X1330" s="17" t="s">
        <v>35</v>
      </c>
      <c r="Y1330" s="17" t="s">
        <v>35</v>
      </c>
      <c r="Z1330" s="17" t="s">
        <v>35</v>
      </c>
      <c r="AA1330" s="17" t="s">
        <v>35</v>
      </c>
      <c r="AB1330" s="17" t="s">
        <v>8137</v>
      </c>
      <c r="AC1330" s="17" t="s">
        <v>9538</v>
      </c>
      <c r="AD1330" s="41">
        <v>213.52</v>
      </c>
      <c r="AE1330" s="41">
        <v>224.62</v>
      </c>
      <c r="AF1330" s="48"/>
      <c r="AG1330" s="44"/>
      <c r="AH1330" s="7">
        <f t="shared" si="20"/>
        <v>0</v>
      </c>
      <c r="AI1330" s="18"/>
      <c r="AJ1330" s="18"/>
      <c r="AL1330" s="18"/>
    </row>
    <row r="1331" spans="1:38" ht="26.65" customHeight="1" x14ac:dyDescent="0.25">
      <c r="A1331" s="10" t="s">
        <v>8138</v>
      </c>
      <c r="B1331" s="9" t="s">
        <v>8139</v>
      </c>
      <c r="C1331" s="9" t="s">
        <v>34</v>
      </c>
      <c r="D1331" s="9" t="s">
        <v>8140</v>
      </c>
      <c r="E1331" s="9" t="s">
        <v>35</v>
      </c>
      <c r="F1331" s="9" t="s">
        <v>36</v>
      </c>
      <c r="G1331" s="9">
        <v>1</v>
      </c>
      <c r="H1331" s="9">
        <v>84219999</v>
      </c>
      <c r="I1331" s="11" t="s">
        <v>37</v>
      </c>
      <c r="J1331" s="12">
        <v>1.6500000000000001E-2</v>
      </c>
      <c r="K1331" s="12">
        <v>7.5999999999999998E-2</v>
      </c>
      <c r="L1331" s="12">
        <v>5.1999999999999998E-2</v>
      </c>
      <c r="M1331" s="13">
        <v>8003453070158</v>
      </c>
      <c r="N1331" s="14">
        <v>1.1850000000000001</v>
      </c>
      <c r="O1331" s="14">
        <v>1.278</v>
      </c>
      <c r="P1331" s="15">
        <v>45200</v>
      </c>
      <c r="Q1331" s="16" t="s">
        <v>8141</v>
      </c>
      <c r="R1331" s="17" t="s">
        <v>8142</v>
      </c>
      <c r="S1331" s="17" t="s">
        <v>8143</v>
      </c>
      <c r="T1331" s="17" t="s">
        <v>35</v>
      </c>
      <c r="U1331" s="17" t="s">
        <v>35</v>
      </c>
      <c r="V1331" s="17" t="s">
        <v>35</v>
      </c>
      <c r="W1331" s="17" t="s">
        <v>35</v>
      </c>
      <c r="X1331" s="17" t="s">
        <v>35</v>
      </c>
      <c r="Y1331" s="17" t="s">
        <v>35</v>
      </c>
      <c r="Z1331" s="17" t="s">
        <v>35</v>
      </c>
      <c r="AA1331" s="17" t="s">
        <v>35</v>
      </c>
      <c r="AB1331" s="17" t="s">
        <v>8144</v>
      </c>
      <c r="AC1331" s="17" t="s">
        <v>9539</v>
      </c>
      <c r="AD1331" s="41">
        <v>178.24</v>
      </c>
      <c r="AE1331" s="41">
        <v>187.51</v>
      </c>
      <c r="AF1331" s="48"/>
      <c r="AG1331" s="44"/>
      <c r="AH1331" s="7">
        <f t="shared" si="20"/>
        <v>0</v>
      </c>
      <c r="AI1331" s="18"/>
      <c r="AJ1331" s="18"/>
    </row>
    <row r="1332" spans="1:38" ht="26.65" customHeight="1" x14ac:dyDescent="0.25">
      <c r="A1332" s="10" t="s">
        <v>10508</v>
      </c>
      <c r="B1332" s="9" t="s">
        <v>8224</v>
      </c>
      <c r="C1332" s="9" t="s">
        <v>34</v>
      </c>
      <c r="D1332" s="9" t="s">
        <v>8140</v>
      </c>
      <c r="E1332" s="9" t="s">
        <v>35</v>
      </c>
      <c r="F1332" s="9" t="s">
        <v>36</v>
      </c>
      <c r="G1332" s="9">
        <v>1</v>
      </c>
      <c r="H1332" s="9">
        <v>84219999</v>
      </c>
      <c r="I1332" s="11" t="s">
        <v>37</v>
      </c>
      <c r="J1332" s="12">
        <v>1.6500000000000001E-2</v>
      </c>
      <c r="K1332" s="12">
        <v>7.5999999999999998E-2</v>
      </c>
      <c r="L1332" s="12">
        <v>5.1999999999999998E-2</v>
      </c>
      <c r="M1332" s="13">
        <v>8003453809345</v>
      </c>
      <c r="N1332" s="14">
        <v>0</v>
      </c>
      <c r="O1332" s="14">
        <v>0</v>
      </c>
      <c r="P1332" s="15">
        <v>45566</v>
      </c>
      <c r="Q1332" s="16" t="s">
        <v>10509</v>
      </c>
      <c r="R1332" s="17" t="s">
        <v>10510</v>
      </c>
      <c r="S1332" s="17" t="s">
        <v>35</v>
      </c>
      <c r="T1332" s="17" t="s">
        <v>35</v>
      </c>
      <c r="U1332" s="17" t="s">
        <v>35</v>
      </c>
      <c r="V1332" s="17" t="s">
        <v>35</v>
      </c>
      <c r="W1332" s="17" t="s">
        <v>35</v>
      </c>
      <c r="X1332" s="17" t="s">
        <v>35</v>
      </c>
      <c r="Y1332" s="17" t="s">
        <v>35</v>
      </c>
      <c r="Z1332" s="17" t="s">
        <v>35</v>
      </c>
      <c r="AA1332" s="17" t="s">
        <v>35</v>
      </c>
      <c r="AB1332" s="17" t="s">
        <v>10193</v>
      </c>
      <c r="AC1332" s="17" t="s">
        <v>9539</v>
      </c>
      <c r="AD1332" s="41">
        <v>243.42</v>
      </c>
      <c r="AE1332" s="41">
        <v>256.08</v>
      </c>
      <c r="AF1332" s="48"/>
      <c r="AG1332" s="44"/>
      <c r="AH1332" s="7">
        <f t="shared" si="20"/>
        <v>0</v>
      </c>
      <c r="AI1332" s="18"/>
      <c r="AJ1332" s="18"/>
    </row>
    <row r="1333" spans="1:38" ht="26.65" customHeight="1" x14ac:dyDescent="0.25">
      <c r="A1333" s="10" t="s">
        <v>9415</v>
      </c>
      <c r="B1333" s="9" t="s">
        <v>8139</v>
      </c>
      <c r="C1333" s="9" t="s">
        <v>34</v>
      </c>
      <c r="D1333" s="9" t="s">
        <v>8140</v>
      </c>
      <c r="E1333" s="9" t="s">
        <v>122</v>
      </c>
      <c r="F1333" s="9" t="s">
        <v>36</v>
      </c>
      <c r="G1333" s="9">
        <v>1</v>
      </c>
      <c r="H1333" s="9">
        <v>84219999</v>
      </c>
      <c r="I1333" s="11" t="s">
        <v>37</v>
      </c>
      <c r="J1333" s="12">
        <v>1.6500000000000001E-2</v>
      </c>
      <c r="K1333" s="12">
        <v>7.5999999999999998E-2</v>
      </c>
      <c r="L1333" s="12">
        <v>5.1999999999999998E-2</v>
      </c>
      <c r="M1333" s="13">
        <v>8003453070783</v>
      </c>
      <c r="N1333" s="14">
        <v>0</v>
      </c>
      <c r="O1333" s="14">
        <v>0</v>
      </c>
      <c r="P1333" s="15">
        <v>45444</v>
      </c>
      <c r="Q1333" s="16" t="s">
        <v>9375</v>
      </c>
      <c r="R1333" s="17">
        <v>7719570</v>
      </c>
      <c r="S1333" s="17" t="s">
        <v>9416</v>
      </c>
      <c r="T1333" s="17" t="s">
        <v>35</v>
      </c>
      <c r="U1333" s="17" t="s">
        <v>35</v>
      </c>
      <c r="V1333" s="17" t="s">
        <v>35</v>
      </c>
      <c r="W1333" s="17" t="s">
        <v>35</v>
      </c>
      <c r="X1333" s="17" t="s">
        <v>35</v>
      </c>
      <c r="Y1333" s="17" t="s">
        <v>35</v>
      </c>
      <c r="Z1333" s="17" t="s">
        <v>35</v>
      </c>
      <c r="AA1333" s="17" t="s">
        <v>35</v>
      </c>
      <c r="AB1333" s="17" t="s">
        <v>35</v>
      </c>
      <c r="AC1333" s="17" t="s">
        <v>9539</v>
      </c>
      <c r="AD1333" s="41">
        <v>193.42</v>
      </c>
      <c r="AE1333" s="41">
        <v>203.48</v>
      </c>
      <c r="AF1333" s="48"/>
      <c r="AG1333" s="44"/>
      <c r="AH1333" s="7">
        <f t="shared" si="20"/>
        <v>0</v>
      </c>
      <c r="AI1333" s="18"/>
      <c r="AJ1333" s="18"/>
    </row>
    <row r="1334" spans="1:38" ht="26.65" customHeight="1" x14ac:dyDescent="0.25">
      <c r="A1334" s="10" t="s">
        <v>10511</v>
      </c>
      <c r="B1334" s="9" t="s">
        <v>8224</v>
      </c>
      <c r="C1334" s="9" t="s">
        <v>34</v>
      </c>
      <c r="D1334" s="9" t="s">
        <v>8140</v>
      </c>
      <c r="E1334" s="9" t="s">
        <v>35</v>
      </c>
      <c r="F1334" s="9" t="s">
        <v>36</v>
      </c>
      <c r="G1334" s="9">
        <v>1</v>
      </c>
      <c r="H1334" s="9">
        <v>84219999</v>
      </c>
      <c r="I1334" s="11" t="s">
        <v>37</v>
      </c>
      <c r="J1334" s="12">
        <v>1.6500000000000001E-2</v>
      </c>
      <c r="K1334" s="12">
        <v>7.5999999999999998E-2</v>
      </c>
      <c r="L1334" s="12">
        <v>5.1999999999999998E-2</v>
      </c>
      <c r="M1334" s="13">
        <v>8003453808997</v>
      </c>
      <c r="N1334" s="14">
        <v>0</v>
      </c>
      <c r="O1334" s="14">
        <v>0</v>
      </c>
      <c r="P1334" s="15">
        <v>45566</v>
      </c>
      <c r="Q1334" s="16" t="s">
        <v>10512</v>
      </c>
      <c r="R1334" s="17" t="s">
        <v>10513</v>
      </c>
      <c r="S1334" s="17" t="s">
        <v>35</v>
      </c>
      <c r="T1334" s="17" t="s">
        <v>35</v>
      </c>
      <c r="U1334" s="17" t="s">
        <v>35</v>
      </c>
      <c r="V1334" s="17" t="s">
        <v>35</v>
      </c>
      <c r="W1334" s="17" t="s">
        <v>35</v>
      </c>
      <c r="X1334" s="17" t="s">
        <v>35</v>
      </c>
      <c r="Y1334" s="17" t="s">
        <v>35</v>
      </c>
      <c r="Z1334" s="17" t="s">
        <v>35</v>
      </c>
      <c r="AA1334" s="17" t="s">
        <v>35</v>
      </c>
      <c r="AB1334" s="17" t="s">
        <v>10514</v>
      </c>
      <c r="AC1334" s="17" t="s">
        <v>9539</v>
      </c>
      <c r="AD1334" s="41">
        <v>60.4</v>
      </c>
      <c r="AE1334" s="41">
        <v>63.54</v>
      </c>
      <c r="AF1334" s="48"/>
      <c r="AG1334" s="44"/>
      <c r="AH1334" s="7">
        <f t="shared" si="20"/>
        <v>0</v>
      </c>
      <c r="AI1334" s="18"/>
      <c r="AJ1334" s="18"/>
    </row>
    <row r="1335" spans="1:38" ht="26.65" customHeight="1" x14ac:dyDescent="0.25">
      <c r="A1335" s="10" t="s">
        <v>8145</v>
      </c>
      <c r="B1335" s="9" t="s">
        <v>8146</v>
      </c>
      <c r="C1335" s="9" t="s">
        <v>34</v>
      </c>
      <c r="D1335" s="9" t="s">
        <v>67</v>
      </c>
      <c r="E1335" s="9" t="s">
        <v>35</v>
      </c>
      <c r="F1335" s="9" t="s">
        <v>36</v>
      </c>
      <c r="G1335" s="9">
        <v>6</v>
      </c>
      <c r="H1335" s="9">
        <v>84212990</v>
      </c>
      <c r="I1335" s="11" t="s">
        <v>37</v>
      </c>
      <c r="J1335" s="12">
        <v>1.6500000000000001E-2</v>
      </c>
      <c r="K1335" s="12">
        <v>7.5999999999999998E-2</v>
      </c>
      <c r="L1335" s="12">
        <v>0</v>
      </c>
      <c r="M1335" s="13">
        <v>8003453160262</v>
      </c>
      <c r="N1335" s="14">
        <v>0.60599999999999998</v>
      </c>
      <c r="O1335" s="14">
        <v>0.629</v>
      </c>
      <c r="P1335" s="15">
        <v>44501</v>
      </c>
      <c r="Q1335" s="16" t="s">
        <v>8147</v>
      </c>
      <c r="R1335" s="17" t="s">
        <v>8148</v>
      </c>
      <c r="S1335" s="17" t="s">
        <v>8149</v>
      </c>
      <c r="T1335" s="17" t="s">
        <v>35</v>
      </c>
      <c r="U1335" s="17" t="s">
        <v>35</v>
      </c>
      <c r="V1335" s="17" t="s">
        <v>35</v>
      </c>
      <c r="W1335" s="17" t="s">
        <v>35</v>
      </c>
      <c r="X1335" s="17" t="s">
        <v>35</v>
      </c>
      <c r="Y1335" s="17" t="s">
        <v>35</v>
      </c>
      <c r="Z1335" s="17" t="s">
        <v>8150</v>
      </c>
      <c r="AA1335" s="17" t="s">
        <v>8151</v>
      </c>
      <c r="AB1335" s="17" t="s">
        <v>35</v>
      </c>
      <c r="AC1335" s="17" t="s">
        <v>9539</v>
      </c>
      <c r="AD1335" s="41">
        <v>93.41</v>
      </c>
      <c r="AE1335" s="41">
        <v>93.41</v>
      </c>
      <c r="AF1335" s="48"/>
      <c r="AG1335" s="44"/>
      <c r="AH1335" s="7">
        <f t="shared" si="20"/>
        <v>0</v>
      </c>
      <c r="AI1335" s="18"/>
      <c r="AJ1335" s="18"/>
      <c r="AL1335" s="18"/>
    </row>
    <row r="1336" spans="1:38" ht="26.65" customHeight="1" x14ac:dyDescent="0.25">
      <c r="A1336" s="10" t="s">
        <v>8152</v>
      </c>
      <c r="B1336" s="9" t="s">
        <v>8146</v>
      </c>
      <c r="C1336" s="9" t="s">
        <v>34</v>
      </c>
      <c r="D1336" s="9" t="s">
        <v>8140</v>
      </c>
      <c r="E1336" s="9" t="s">
        <v>35</v>
      </c>
      <c r="F1336" s="9" t="s">
        <v>36</v>
      </c>
      <c r="G1336" s="9">
        <v>6</v>
      </c>
      <c r="H1336" s="9">
        <v>84212990</v>
      </c>
      <c r="I1336" s="11" t="s">
        <v>37</v>
      </c>
      <c r="J1336" s="12">
        <v>1.6500000000000001E-2</v>
      </c>
      <c r="K1336" s="12">
        <v>7.5999999999999998E-2</v>
      </c>
      <c r="L1336" s="12">
        <v>0</v>
      </c>
      <c r="M1336" s="13">
        <v>8003453160637</v>
      </c>
      <c r="N1336" s="14">
        <v>0.68</v>
      </c>
      <c r="O1336" s="14">
        <v>0.78</v>
      </c>
      <c r="P1336" s="15">
        <v>45108</v>
      </c>
      <c r="Q1336" s="16" t="s">
        <v>8153</v>
      </c>
      <c r="R1336" s="17" t="s">
        <v>8154</v>
      </c>
      <c r="S1336" s="17" t="s">
        <v>8155</v>
      </c>
      <c r="T1336" s="17" t="s">
        <v>8156</v>
      </c>
      <c r="U1336" s="17" t="s">
        <v>8157</v>
      </c>
      <c r="V1336" s="17" t="s">
        <v>8158</v>
      </c>
      <c r="W1336" s="17" t="s">
        <v>8159</v>
      </c>
      <c r="X1336" s="17" t="s">
        <v>8160</v>
      </c>
      <c r="Y1336" s="17" t="s">
        <v>8161</v>
      </c>
      <c r="Z1336" s="17" t="s">
        <v>8162</v>
      </c>
      <c r="AA1336" s="17" t="s">
        <v>8163</v>
      </c>
      <c r="AB1336" s="17" t="s">
        <v>8164</v>
      </c>
      <c r="AC1336" s="17" t="s">
        <v>9539</v>
      </c>
      <c r="AD1336" s="41">
        <v>53.86</v>
      </c>
      <c r="AE1336" s="41">
        <v>53.86</v>
      </c>
      <c r="AF1336" s="48"/>
      <c r="AG1336" s="44"/>
      <c r="AH1336" s="7">
        <f t="shared" si="20"/>
        <v>0</v>
      </c>
      <c r="AI1336" s="18"/>
      <c r="AJ1336" s="18"/>
    </row>
    <row r="1337" spans="1:38" ht="26.65" customHeight="1" x14ac:dyDescent="0.25">
      <c r="A1337" s="10" t="s">
        <v>8165</v>
      </c>
      <c r="B1337" s="9" t="s">
        <v>8166</v>
      </c>
      <c r="C1337" s="9" t="s">
        <v>34</v>
      </c>
      <c r="D1337" s="9" t="s">
        <v>8140</v>
      </c>
      <c r="E1337" s="9" t="s">
        <v>122</v>
      </c>
      <c r="F1337" s="9" t="s">
        <v>36</v>
      </c>
      <c r="G1337" s="9">
        <v>6</v>
      </c>
      <c r="H1337" s="9">
        <v>84212990</v>
      </c>
      <c r="I1337" s="11" t="s">
        <v>37</v>
      </c>
      <c r="J1337" s="12">
        <v>1.6500000000000001E-2</v>
      </c>
      <c r="K1337" s="12">
        <v>7.5999999999999998E-2</v>
      </c>
      <c r="L1337" s="12">
        <v>0</v>
      </c>
      <c r="M1337" s="13">
        <v>8003453160408</v>
      </c>
      <c r="N1337" s="14">
        <v>0.95499999999999996</v>
      </c>
      <c r="O1337" s="14">
        <v>1.0309999999999999</v>
      </c>
      <c r="P1337" s="15">
        <v>45108</v>
      </c>
      <c r="Q1337" s="16" t="s">
        <v>8167</v>
      </c>
      <c r="R1337" s="17" t="s">
        <v>35</v>
      </c>
      <c r="S1337" s="17" t="s">
        <v>8168</v>
      </c>
      <c r="T1337" s="17" t="s">
        <v>35</v>
      </c>
      <c r="U1337" s="17" t="s">
        <v>35</v>
      </c>
      <c r="V1337" s="17" t="s">
        <v>35</v>
      </c>
      <c r="W1337" s="17" t="s">
        <v>35</v>
      </c>
      <c r="X1337" s="17" t="s">
        <v>8169</v>
      </c>
      <c r="Y1337" s="17" t="s">
        <v>35</v>
      </c>
      <c r="Z1337" s="17" t="s">
        <v>8170</v>
      </c>
      <c r="AA1337" s="17" t="s">
        <v>35</v>
      </c>
      <c r="AB1337" s="17" t="s">
        <v>8171</v>
      </c>
      <c r="AC1337" s="17" t="s">
        <v>9539</v>
      </c>
      <c r="AD1337" s="42">
        <v>83.68</v>
      </c>
      <c r="AE1337" s="42">
        <v>83.68</v>
      </c>
      <c r="AF1337" s="48"/>
      <c r="AG1337" s="44"/>
      <c r="AH1337" s="7">
        <f t="shared" si="20"/>
        <v>0</v>
      </c>
      <c r="AI1337" s="18"/>
      <c r="AJ1337" s="18"/>
    </row>
    <row r="1338" spans="1:38" ht="26.65" customHeight="1" x14ac:dyDescent="0.25">
      <c r="A1338" s="10" t="s">
        <v>8172</v>
      </c>
      <c r="B1338" s="9" t="s">
        <v>8146</v>
      </c>
      <c r="C1338" s="9" t="s">
        <v>34</v>
      </c>
      <c r="D1338" s="9" t="s">
        <v>8140</v>
      </c>
      <c r="E1338" s="9" t="s">
        <v>122</v>
      </c>
      <c r="F1338" s="9" t="s">
        <v>36</v>
      </c>
      <c r="G1338" s="9">
        <v>6</v>
      </c>
      <c r="H1338" s="9">
        <v>84212990</v>
      </c>
      <c r="I1338" s="11" t="s">
        <v>37</v>
      </c>
      <c r="J1338" s="12">
        <v>1.6500000000000001E-2</v>
      </c>
      <c r="K1338" s="12">
        <v>7.5999999999999998E-2</v>
      </c>
      <c r="L1338" s="12">
        <v>0</v>
      </c>
      <c r="M1338" s="13">
        <v>8003453160415</v>
      </c>
      <c r="N1338" s="14">
        <v>0.76200000000000001</v>
      </c>
      <c r="O1338" s="14">
        <v>0.81399999999999995</v>
      </c>
      <c r="P1338" s="15">
        <v>44958</v>
      </c>
      <c r="Q1338" s="16" t="s">
        <v>8173</v>
      </c>
      <c r="R1338" s="17" t="s">
        <v>8174</v>
      </c>
      <c r="S1338" s="17" t="s">
        <v>8175</v>
      </c>
      <c r="T1338" s="17" t="s">
        <v>8176</v>
      </c>
      <c r="U1338" s="17" t="s">
        <v>35</v>
      </c>
      <c r="V1338" s="17" t="s">
        <v>35</v>
      </c>
      <c r="W1338" s="17" t="s">
        <v>35</v>
      </c>
      <c r="X1338" s="17" t="s">
        <v>8177</v>
      </c>
      <c r="Y1338" s="17" t="s">
        <v>35</v>
      </c>
      <c r="Z1338" s="17" t="s">
        <v>8178</v>
      </c>
      <c r="AA1338" s="17" t="s">
        <v>35</v>
      </c>
      <c r="AB1338" s="17" t="s">
        <v>8179</v>
      </c>
      <c r="AC1338" s="17" t="s">
        <v>9539</v>
      </c>
      <c r="AD1338" s="41">
        <v>98.12</v>
      </c>
      <c r="AE1338" s="41">
        <v>98.12</v>
      </c>
      <c r="AF1338" s="48"/>
      <c r="AG1338" s="44"/>
      <c r="AH1338" s="7">
        <f t="shared" si="20"/>
        <v>0</v>
      </c>
      <c r="AI1338" s="18"/>
      <c r="AJ1338" s="18"/>
    </row>
    <row r="1339" spans="1:38" ht="26.65" customHeight="1" x14ac:dyDescent="0.25">
      <c r="A1339" s="10" t="s">
        <v>9736</v>
      </c>
      <c r="B1339" s="9" t="s">
        <v>8146</v>
      </c>
      <c r="C1339" s="9" t="s">
        <v>34</v>
      </c>
      <c r="D1339" s="9" t="s">
        <v>8140</v>
      </c>
      <c r="E1339" s="9" t="s">
        <v>35</v>
      </c>
      <c r="F1339" s="9" t="s">
        <v>36</v>
      </c>
      <c r="G1339" s="9">
        <v>6</v>
      </c>
      <c r="H1339" s="9">
        <v>84212990</v>
      </c>
      <c r="I1339" s="11" t="s">
        <v>37</v>
      </c>
      <c r="J1339" s="12">
        <v>1.6500000000000001E-2</v>
      </c>
      <c r="K1339" s="12">
        <v>7.5999999999999998E-2</v>
      </c>
      <c r="L1339" s="12">
        <v>0</v>
      </c>
      <c r="M1339" s="13">
        <v>8003453160422</v>
      </c>
      <c r="N1339" s="14">
        <v>0.91</v>
      </c>
      <c r="O1339" s="14">
        <v>0.97199999999999998</v>
      </c>
      <c r="P1339" s="15">
        <v>45474</v>
      </c>
      <c r="Q1339" s="16" t="s">
        <v>9737</v>
      </c>
      <c r="R1339" s="17" t="s">
        <v>9738</v>
      </c>
      <c r="S1339" s="17" t="s">
        <v>9739</v>
      </c>
      <c r="T1339" s="17" t="s">
        <v>35</v>
      </c>
      <c r="U1339" s="17" t="s">
        <v>35</v>
      </c>
      <c r="V1339" s="17" t="s">
        <v>35</v>
      </c>
      <c r="W1339" s="17" t="s">
        <v>35</v>
      </c>
      <c r="X1339" s="17" t="s">
        <v>9740</v>
      </c>
      <c r="Y1339" s="17" t="s">
        <v>35</v>
      </c>
      <c r="Z1339" s="17" t="s">
        <v>9741</v>
      </c>
      <c r="AA1339" s="17" t="s">
        <v>35</v>
      </c>
      <c r="AB1339" s="17" t="s">
        <v>9742</v>
      </c>
      <c r="AC1339" s="17" t="s">
        <v>9539</v>
      </c>
      <c r="AD1339" s="42">
        <v>133.03</v>
      </c>
      <c r="AE1339" s="42">
        <v>133.03</v>
      </c>
      <c r="AF1339" s="48"/>
      <c r="AG1339" s="44"/>
      <c r="AH1339" s="7">
        <f t="shared" si="20"/>
        <v>0</v>
      </c>
      <c r="AI1339" s="18"/>
      <c r="AJ1339" s="18"/>
    </row>
    <row r="1340" spans="1:38" ht="26.65" customHeight="1" x14ac:dyDescent="0.25">
      <c r="A1340" s="10" t="s">
        <v>8180</v>
      </c>
      <c r="B1340" s="9" t="s">
        <v>8166</v>
      </c>
      <c r="C1340" s="9" t="s">
        <v>34</v>
      </c>
      <c r="D1340" s="9" t="s">
        <v>8140</v>
      </c>
      <c r="E1340" s="9" t="s">
        <v>122</v>
      </c>
      <c r="F1340" s="9" t="s">
        <v>36</v>
      </c>
      <c r="G1340" s="9">
        <v>6</v>
      </c>
      <c r="H1340" s="9">
        <v>84212990</v>
      </c>
      <c r="I1340" s="11" t="s">
        <v>37</v>
      </c>
      <c r="J1340" s="12">
        <v>1.6500000000000001E-2</v>
      </c>
      <c r="K1340" s="12">
        <v>7.5999999999999998E-2</v>
      </c>
      <c r="L1340" s="12">
        <v>0</v>
      </c>
      <c r="M1340" s="13">
        <v>8003453041608</v>
      </c>
      <c r="N1340" s="14">
        <v>0.73599999999999999</v>
      </c>
      <c r="O1340" s="14">
        <v>0.78</v>
      </c>
      <c r="P1340" s="15">
        <v>45108</v>
      </c>
      <c r="Q1340" s="16" t="s">
        <v>8181</v>
      </c>
      <c r="R1340" s="17" t="s">
        <v>8182</v>
      </c>
      <c r="S1340" s="17" t="s">
        <v>8183</v>
      </c>
      <c r="T1340" s="17" t="s">
        <v>8184</v>
      </c>
      <c r="U1340" s="17" t="s">
        <v>35</v>
      </c>
      <c r="V1340" s="17" t="s">
        <v>8185</v>
      </c>
      <c r="W1340" s="17" t="s">
        <v>35</v>
      </c>
      <c r="X1340" s="17" t="s">
        <v>8186</v>
      </c>
      <c r="Y1340" s="17" t="s">
        <v>8187</v>
      </c>
      <c r="Z1340" s="17" t="s">
        <v>8188</v>
      </c>
      <c r="AA1340" s="17" t="s">
        <v>35</v>
      </c>
      <c r="AB1340" s="17" t="s">
        <v>35</v>
      </c>
      <c r="AC1340" s="17" t="s">
        <v>9539</v>
      </c>
      <c r="AD1340" s="41">
        <v>70.989999999999995</v>
      </c>
      <c r="AE1340" s="41">
        <v>70.989999999999995</v>
      </c>
      <c r="AF1340" s="48"/>
      <c r="AG1340" s="44"/>
      <c r="AH1340" s="7">
        <f t="shared" si="20"/>
        <v>0</v>
      </c>
      <c r="AI1340" s="18"/>
      <c r="AJ1340" s="18"/>
      <c r="AL1340" s="18"/>
    </row>
    <row r="1341" spans="1:38" ht="26.65" customHeight="1" x14ac:dyDescent="0.25">
      <c r="A1341" s="10" t="s">
        <v>10515</v>
      </c>
      <c r="B1341" s="9" t="s">
        <v>8146</v>
      </c>
      <c r="C1341" s="9" t="s">
        <v>34</v>
      </c>
      <c r="D1341" s="9" t="s">
        <v>48</v>
      </c>
      <c r="E1341" s="9" t="s">
        <v>35</v>
      </c>
      <c r="F1341" s="9" t="s">
        <v>36</v>
      </c>
      <c r="G1341" s="9">
        <v>6</v>
      </c>
      <c r="H1341" s="9">
        <v>84212990</v>
      </c>
      <c r="I1341" s="11" t="s">
        <v>37</v>
      </c>
      <c r="J1341" s="12">
        <v>1.6500000000000001E-2</v>
      </c>
      <c r="K1341" s="12">
        <v>7.5999999999999998E-2</v>
      </c>
      <c r="L1341" s="12">
        <v>0</v>
      </c>
      <c r="M1341" s="13">
        <v>8003453808881</v>
      </c>
      <c r="N1341" s="14">
        <v>0</v>
      </c>
      <c r="O1341" s="14">
        <v>0</v>
      </c>
      <c r="P1341" s="15">
        <v>45566</v>
      </c>
      <c r="Q1341" s="16" t="s">
        <v>10516</v>
      </c>
      <c r="R1341" s="17" t="s">
        <v>10517</v>
      </c>
      <c r="S1341" s="17" t="s">
        <v>8183</v>
      </c>
      <c r="T1341" s="17" t="s">
        <v>8184</v>
      </c>
      <c r="U1341" s="17" t="s">
        <v>35</v>
      </c>
      <c r="V1341" s="17" t="s">
        <v>8185</v>
      </c>
      <c r="W1341" s="17" t="s">
        <v>35</v>
      </c>
      <c r="X1341" s="17" t="s">
        <v>8186</v>
      </c>
      <c r="Y1341" s="17" t="s">
        <v>8187</v>
      </c>
      <c r="Z1341" s="17" t="s">
        <v>8188</v>
      </c>
      <c r="AA1341" s="17" t="s">
        <v>35</v>
      </c>
      <c r="AB1341" s="17" t="s">
        <v>35</v>
      </c>
      <c r="AC1341" s="17" t="s">
        <v>9539</v>
      </c>
      <c r="AD1341" s="41">
        <v>34.56</v>
      </c>
      <c r="AE1341" s="41">
        <v>34.56</v>
      </c>
      <c r="AF1341" s="48"/>
      <c r="AG1341" s="44"/>
      <c r="AH1341" s="7">
        <f t="shared" si="20"/>
        <v>0</v>
      </c>
      <c r="AI1341" s="18"/>
      <c r="AJ1341" s="18"/>
    </row>
    <row r="1342" spans="1:38" ht="26.65" customHeight="1" x14ac:dyDescent="0.25">
      <c r="A1342" s="38" t="s">
        <v>8189</v>
      </c>
      <c r="B1342" s="9" t="s">
        <v>8190</v>
      </c>
      <c r="C1342" s="9" t="s">
        <v>34</v>
      </c>
      <c r="D1342" s="9" t="s">
        <v>8140</v>
      </c>
      <c r="E1342" s="9" t="s">
        <v>35</v>
      </c>
      <c r="F1342" s="9" t="s">
        <v>36</v>
      </c>
      <c r="G1342" s="9">
        <v>1</v>
      </c>
      <c r="H1342" s="9">
        <v>84212990</v>
      </c>
      <c r="I1342" s="11" t="s">
        <v>37</v>
      </c>
      <c r="J1342" s="12">
        <v>1.6500000000000001E-2</v>
      </c>
      <c r="K1342" s="12">
        <v>7.5999999999999998E-2</v>
      </c>
      <c r="L1342" s="12">
        <v>0</v>
      </c>
      <c r="M1342" s="13">
        <v>8003453160453</v>
      </c>
      <c r="N1342" s="14">
        <v>1.1000000000000001</v>
      </c>
      <c r="O1342" s="14">
        <v>1.1870000000000001</v>
      </c>
      <c r="P1342" s="15">
        <v>45200</v>
      </c>
      <c r="Q1342" s="16" t="s">
        <v>8191</v>
      </c>
      <c r="R1342" s="17" t="s">
        <v>8192</v>
      </c>
      <c r="S1342" s="17" t="s">
        <v>8193</v>
      </c>
      <c r="T1342" s="17" t="s">
        <v>8194</v>
      </c>
      <c r="U1342" s="17" t="s">
        <v>35</v>
      </c>
      <c r="V1342" s="17" t="s">
        <v>35</v>
      </c>
      <c r="W1342" s="17" t="s">
        <v>35</v>
      </c>
      <c r="X1342" s="17" t="s">
        <v>8195</v>
      </c>
      <c r="Y1342" s="17" t="s">
        <v>35</v>
      </c>
      <c r="Z1342" s="17" t="s">
        <v>8196</v>
      </c>
      <c r="AA1342" s="17">
        <v>926163</v>
      </c>
      <c r="AB1342" s="17" t="s">
        <v>8197</v>
      </c>
      <c r="AC1342" s="17" t="s">
        <v>9538</v>
      </c>
      <c r="AD1342" s="41">
        <v>62.75</v>
      </c>
      <c r="AE1342" s="41">
        <v>62.75</v>
      </c>
      <c r="AF1342" s="48"/>
      <c r="AG1342" s="44"/>
      <c r="AH1342" s="7">
        <f t="shared" si="20"/>
        <v>0</v>
      </c>
      <c r="AI1342" s="18"/>
      <c r="AJ1342" s="18"/>
      <c r="AL1342" s="18"/>
    </row>
    <row r="1343" spans="1:38" ht="26.65" customHeight="1" x14ac:dyDescent="0.25">
      <c r="A1343" s="38" t="s">
        <v>8718</v>
      </c>
      <c r="B1343" s="9" t="s">
        <v>8146</v>
      </c>
      <c r="C1343" s="9" t="s">
        <v>58</v>
      </c>
      <c r="D1343" s="9" t="s">
        <v>67</v>
      </c>
      <c r="E1343" s="9" t="s">
        <v>35</v>
      </c>
      <c r="F1343" s="9" t="s">
        <v>36</v>
      </c>
      <c r="G1343" s="9">
        <v>6</v>
      </c>
      <c r="H1343" s="9">
        <v>84212990</v>
      </c>
      <c r="I1343" s="11" t="s">
        <v>37</v>
      </c>
      <c r="J1343" s="12">
        <v>1.6500000000000001E-2</v>
      </c>
      <c r="K1343" s="12">
        <v>7.5999999999999998E-2</v>
      </c>
      <c r="L1343" s="12">
        <v>0</v>
      </c>
      <c r="M1343" s="13">
        <v>8003453160484</v>
      </c>
      <c r="N1343" s="14">
        <v>0.57999999999999996</v>
      </c>
      <c r="O1343" s="14">
        <v>0.63</v>
      </c>
      <c r="P1343" s="15">
        <v>45170</v>
      </c>
      <c r="Q1343" s="16" t="s">
        <v>8198</v>
      </c>
      <c r="R1343" s="17" t="s">
        <v>35</v>
      </c>
      <c r="S1343" s="17" t="s">
        <v>8199</v>
      </c>
      <c r="T1343" s="17" t="s">
        <v>8200</v>
      </c>
      <c r="U1343" s="17" t="s">
        <v>8201</v>
      </c>
      <c r="V1343" s="17" t="s">
        <v>8202</v>
      </c>
      <c r="W1343" s="17" t="s">
        <v>8203</v>
      </c>
      <c r="X1343" s="17" t="s">
        <v>8204</v>
      </c>
      <c r="Y1343" s="17" t="s">
        <v>8205</v>
      </c>
      <c r="Z1343" s="17" t="s">
        <v>8206</v>
      </c>
      <c r="AA1343" s="17" t="s">
        <v>35</v>
      </c>
      <c r="AB1343" s="17" t="s">
        <v>8207</v>
      </c>
      <c r="AC1343" s="17" t="s">
        <v>9538</v>
      </c>
      <c r="AD1343" s="42">
        <v>34.72</v>
      </c>
      <c r="AE1343" s="42">
        <v>34.72</v>
      </c>
      <c r="AF1343" s="48"/>
      <c r="AG1343" s="44"/>
      <c r="AH1343" s="7">
        <f t="shared" si="20"/>
        <v>0</v>
      </c>
      <c r="AI1343" s="18"/>
      <c r="AJ1343" s="18"/>
    </row>
    <row r="1344" spans="1:38" ht="26.65" customHeight="1" x14ac:dyDescent="0.25">
      <c r="A1344" s="10" t="s">
        <v>8208</v>
      </c>
      <c r="B1344" s="9" t="s">
        <v>8146</v>
      </c>
      <c r="C1344" s="9" t="s">
        <v>34</v>
      </c>
      <c r="D1344" s="9" t="s">
        <v>67</v>
      </c>
      <c r="E1344" s="9" t="s">
        <v>35</v>
      </c>
      <c r="F1344" s="9" t="s">
        <v>36</v>
      </c>
      <c r="G1344" s="9">
        <v>6</v>
      </c>
      <c r="H1344" s="9">
        <v>84212990</v>
      </c>
      <c r="I1344" s="11" t="s">
        <v>37</v>
      </c>
      <c r="J1344" s="12">
        <v>1.6500000000000001E-2</v>
      </c>
      <c r="K1344" s="12">
        <v>7.5999999999999998E-2</v>
      </c>
      <c r="L1344" s="12">
        <v>0</v>
      </c>
      <c r="M1344" s="13">
        <v>8003453160576</v>
      </c>
      <c r="N1344" s="14">
        <v>1.7210000000000001</v>
      </c>
      <c r="O1344" s="14">
        <v>1.883</v>
      </c>
      <c r="P1344" s="15">
        <v>44805</v>
      </c>
      <c r="Q1344" s="16" t="s">
        <v>8209</v>
      </c>
      <c r="R1344" s="17" t="s">
        <v>8210</v>
      </c>
      <c r="S1344" s="17" t="s">
        <v>8211</v>
      </c>
      <c r="T1344" s="17" t="s">
        <v>8212</v>
      </c>
      <c r="U1344" s="17" t="s">
        <v>35</v>
      </c>
      <c r="V1344" s="17" t="s">
        <v>35</v>
      </c>
      <c r="W1344" s="17" t="s">
        <v>35</v>
      </c>
      <c r="X1344" s="17" t="s">
        <v>35</v>
      </c>
      <c r="Y1344" s="17" t="s">
        <v>35</v>
      </c>
      <c r="Z1344" s="17" t="s">
        <v>35</v>
      </c>
      <c r="AA1344" s="17" t="s">
        <v>35</v>
      </c>
      <c r="AB1344" s="17" t="s">
        <v>8213</v>
      </c>
      <c r="AC1344" s="17" t="s">
        <v>9539</v>
      </c>
      <c r="AD1344" s="42">
        <v>132.19</v>
      </c>
      <c r="AE1344" s="42">
        <v>132.19</v>
      </c>
      <c r="AF1344" s="48"/>
      <c r="AG1344" s="44"/>
      <c r="AH1344" s="7">
        <f t="shared" si="20"/>
        <v>0</v>
      </c>
      <c r="AI1344" s="18"/>
      <c r="AJ1344" s="18"/>
    </row>
    <row r="1345" spans="1:36" ht="26.65" customHeight="1" x14ac:dyDescent="0.25">
      <c r="A1345" s="10" t="s">
        <v>8214</v>
      </c>
      <c r="B1345" s="9" t="s">
        <v>8146</v>
      </c>
      <c r="C1345" s="9" t="s">
        <v>34</v>
      </c>
      <c r="D1345" s="9" t="s">
        <v>8140</v>
      </c>
      <c r="E1345" s="9" t="s">
        <v>35</v>
      </c>
      <c r="F1345" s="9" t="s">
        <v>36</v>
      </c>
      <c r="G1345" s="9">
        <v>6</v>
      </c>
      <c r="H1345" s="9">
        <v>84212990</v>
      </c>
      <c r="I1345" s="11" t="s">
        <v>37</v>
      </c>
      <c r="J1345" s="12">
        <v>1.6500000000000001E-2</v>
      </c>
      <c r="K1345" s="12">
        <v>7.5999999999999998E-2</v>
      </c>
      <c r="L1345" s="12">
        <v>0</v>
      </c>
      <c r="M1345" s="13">
        <v>8003453160583</v>
      </c>
      <c r="N1345" s="14">
        <v>0.73699999999999999</v>
      </c>
      <c r="O1345" s="14">
        <v>0.79</v>
      </c>
      <c r="P1345" s="15">
        <v>44986</v>
      </c>
      <c r="Q1345" s="16" t="s">
        <v>8215</v>
      </c>
      <c r="R1345" s="17" t="s">
        <v>8216</v>
      </c>
      <c r="S1345" s="17" t="s">
        <v>8217</v>
      </c>
      <c r="T1345" s="17" t="s">
        <v>8218</v>
      </c>
      <c r="U1345" s="17" t="s">
        <v>35</v>
      </c>
      <c r="V1345" s="17" t="s">
        <v>8219</v>
      </c>
      <c r="W1345" s="17" t="s">
        <v>35</v>
      </c>
      <c r="X1345" s="17" t="s">
        <v>35</v>
      </c>
      <c r="Y1345" s="17" t="s">
        <v>8220</v>
      </c>
      <c r="Z1345" s="17" t="s">
        <v>8221</v>
      </c>
      <c r="AA1345" s="17" t="s">
        <v>35</v>
      </c>
      <c r="AB1345" s="17" t="s">
        <v>8222</v>
      </c>
      <c r="AC1345" s="17" t="s">
        <v>9539</v>
      </c>
      <c r="AD1345" s="41">
        <v>70.040000000000006</v>
      </c>
      <c r="AE1345" s="41">
        <v>70.040000000000006</v>
      </c>
      <c r="AF1345" s="48"/>
      <c r="AG1345" s="44"/>
      <c r="AH1345" s="7">
        <f t="shared" si="20"/>
        <v>0</v>
      </c>
      <c r="AI1345" s="18"/>
      <c r="AJ1345" s="18"/>
    </row>
    <row r="1346" spans="1:36" ht="26.65" customHeight="1" x14ac:dyDescent="0.25">
      <c r="A1346" s="10" t="s">
        <v>8223</v>
      </c>
      <c r="B1346" s="9" t="s">
        <v>8224</v>
      </c>
      <c r="C1346" s="9" t="s">
        <v>34</v>
      </c>
      <c r="D1346" s="9" t="s">
        <v>8140</v>
      </c>
      <c r="E1346" s="9" t="s">
        <v>35</v>
      </c>
      <c r="F1346" s="9" t="s">
        <v>36</v>
      </c>
      <c r="G1346" s="9">
        <v>6</v>
      </c>
      <c r="H1346" s="9">
        <v>84212990</v>
      </c>
      <c r="I1346" s="11" t="s">
        <v>37</v>
      </c>
      <c r="J1346" s="12">
        <v>1.6500000000000001E-2</v>
      </c>
      <c r="K1346" s="12">
        <v>7.5999999999999998E-2</v>
      </c>
      <c r="L1346" s="12">
        <v>0</v>
      </c>
      <c r="M1346" s="13">
        <v>8003453160606</v>
      </c>
      <c r="N1346" s="14">
        <v>0.73</v>
      </c>
      <c r="O1346" s="14">
        <v>0.76900000000000002</v>
      </c>
      <c r="P1346" s="15">
        <v>45139</v>
      </c>
      <c r="Q1346" s="16" t="s">
        <v>8225</v>
      </c>
      <c r="R1346" s="17" t="s">
        <v>8226</v>
      </c>
      <c r="S1346" s="17" t="s">
        <v>8227</v>
      </c>
      <c r="T1346" s="17" t="s">
        <v>35</v>
      </c>
      <c r="U1346" s="17" t="s">
        <v>35</v>
      </c>
      <c r="V1346" s="17" t="s">
        <v>8228</v>
      </c>
      <c r="W1346" s="17" t="s">
        <v>35</v>
      </c>
      <c r="X1346" s="17" t="s">
        <v>35</v>
      </c>
      <c r="Y1346" s="17" t="s">
        <v>35</v>
      </c>
      <c r="Z1346" s="17" t="s">
        <v>8229</v>
      </c>
      <c r="AA1346" s="17" t="s">
        <v>35</v>
      </c>
      <c r="AB1346" s="17" t="s">
        <v>8230</v>
      </c>
      <c r="AC1346" s="17" t="s">
        <v>9539</v>
      </c>
      <c r="AD1346" s="41">
        <v>27.33</v>
      </c>
      <c r="AE1346" s="41">
        <v>27.33</v>
      </c>
      <c r="AF1346" s="48"/>
      <c r="AG1346" s="44"/>
      <c r="AH1346" s="7">
        <f t="shared" si="20"/>
        <v>0</v>
      </c>
      <c r="AI1346" s="18"/>
      <c r="AJ1346" s="18"/>
    </row>
    <row r="1347" spans="1:36" ht="26.65" customHeight="1" x14ac:dyDescent="0.25">
      <c r="A1347" s="10" t="s">
        <v>8975</v>
      </c>
      <c r="B1347" s="9" t="s">
        <v>8190</v>
      </c>
      <c r="C1347" s="9" t="s">
        <v>34</v>
      </c>
      <c r="D1347" s="9" t="s">
        <v>8140</v>
      </c>
      <c r="E1347" s="9" t="s">
        <v>35</v>
      </c>
      <c r="F1347" s="9" t="s">
        <v>36</v>
      </c>
      <c r="G1347" s="9">
        <v>1</v>
      </c>
      <c r="H1347" s="9">
        <v>84219999</v>
      </c>
      <c r="I1347" s="11" t="s">
        <v>37</v>
      </c>
      <c r="J1347" s="12">
        <v>1.6500000000000001E-2</v>
      </c>
      <c r="K1347" s="12">
        <v>7.5999999999999998E-2</v>
      </c>
      <c r="L1347" s="12">
        <v>5.1999999999999998E-2</v>
      </c>
      <c r="M1347" s="13">
        <v>8003453160651</v>
      </c>
      <c r="N1347" s="14">
        <v>0</v>
      </c>
      <c r="O1347" s="14">
        <v>0</v>
      </c>
      <c r="P1347" s="15">
        <v>45323</v>
      </c>
      <c r="Q1347" s="16" t="s">
        <v>8976</v>
      </c>
      <c r="R1347" s="17" t="s">
        <v>35</v>
      </c>
      <c r="S1347" s="17" t="s">
        <v>8977</v>
      </c>
      <c r="T1347" s="17" t="s">
        <v>35</v>
      </c>
      <c r="U1347" s="17" t="s">
        <v>35</v>
      </c>
      <c r="V1347" s="17" t="s">
        <v>35</v>
      </c>
      <c r="W1347" s="17" t="s">
        <v>35</v>
      </c>
      <c r="X1347" s="17" t="s">
        <v>35</v>
      </c>
      <c r="Y1347" s="17" t="s">
        <v>35</v>
      </c>
      <c r="Z1347" s="17" t="s">
        <v>8978</v>
      </c>
      <c r="AA1347" s="17" t="s">
        <v>35</v>
      </c>
      <c r="AB1347" s="17" t="s">
        <v>8979</v>
      </c>
      <c r="AC1347" s="17" t="s">
        <v>9539</v>
      </c>
      <c r="AD1347" s="41">
        <v>111</v>
      </c>
      <c r="AE1347" s="41">
        <v>116.77</v>
      </c>
      <c r="AF1347" s="48"/>
      <c r="AG1347" s="44"/>
      <c r="AH1347" s="7">
        <f t="shared" si="20"/>
        <v>0</v>
      </c>
      <c r="AI1347" s="18"/>
      <c r="AJ1347" s="18"/>
    </row>
    <row r="1348" spans="1:36" ht="26.65" customHeight="1" x14ac:dyDescent="0.25">
      <c r="A1348" s="10" t="s">
        <v>8231</v>
      </c>
      <c r="B1348" s="9" t="s">
        <v>8146</v>
      </c>
      <c r="C1348" s="9" t="s">
        <v>34</v>
      </c>
      <c r="D1348" s="9" t="s">
        <v>8140</v>
      </c>
      <c r="E1348" s="9" t="s">
        <v>35</v>
      </c>
      <c r="F1348" s="9" t="s">
        <v>36</v>
      </c>
      <c r="G1348" s="9">
        <v>6</v>
      </c>
      <c r="H1348" s="9">
        <v>84212990</v>
      </c>
      <c r="I1348" s="11" t="s">
        <v>37</v>
      </c>
      <c r="J1348" s="12">
        <v>1.6500000000000001E-2</v>
      </c>
      <c r="K1348" s="12">
        <v>7.5999999999999998E-2</v>
      </c>
      <c r="L1348" s="12">
        <v>0</v>
      </c>
      <c r="M1348" s="13">
        <v>8003453160668</v>
      </c>
      <c r="N1348" s="14">
        <v>0.61099999999999999</v>
      </c>
      <c r="O1348" s="14">
        <v>0.65600000000000003</v>
      </c>
      <c r="P1348" s="15">
        <v>44958</v>
      </c>
      <c r="Q1348" s="16" t="s">
        <v>8232</v>
      </c>
      <c r="R1348" s="17" t="s">
        <v>8233</v>
      </c>
      <c r="S1348" s="17" t="s">
        <v>8234</v>
      </c>
      <c r="T1348" s="17" t="s">
        <v>35</v>
      </c>
      <c r="U1348" s="17" t="s">
        <v>8235</v>
      </c>
      <c r="V1348" s="17" t="s">
        <v>35</v>
      </c>
      <c r="W1348" s="17" t="s">
        <v>35</v>
      </c>
      <c r="X1348" s="17" t="s">
        <v>35</v>
      </c>
      <c r="Y1348" s="17" t="s">
        <v>35</v>
      </c>
      <c r="Z1348" s="17" t="s">
        <v>35</v>
      </c>
      <c r="AA1348" s="17" t="s">
        <v>35</v>
      </c>
      <c r="AB1348" s="17" t="s">
        <v>35</v>
      </c>
      <c r="AC1348" s="17" t="s">
        <v>9539</v>
      </c>
      <c r="AD1348" s="41">
        <v>32.53</v>
      </c>
      <c r="AE1348" s="41">
        <v>32.53</v>
      </c>
      <c r="AF1348" s="48"/>
      <c r="AG1348" s="44"/>
      <c r="AH1348" s="7">
        <f t="shared" ref="AH1348:AH1411" si="21">AG1348*AE1348</f>
        <v>0</v>
      </c>
      <c r="AI1348" s="18"/>
      <c r="AJ1348" s="18"/>
    </row>
    <row r="1349" spans="1:36" ht="26.65" customHeight="1" x14ac:dyDescent="0.25">
      <c r="A1349" s="10" t="s">
        <v>8236</v>
      </c>
      <c r="B1349" s="9" t="s">
        <v>8166</v>
      </c>
      <c r="C1349" s="9" t="s">
        <v>34</v>
      </c>
      <c r="D1349" s="9" t="s">
        <v>8140</v>
      </c>
      <c r="E1349" s="9" t="s">
        <v>35</v>
      </c>
      <c r="F1349" s="9" t="s">
        <v>36</v>
      </c>
      <c r="G1349" s="9">
        <v>6</v>
      </c>
      <c r="H1349" s="9">
        <v>84212990</v>
      </c>
      <c r="I1349" s="11" t="s">
        <v>37</v>
      </c>
      <c r="J1349" s="12">
        <v>1.6500000000000001E-2</v>
      </c>
      <c r="K1349" s="12">
        <v>7.5999999999999998E-2</v>
      </c>
      <c r="L1349" s="12">
        <v>0</v>
      </c>
      <c r="M1349" s="13">
        <v>8003453160699</v>
      </c>
      <c r="N1349" s="14">
        <v>0.48199999999999998</v>
      </c>
      <c r="O1349" s="14">
        <v>0.52200000000000002</v>
      </c>
      <c r="P1349" s="15">
        <v>45078</v>
      </c>
      <c r="Q1349" s="16" t="s">
        <v>8237</v>
      </c>
      <c r="R1349" s="17" t="s">
        <v>8238</v>
      </c>
      <c r="S1349" s="17" t="s">
        <v>8239</v>
      </c>
      <c r="T1349" s="17" t="s">
        <v>35</v>
      </c>
      <c r="U1349" s="17" t="s">
        <v>35</v>
      </c>
      <c r="V1349" s="17" t="s">
        <v>35</v>
      </c>
      <c r="W1349" s="17" t="s">
        <v>35</v>
      </c>
      <c r="X1349" s="17" t="s">
        <v>35</v>
      </c>
      <c r="Y1349" s="17" t="s">
        <v>35</v>
      </c>
      <c r="Z1349" s="17" t="s">
        <v>8240</v>
      </c>
      <c r="AA1349" s="17" t="s">
        <v>35</v>
      </c>
      <c r="AB1349" s="17" t="s">
        <v>8241</v>
      </c>
      <c r="AC1349" s="17" t="s">
        <v>9539</v>
      </c>
      <c r="AD1349" s="41">
        <v>38.909999999999997</v>
      </c>
      <c r="AE1349" s="41">
        <v>38.909999999999997</v>
      </c>
      <c r="AF1349" s="48"/>
      <c r="AG1349" s="44"/>
      <c r="AH1349" s="7">
        <f t="shared" si="21"/>
        <v>0</v>
      </c>
      <c r="AI1349" s="18"/>
      <c r="AJ1349" s="18"/>
    </row>
    <row r="1350" spans="1:36" ht="26.65" customHeight="1" x14ac:dyDescent="0.25">
      <c r="A1350" s="10" t="s">
        <v>8242</v>
      </c>
      <c r="B1350" s="9" t="s">
        <v>8166</v>
      </c>
      <c r="C1350" s="9" t="s">
        <v>34</v>
      </c>
      <c r="D1350" s="9" t="s">
        <v>8140</v>
      </c>
      <c r="E1350" s="9" t="s">
        <v>35</v>
      </c>
      <c r="F1350" s="9" t="s">
        <v>36</v>
      </c>
      <c r="G1350" s="9">
        <v>6</v>
      </c>
      <c r="H1350" s="9">
        <v>84212990</v>
      </c>
      <c r="I1350" s="11" t="s">
        <v>37</v>
      </c>
      <c r="J1350" s="12">
        <v>1.6500000000000001E-2</v>
      </c>
      <c r="K1350" s="12">
        <v>7.5999999999999998E-2</v>
      </c>
      <c r="L1350" s="12">
        <v>0</v>
      </c>
      <c r="M1350" s="13">
        <v>8003453160705</v>
      </c>
      <c r="N1350" s="14">
        <v>1.8979999999999999</v>
      </c>
      <c r="O1350" s="14">
        <v>2.0259999999999998</v>
      </c>
      <c r="P1350" s="15">
        <v>45078</v>
      </c>
      <c r="Q1350" s="16" t="s">
        <v>8243</v>
      </c>
      <c r="R1350" s="17" t="s">
        <v>8244</v>
      </c>
      <c r="S1350" s="17" t="s">
        <v>35</v>
      </c>
      <c r="T1350" s="17" t="s">
        <v>35</v>
      </c>
      <c r="U1350" s="17" t="s">
        <v>35</v>
      </c>
      <c r="V1350" s="17" t="s">
        <v>35</v>
      </c>
      <c r="W1350" s="17" t="s">
        <v>35</v>
      </c>
      <c r="X1350" s="17" t="s">
        <v>35</v>
      </c>
      <c r="Y1350" s="17" t="s">
        <v>35</v>
      </c>
      <c r="Z1350" s="17" t="s">
        <v>8245</v>
      </c>
      <c r="AA1350" s="17" t="s">
        <v>35</v>
      </c>
      <c r="AB1350" s="17" t="s">
        <v>8246</v>
      </c>
      <c r="AC1350" s="17" t="s">
        <v>9539</v>
      </c>
      <c r="AD1350" s="41">
        <v>285.88</v>
      </c>
      <c r="AE1350" s="41">
        <v>285.88</v>
      </c>
      <c r="AF1350" s="48"/>
      <c r="AG1350" s="44"/>
      <c r="AH1350" s="7">
        <f t="shared" si="21"/>
        <v>0</v>
      </c>
      <c r="AI1350" s="18"/>
      <c r="AJ1350" s="18"/>
    </row>
    <row r="1351" spans="1:36" ht="26.65" customHeight="1" x14ac:dyDescent="0.25">
      <c r="A1351" s="10" t="s">
        <v>9926</v>
      </c>
      <c r="B1351" s="9" t="s">
        <v>8146</v>
      </c>
      <c r="C1351" s="9" t="s">
        <v>34</v>
      </c>
      <c r="D1351" s="9" t="s">
        <v>67</v>
      </c>
      <c r="E1351" s="9" t="s">
        <v>35</v>
      </c>
      <c r="F1351" s="9" t="s">
        <v>36</v>
      </c>
      <c r="G1351" s="9">
        <v>8</v>
      </c>
      <c r="H1351" s="9">
        <v>84212990</v>
      </c>
      <c r="I1351" s="11" t="s">
        <v>37</v>
      </c>
      <c r="J1351" s="12">
        <v>1.6500000000000001E-2</v>
      </c>
      <c r="K1351" s="12">
        <v>7.5999999999999998E-2</v>
      </c>
      <c r="L1351" s="12">
        <v>0</v>
      </c>
      <c r="M1351" s="13">
        <v>8003453160729</v>
      </c>
      <c r="N1351" s="14" t="s">
        <v>35</v>
      </c>
      <c r="O1351" s="14" t="s">
        <v>35</v>
      </c>
      <c r="P1351" s="15">
        <v>45536</v>
      </c>
      <c r="Q1351" s="16" t="s">
        <v>9927</v>
      </c>
      <c r="R1351" s="17" t="s">
        <v>35</v>
      </c>
      <c r="S1351" s="17" t="s">
        <v>8155</v>
      </c>
      <c r="T1351" s="17" t="s">
        <v>8156</v>
      </c>
      <c r="U1351" s="17" t="s">
        <v>8157</v>
      </c>
      <c r="V1351" s="17" t="s">
        <v>8158</v>
      </c>
      <c r="W1351" s="17" t="s">
        <v>35</v>
      </c>
      <c r="X1351" s="17" t="s">
        <v>8160</v>
      </c>
      <c r="Y1351" s="17" t="s">
        <v>8161</v>
      </c>
      <c r="Z1351" s="17" t="s">
        <v>9928</v>
      </c>
      <c r="AA1351" s="17" t="s">
        <v>8163</v>
      </c>
      <c r="AB1351" s="17" t="s">
        <v>9929</v>
      </c>
      <c r="AC1351" s="17" t="s">
        <v>9539</v>
      </c>
      <c r="AD1351" s="41">
        <v>52.5</v>
      </c>
      <c r="AE1351" s="41">
        <v>52.5</v>
      </c>
      <c r="AF1351" s="48"/>
      <c r="AG1351" s="44"/>
      <c r="AH1351" s="7">
        <f t="shared" si="21"/>
        <v>0</v>
      </c>
      <c r="AI1351" s="18"/>
      <c r="AJ1351" s="18"/>
    </row>
    <row r="1352" spans="1:36" ht="26.65" customHeight="1" x14ac:dyDescent="0.25">
      <c r="A1352" s="10" t="s">
        <v>10518</v>
      </c>
      <c r="B1352" s="9" t="s">
        <v>8146</v>
      </c>
      <c r="C1352" s="9" t="s">
        <v>34</v>
      </c>
      <c r="D1352" s="9" t="s">
        <v>8140</v>
      </c>
      <c r="E1352" s="9" t="s">
        <v>35</v>
      </c>
      <c r="F1352" s="9" t="s">
        <v>36</v>
      </c>
      <c r="G1352" s="9">
        <v>6</v>
      </c>
      <c r="H1352" s="9">
        <v>84212990</v>
      </c>
      <c r="I1352" s="11" t="s">
        <v>37</v>
      </c>
      <c r="J1352" s="12">
        <v>1.6500000000000001E-2</v>
      </c>
      <c r="K1352" s="12">
        <v>7.5999999999999998E-2</v>
      </c>
      <c r="L1352" s="12">
        <v>0</v>
      </c>
      <c r="M1352" s="13">
        <v>8003453810204</v>
      </c>
      <c r="N1352" s="14">
        <v>0</v>
      </c>
      <c r="O1352" s="14">
        <v>0</v>
      </c>
      <c r="P1352" s="15">
        <v>45566</v>
      </c>
      <c r="Q1352" s="16" t="s">
        <v>10519</v>
      </c>
      <c r="R1352" s="17" t="s">
        <v>10520</v>
      </c>
      <c r="S1352" s="17" t="s">
        <v>10521</v>
      </c>
      <c r="T1352" s="17" t="s">
        <v>35</v>
      </c>
      <c r="U1352" s="17" t="s">
        <v>35</v>
      </c>
      <c r="V1352" s="17" t="s">
        <v>10522</v>
      </c>
      <c r="W1352" s="17" t="s">
        <v>35</v>
      </c>
      <c r="X1352" s="17" t="s">
        <v>35</v>
      </c>
      <c r="Y1352" s="17" t="s">
        <v>10523</v>
      </c>
      <c r="Z1352" s="17" t="s">
        <v>10524</v>
      </c>
      <c r="AA1352" s="17" t="s">
        <v>35</v>
      </c>
      <c r="AB1352" s="17" t="s">
        <v>10525</v>
      </c>
      <c r="AC1352" s="17" t="s">
        <v>9539</v>
      </c>
      <c r="AD1352" s="41">
        <v>34.58</v>
      </c>
      <c r="AE1352" s="41">
        <v>34.58</v>
      </c>
      <c r="AF1352" s="48"/>
      <c r="AG1352" s="44"/>
      <c r="AH1352" s="7">
        <f t="shared" si="21"/>
        <v>0</v>
      </c>
      <c r="AI1352" s="18"/>
      <c r="AJ1352" s="18"/>
    </row>
    <row r="1353" spans="1:36" ht="26.65" customHeight="1" x14ac:dyDescent="0.25">
      <c r="A1353" s="10" t="s">
        <v>8247</v>
      </c>
      <c r="B1353" s="9" t="s">
        <v>8224</v>
      </c>
      <c r="C1353" s="9" t="s">
        <v>34</v>
      </c>
      <c r="D1353" s="9" t="s">
        <v>8140</v>
      </c>
      <c r="E1353" s="9" t="s">
        <v>35</v>
      </c>
      <c r="F1353" s="9" t="s">
        <v>36</v>
      </c>
      <c r="G1353" s="9">
        <v>6</v>
      </c>
      <c r="H1353" s="9">
        <v>84212990</v>
      </c>
      <c r="I1353" s="11" t="s">
        <v>37</v>
      </c>
      <c r="J1353" s="12">
        <v>1.6500000000000001E-2</v>
      </c>
      <c r="K1353" s="12">
        <v>7.5999999999999998E-2</v>
      </c>
      <c r="L1353" s="12">
        <v>0</v>
      </c>
      <c r="M1353" s="13">
        <v>8003453190092</v>
      </c>
      <c r="N1353" s="14">
        <v>1</v>
      </c>
      <c r="O1353" s="14">
        <v>1.071</v>
      </c>
      <c r="P1353" s="15">
        <v>45139</v>
      </c>
      <c r="Q1353" s="16" t="s">
        <v>8248</v>
      </c>
      <c r="R1353" s="17" t="s">
        <v>8249</v>
      </c>
      <c r="S1353" s="17" t="s">
        <v>8250</v>
      </c>
      <c r="T1353" s="17" t="s">
        <v>35</v>
      </c>
      <c r="U1353" s="17" t="s">
        <v>35</v>
      </c>
      <c r="V1353" s="17" t="s">
        <v>35</v>
      </c>
      <c r="W1353" s="17" t="s">
        <v>35</v>
      </c>
      <c r="X1353" s="17" t="s">
        <v>35</v>
      </c>
      <c r="Y1353" s="17" t="s">
        <v>35</v>
      </c>
      <c r="Z1353" s="17" t="s">
        <v>8251</v>
      </c>
      <c r="AA1353" s="17" t="s">
        <v>35</v>
      </c>
      <c r="AB1353" s="17" t="s">
        <v>8252</v>
      </c>
      <c r="AC1353" s="17" t="s">
        <v>9539</v>
      </c>
      <c r="AD1353" s="41">
        <v>39.46</v>
      </c>
      <c r="AE1353" s="41">
        <v>39.46</v>
      </c>
      <c r="AF1353" s="48"/>
      <c r="AG1353" s="44"/>
      <c r="AH1353" s="7">
        <f t="shared" si="21"/>
        <v>0</v>
      </c>
      <c r="AI1353" s="18"/>
      <c r="AJ1353" s="18"/>
    </row>
    <row r="1354" spans="1:36" ht="26.65" customHeight="1" x14ac:dyDescent="0.25">
      <c r="A1354" s="10" t="s">
        <v>9417</v>
      </c>
      <c r="B1354" s="9" t="s">
        <v>8139</v>
      </c>
      <c r="C1354" s="9" t="s">
        <v>34</v>
      </c>
      <c r="D1354" s="9" t="s">
        <v>8140</v>
      </c>
      <c r="E1354" s="9" t="s">
        <v>122</v>
      </c>
      <c r="F1354" s="9" t="s">
        <v>36</v>
      </c>
      <c r="G1354" s="9">
        <v>1</v>
      </c>
      <c r="H1354" s="9">
        <v>84212990</v>
      </c>
      <c r="I1354" s="11" t="s">
        <v>37</v>
      </c>
      <c r="J1354" s="12">
        <v>1.6500000000000001E-2</v>
      </c>
      <c r="K1354" s="12">
        <v>7.5999999999999998E-2</v>
      </c>
      <c r="L1354" s="12">
        <v>0</v>
      </c>
      <c r="M1354" s="13">
        <v>8003453190184</v>
      </c>
      <c r="N1354" s="14">
        <v>0</v>
      </c>
      <c r="O1354" s="14">
        <v>0</v>
      </c>
      <c r="P1354" s="15">
        <v>45444</v>
      </c>
      <c r="Q1354" s="16" t="s">
        <v>4412</v>
      </c>
      <c r="R1354" s="17">
        <v>22573810</v>
      </c>
      <c r="S1354" s="17" t="s">
        <v>35</v>
      </c>
      <c r="T1354" s="17" t="s">
        <v>35</v>
      </c>
      <c r="U1354" s="17" t="s">
        <v>35</v>
      </c>
      <c r="V1354" s="17" t="s">
        <v>35</v>
      </c>
      <c r="W1354" s="17" t="s">
        <v>35</v>
      </c>
      <c r="X1354" s="17" t="s">
        <v>35</v>
      </c>
      <c r="Y1354" s="17" t="s">
        <v>35</v>
      </c>
      <c r="Z1354" s="17" t="s">
        <v>35</v>
      </c>
      <c r="AA1354" s="17" t="s">
        <v>35</v>
      </c>
      <c r="AB1354" s="17" t="s">
        <v>35</v>
      </c>
      <c r="AC1354" s="17" t="s">
        <v>9539</v>
      </c>
      <c r="AD1354" s="41">
        <v>86.47</v>
      </c>
      <c r="AE1354" s="41">
        <v>86.47</v>
      </c>
      <c r="AF1354" s="48"/>
      <c r="AG1354" s="44"/>
      <c r="AH1354" s="7">
        <f t="shared" si="21"/>
        <v>0</v>
      </c>
      <c r="AI1354" s="18"/>
      <c r="AJ1354" s="18"/>
    </row>
    <row r="1355" spans="1:36" ht="26.65" customHeight="1" x14ac:dyDescent="0.25">
      <c r="A1355" s="10" t="s">
        <v>9418</v>
      </c>
      <c r="B1355" s="9" t="s">
        <v>8139</v>
      </c>
      <c r="C1355" s="9" t="s">
        <v>34</v>
      </c>
      <c r="D1355" s="9" t="s">
        <v>8140</v>
      </c>
      <c r="E1355" s="9" t="s">
        <v>122</v>
      </c>
      <c r="F1355" s="9" t="s">
        <v>36</v>
      </c>
      <c r="G1355" s="9">
        <v>1</v>
      </c>
      <c r="H1355" s="9">
        <v>84212990</v>
      </c>
      <c r="I1355" s="11" t="s">
        <v>37</v>
      </c>
      <c r="J1355" s="12">
        <v>1.6500000000000001E-2</v>
      </c>
      <c r="K1355" s="12">
        <v>7.5999999999999998E-2</v>
      </c>
      <c r="L1355" s="12">
        <v>0</v>
      </c>
      <c r="M1355" s="13">
        <v>8003453190191</v>
      </c>
      <c r="N1355" s="14">
        <v>0</v>
      </c>
      <c r="O1355" s="14">
        <v>0</v>
      </c>
      <c r="P1355" s="15">
        <v>45444</v>
      </c>
      <c r="Q1355" s="16" t="s">
        <v>4412</v>
      </c>
      <c r="R1355" s="17" t="s">
        <v>9419</v>
      </c>
      <c r="S1355" s="17" t="s">
        <v>35</v>
      </c>
      <c r="T1355" s="17" t="s">
        <v>35</v>
      </c>
      <c r="U1355" s="17" t="s">
        <v>35</v>
      </c>
      <c r="V1355" s="17" t="s">
        <v>35</v>
      </c>
      <c r="W1355" s="17" t="s">
        <v>35</v>
      </c>
      <c r="X1355" s="17" t="s">
        <v>35</v>
      </c>
      <c r="Y1355" s="17" t="s">
        <v>35</v>
      </c>
      <c r="Z1355" s="17" t="s">
        <v>35</v>
      </c>
      <c r="AA1355" s="17" t="s">
        <v>35</v>
      </c>
      <c r="AB1355" s="17" t="s">
        <v>35</v>
      </c>
      <c r="AC1355" s="17" t="s">
        <v>9539</v>
      </c>
      <c r="AD1355" s="41">
        <v>58.36</v>
      </c>
      <c r="AE1355" s="41">
        <v>58.36</v>
      </c>
      <c r="AF1355" s="48"/>
      <c r="AG1355" s="44"/>
      <c r="AH1355" s="7">
        <f t="shared" si="21"/>
        <v>0</v>
      </c>
      <c r="AI1355" s="18"/>
      <c r="AJ1355" s="18"/>
    </row>
    <row r="1356" spans="1:36" ht="26.65" customHeight="1" x14ac:dyDescent="0.25">
      <c r="A1356" s="10" t="s">
        <v>9420</v>
      </c>
      <c r="B1356" s="9" t="s">
        <v>8139</v>
      </c>
      <c r="C1356" s="9" t="s">
        <v>34</v>
      </c>
      <c r="D1356" s="9" t="s">
        <v>8140</v>
      </c>
      <c r="E1356" s="9" t="s">
        <v>122</v>
      </c>
      <c r="F1356" s="9" t="s">
        <v>36</v>
      </c>
      <c r="G1356" s="9">
        <v>1</v>
      </c>
      <c r="H1356" s="9">
        <v>84212990</v>
      </c>
      <c r="I1356" s="11" t="s">
        <v>37</v>
      </c>
      <c r="J1356" s="12">
        <v>1.6500000000000001E-2</v>
      </c>
      <c r="K1356" s="12">
        <v>7.5999999999999998E-2</v>
      </c>
      <c r="L1356" s="12">
        <v>0</v>
      </c>
      <c r="M1356" s="13">
        <v>8003453190221</v>
      </c>
      <c r="N1356" s="14">
        <v>0</v>
      </c>
      <c r="O1356" s="14">
        <v>0</v>
      </c>
      <c r="P1356" s="15">
        <v>45444</v>
      </c>
      <c r="Q1356" s="16" t="s">
        <v>4412</v>
      </c>
      <c r="R1356" s="17">
        <v>22573828</v>
      </c>
      <c r="S1356" s="17" t="s">
        <v>35</v>
      </c>
      <c r="T1356" s="17" t="s">
        <v>35</v>
      </c>
      <c r="U1356" s="17" t="s">
        <v>35</v>
      </c>
      <c r="V1356" s="17" t="s">
        <v>35</v>
      </c>
      <c r="W1356" s="17" t="s">
        <v>35</v>
      </c>
      <c r="X1356" s="17" t="s">
        <v>35</v>
      </c>
      <c r="Y1356" s="17" t="s">
        <v>35</v>
      </c>
      <c r="Z1356" s="17" t="s">
        <v>35</v>
      </c>
      <c r="AA1356" s="17" t="s">
        <v>35</v>
      </c>
      <c r="AB1356" s="17" t="s">
        <v>35</v>
      </c>
      <c r="AC1356" s="17" t="s">
        <v>9539</v>
      </c>
      <c r="AD1356" s="41">
        <v>214.12</v>
      </c>
      <c r="AE1356" s="41">
        <v>214.12</v>
      </c>
      <c r="AF1356" s="48"/>
      <c r="AG1356" s="44"/>
      <c r="AH1356" s="7">
        <f t="shared" si="21"/>
        <v>0</v>
      </c>
      <c r="AI1356" s="18"/>
      <c r="AJ1356" s="18"/>
    </row>
    <row r="1357" spans="1:36" ht="26.65" customHeight="1" x14ac:dyDescent="0.25">
      <c r="A1357" s="10" t="s">
        <v>9421</v>
      </c>
      <c r="B1357" s="9" t="s">
        <v>8139</v>
      </c>
      <c r="C1357" s="9" t="s">
        <v>34</v>
      </c>
      <c r="D1357" s="9" t="s">
        <v>8140</v>
      </c>
      <c r="E1357" s="9" t="s">
        <v>122</v>
      </c>
      <c r="F1357" s="9" t="s">
        <v>36</v>
      </c>
      <c r="G1357" s="9">
        <v>1</v>
      </c>
      <c r="H1357" s="9">
        <v>84212990</v>
      </c>
      <c r="I1357" s="11" t="s">
        <v>37</v>
      </c>
      <c r="J1357" s="12">
        <v>1.6500000000000001E-2</v>
      </c>
      <c r="K1357" s="12">
        <v>7.5999999999999998E-2</v>
      </c>
      <c r="L1357" s="12">
        <v>0</v>
      </c>
      <c r="M1357" s="13">
        <v>8003453190238</v>
      </c>
      <c r="N1357" s="14">
        <v>0</v>
      </c>
      <c r="O1357" s="14">
        <v>0</v>
      </c>
      <c r="P1357" s="15">
        <v>45444</v>
      </c>
      <c r="Q1357" s="16" t="s">
        <v>4412</v>
      </c>
      <c r="R1357" s="17">
        <v>22571889</v>
      </c>
      <c r="S1357" s="17" t="s">
        <v>35</v>
      </c>
      <c r="T1357" s="17" t="s">
        <v>35</v>
      </c>
      <c r="U1357" s="17" t="s">
        <v>35</v>
      </c>
      <c r="V1357" s="17" t="s">
        <v>35</v>
      </c>
      <c r="W1357" s="17" t="s">
        <v>35</v>
      </c>
      <c r="X1357" s="17" t="s">
        <v>35</v>
      </c>
      <c r="Y1357" s="17" t="s">
        <v>35</v>
      </c>
      <c r="Z1357" s="17" t="s">
        <v>35</v>
      </c>
      <c r="AA1357" s="17" t="s">
        <v>35</v>
      </c>
      <c r="AB1357" s="17" t="s">
        <v>35</v>
      </c>
      <c r="AC1357" s="17" t="s">
        <v>9539</v>
      </c>
      <c r="AD1357" s="41">
        <v>61.09</v>
      </c>
      <c r="AE1357" s="41">
        <v>61.09</v>
      </c>
      <c r="AF1357" s="48"/>
      <c r="AG1357" s="44"/>
      <c r="AH1357" s="7">
        <f t="shared" si="21"/>
        <v>0</v>
      </c>
      <c r="AI1357" s="18"/>
      <c r="AJ1357" s="18"/>
    </row>
    <row r="1358" spans="1:36" ht="26.65" customHeight="1" x14ac:dyDescent="0.25">
      <c r="A1358" s="10" t="s">
        <v>9422</v>
      </c>
      <c r="B1358" s="9" t="s">
        <v>8139</v>
      </c>
      <c r="C1358" s="9" t="s">
        <v>34</v>
      </c>
      <c r="D1358" s="9" t="s">
        <v>8140</v>
      </c>
      <c r="E1358" s="9" t="s">
        <v>122</v>
      </c>
      <c r="F1358" s="9" t="s">
        <v>36</v>
      </c>
      <c r="G1358" s="9">
        <v>1</v>
      </c>
      <c r="H1358" s="9">
        <v>84212990</v>
      </c>
      <c r="I1358" s="11" t="s">
        <v>37</v>
      </c>
      <c r="J1358" s="12">
        <v>1.6500000000000001E-2</v>
      </c>
      <c r="K1358" s="12">
        <v>7.5999999999999998E-2</v>
      </c>
      <c r="L1358" s="12">
        <v>0</v>
      </c>
      <c r="M1358" s="13">
        <v>8003453190269</v>
      </c>
      <c r="N1358" s="14">
        <v>0</v>
      </c>
      <c r="O1358" s="14">
        <v>0</v>
      </c>
      <c r="P1358" s="15">
        <v>45444</v>
      </c>
      <c r="Q1358" s="16" t="s">
        <v>9423</v>
      </c>
      <c r="R1358" s="17" t="s">
        <v>9424</v>
      </c>
      <c r="S1358" s="17" t="s">
        <v>9425</v>
      </c>
      <c r="T1358" s="17" t="s">
        <v>35</v>
      </c>
      <c r="U1358" s="17" t="s">
        <v>35</v>
      </c>
      <c r="V1358" s="17" t="s">
        <v>35</v>
      </c>
      <c r="W1358" s="17" t="s">
        <v>35</v>
      </c>
      <c r="X1358" s="17" t="s">
        <v>35</v>
      </c>
      <c r="Y1358" s="17" t="s">
        <v>35</v>
      </c>
      <c r="Z1358" s="17" t="s">
        <v>9426</v>
      </c>
      <c r="AA1358" s="17" t="s">
        <v>35</v>
      </c>
      <c r="AB1358" s="17" t="s">
        <v>35</v>
      </c>
      <c r="AC1358" s="17" t="s">
        <v>9539</v>
      </c>
      <c r="AD1358" s="41">
        <v>272.45999999999998</v>
      </c>
      <c r="AE1358" s="41">
        <v>272.45999999999998</v>
      </c>
      <c r="AF1358" s="48"/>
      <c r="AG1358" s="44"/>
      <c r="AH1358" s="7">
        <f t="shared" si="21"/>
        <v>0</v>
      </c>
      <c r="AI1358" s="18"/>
      <c r="AJ1358" s="18"/>
    </row>
    <row r="1359" spans="1:36" ht="26.65" customHeight="1" x14ac:dyDescent="0.25">
      <c r="A1359" s="10" t="s">
        <v>9427</v>
      </c>
      <c r="B1359" s="9" t="s">
        <v>8139</v>
      </c>
      <c r="C1359" s="9" t="s">
        <v>34</v>
      </c>
      <c r="D1359" s="9" t="s">
        <v>8140</v>
      </c>
      <c r="E1359" s="9" t="s">
        <v>122</v>
      </c>
      <c r="F1359" s="9" t="s">
        <v>36</v>
      </c>
      <c r="G1359" s="9">
        <v>1</v>
      </c>
      <c r="H1359" s="9">
        <v>84212990</v>
      </c>
      <c r="I1359" s="11" t="s">
        <v>37</v>
      </c>
      <c r="J1359" s="12">
        <v>1.6500000000000001E-2</v>
      </c>
      <c r="K1359" s="12">
        <v>7.5999999999999998E-2</v>
      </c>
      <c r="L1359" s="12">
        <v>0</v>
      </c>
      <c r="M1359" s="13">
        <v>8003453190276</v>
      </c>
      <c r="N1359" s="14">
        <v>0</v>
      </c>
      <c r="O1359" s="14">
        <v>0</v>
      </c>
      <c r="P1359" s="15">
        <v>45444</v>
      </c>
      <c r="Q1359" s="16" t="s">
        <v>9428</v>
      </c>
      <c r="R1359" s="17">
        <v>84407842</v>
      </c>
      <c r="S1359" s="17" t="s">
        <v>9429</v>
      </c>
      <c r="T1359" s="17" t="s">
        <v>9430</v>
      </c>
      <c r="U1359" s="17" t="s">
        <v>35</v>
      </c>
      <c r="V1359" s="17" t="s">
        <v>35</v>
      </c>
      <c r="W1359" s="17" t="s">
        <v>35</v>
      </c>
      <c r="X1359" s="17" t="s">
        <v>35</v>
      </c>
      <c r="Y1359" s="17" t="s">
        <v>35</v>
      </c>
      <c r="Z1359" s="17" t="s">
        <v>9431</v>
      </c>
      <c r="AA1359" s="17" t="s">
        <v>35</v>
      </c>
      <c r="AB1359" s="17" t="s">
        <v>9432</v>
      </c>
      <c r="AC1359" s="17" t="s">
        <v>9539</v>
      </c>
      <c r="AD1359" s="41">
        <v>141.02000000000001</v>
      </c>
      <c r="AE1359" s="41">
        <v>141.02000000000001</v>
      </c>
      <c r="AF1359" s="48"/>
      <c r="AG1359" s="44"/>
      <c r="AH1359" s="7">
        <f t="shared" si="21"/>
        <v>0</v>
      </c>
      <c r="AI1359" s="18"/>
      <c r="AJ1359" s="18"/>
    </row>
    <row r="1360" spans="1:36" ht="26.65" customHeight="1" x14ac:dyDescent="0.25">
      <c r="A1360" s="10" t="s">
        <v>10526</v>
      </c>
      <c r="B1360" s="9" t="s">
        <v>8224</v>
      </c>
      <c r="C1360" s="9" t="s">
        <v>34</v>
      </c>
      <c r="D1360" s="9" t="s">
        <v>8140</v>
      </c>
      <c r="E1360" s="9" t="s">
        <v>35</v>
      </c>
      <c r="F1360" s="9" t="s">
        <v>36</v>
      </c>
      <c r="G1360" s="9">
        <v>6</v>
      </c>
      <c r="H1360" s="9">
        <v>84212990</v>
      </c>
      <c r="I1360" s="11" t="s">
        <v>37</v>
      </c>
      <c r="J1360" s="12">
        <v>1.6500000000000001E-2</v>
      </c>
      <c r="K1360" s="12">
        <v>7.5999999999999998E-2</v>
      </c>
      <c r="L1360" s="12">
        <v>0</v>
      </c>
      <c r="M1360" s="13">
        <v>8003453809338</v>
      </c>
      <c r="N1360" s="14">
        <v>0</v>
      </c>
      <c r="O1360" s="14">
        <v>0</v>
      </c>
      <c r="P1360" s="15">
        <v>45566</v>
      </c>
      <c r="Q1360" s="16" t="s">
        <v>10527</v>
      </c>
      <c r="R1360" s="17" t="s">
        <v>10528</v>
      </c>
      <c r="S1360" s="17" t="s">
        <v>35</v>
      </c>
      <c r="T1360" s="17" t="s">
        <v>35</v>
      </c>
      <c r="U1360" s="17" t="s">
        <v>35</v>
      </c>
      <c r="V1360" s="17" t="s">
        <v>35</v>
      </c>
      <c r="W1360" s="17" t="s">
        <v>35</v>
      </c>
      <c r="X1360" s="17" t="s">
        <v>35</v>
      </c>
      <c r="Y1360" s="17" t="s">
        <v>35</v>
      </c>
      <c r="Z1360" s="17" t="s">
        <v>35</v>
      </c>
      <c r="AA1360" s="17" t="s">
        <v>35</v>
      </c>
      <c r="AB1360" s="17" t="s">
        <v>10170</v>
      </c>
      <c r="AC1360" s="17" t="s">
        <v>9539</v>
      </c>
      <c r="AD1360" s="41">
        <v>252.87</v>
      </c>
      <c r="AE1360" s="41">
        <v>252.87</v>
      </c>
      <c r="AF1360" s="48"/>
      <c r="AG1360" s="44"/>
      <c r="AH1360" s="7">
        <f t="shared" si="21"/>
        <v>0</v>
      </c>
      <c r="AI1360" s="18"/>
      <c r="AJ1360" s="18"/>
    </row>
    <row r="1361" spans="1:36" ht="26.65" customHeight="1" x14ac:dyDescent="0.25">
      <c r="A1361" s="10" t="s">
        <v>9433</v>
      </c>
      <c r="B1361" s="9" t="s">
        <v>8139</v>
      </c>
      <c r="C1361" s="9" t="s">
        <v>34</v>
      </c>
      <c r="D1361" s="9" t="s">
        <v>8140</v>
      </c>
      <c r="E1361" s="9" t="s">
        <v>122</v>
      </c>
      <c r="F1361" s="9" t="s">
        <v>36</v>
      </c>
      <c r="G1361" s="9">
        <v>1</v>
      </c>
      <c r="H1361" s="9">
        <v>84219999</v>
      </c>
      <c r="I1361" s="11" t="s">
        <v>37</v>
      </c>
      <c r="J1361" s="12">
        <v>1.6500000000000001E-2</v>
      </c>
      <c r="K1361" s="12">
        <v>7.5999999999999998E-2</v>
      </c>
      <c r="L1361" s="12">
        <v>5.1999999999999998E-2</v>
      </c>
      <c r="M1361" s="13">
        <v>8003453070332</v>
      </c>
      <c r="N1361" s="14">
        <v>0</v>
      </c>
      <c r="O1361" s="14">
        <v>0</v>
      </c>
      <c r="P1361" s="15">
        <v>45444</v>
      </c>
      <c r="Q1361" s="16" t="s">
        <v>9434</v>
      </c>
      <c r="R1361" s="17">
        <v>848100002</v>
      </c>
      <c r="S1361" s="17" t="s">
        <v>35</v>
      </c>
      <c r="T1361" s="17" t="s">
        <v>35</v>
      </c>
      <c r="U1361" s="17" t="s">
        <v>35</v>
      </c>
      <c r="V1361" s="17" t="s">
        <v>35</v>
      </c>
      <c r="W1361" s="17" t="s">
        <v>35</v>
      </c>
      <c r="X1361" s="17" t="s">
        <v>35</v>
      </c>
      <c r="Y1361" s="17" t="s">
        <v>35</v>
      </c>
      <c r="Z1361" s="17" t="s">
        <v>35</v>
      </c>
      <c r="AA1361" s="17" t="s">
        <v>35</v>
      </c>
      <c r="AB1361" s="17" t="s">
        <v>35</v>
      </c>
      <c r="AC1361" s="17" t="s">
        <v>9539</v>
      </c>
      <c r="AD1361" s="41">
        <v>100</v>
      </c>
      <c r="AE1361" s="41">
        <v>105.2</v>
      </c>
      <c r="AF1361" s="48"/>
      <c r="AG1361" s="44"/>
      <c r="AH1361" s="7">
        <f t="shared" si="21"/>
        <v>0</v>
      </c>
      <c r="AI1361" s="18"/>
      <c r="AJ1361" s="18"/>
    </row>
    <row r="1362" spans="1:36" ht="26.65" customHeight="1" x14ac:dyDescent="0.25">
      <c r="A1362" s="10" t="s">
        <v>9435</v>
      </c>
      <c r="B1362" s="9" t="s">
        <v>8139</v>
      </c>
      <c r="C1362" s="9" t="s">
        <v>34</v>
      </c>
      <c r="D1362" s="9" t="s">
        <v>8140</v>
      </c>
      <c r="E1362" s="9" t="s">
        <v>122</v>
      </c>
      <c r="F1362" s="9" t="s">
        <v>36</v>
      </c>
      <c r="G1362" s="9">
        <v>1</v>
      </c>
      <c r="H1362" s="9">
        <v>84219999</v>
      </c>
      <c r="I1362" s="11" t="s">
        <v>37</v>
      </c>
      <c r="J1362" s="12">
        <v>1.6500000000000001E-2</v>
      </c>
      <c r="K1362" s="12">
        <v>7.5999999999999998E-2</v>
      </c>
      <c r="L1362" s="12">
        <v>5.1999999999999998E-2</v>
      </c>
      <c r="M1362" s="13">
        <v>8003453070356</v>
      </c>
      <c r="N1362" s="14">
        <v>0</v>
      </c>
      <c r="O1362" s="14">
        <v>0</v>
      </c>
      <c r="P1362" s="15">
        <v>45444</v>
      </c>
      <c r="Q1362" s="16" t="s">
        <v>9436</v>
      </c>
      <c r="R1362" s="17">
        <v>3235506500</v>
      </c>
      <c r="S1362" s="17" t="s">
        <v>35</v>
      </c>
      <c r="T1362" s="17" t="s">
        <v>35</v>
      </c>
      <c r="U1362" s="17" t="s">
        <v>35</v>
      </c>
      <c r="V1362" s="17" t="s">
        <v>35</v>
      </c>
      <c r="W1362" s="17" t="s">
        <v>35</v>
      </c>
      <c r="X1362" s="17" t="s">
        <v>35</v>
      </c>
      <c r="Y1362" s="17" t="s">
        <v>35</v>
      </c>
      <c r="Z1362" s="17" t="s">
        <v>35</v>
      </c>
      <c r="AA1362" s="17" t="s">
        <v>35</v>
      </c>
      <c r="AB1362" s="17" t="s">
        <v>35</v>
      </c>
      <c r="AC1362" s="17" t="s">
        <v>9539</v>
      </c>
      <c r="AD1362" s="41">
        <v>122.1</v>
      </c>
      <c r="AE1362" s="41">
        <v>128.44999999999999</v>
      </c>
      <c r="AF1362" s="48"/>
      <c r="AG1362" s="44"/>
      <c r="AH1362" s="7">
        <f t="shared" si="21"/>
        <v>0</v>
      </c>
      <c r="AI1362" s="18"/>
      <c r="AJ1362" s="18"/>
    </row>
    <row r="1363" spans="1:36" ht="26.65" customHeight="1" x14ac:dyDescent="0.25">
      <c r="A1363" s="10" t="s">
        <v>9437</v>
      </c>
      <c r="B1363" s="9" t="s">
        <v>8139</v>
      </c>
      <c r="C1363" s="9" t="s">
        <v>34</v>
      </c>
      <c r="D1363" s="9" t="s">
        <v>8140</v>
      </c>
      <c r="E1363" s="9" t="s">
        <v>122</v>
      </c>
      <c r="F1363" s="9" t="s">
        <v>36</v>
      </c>
      <c r="G1363" s="9">
        <v>1</v>
      </c>
      <c r="H1363" s="9">
        <v>84219999</v>
      </c>
      <c r="I1363" s="11" t="s">
        <v>37</v>
      </c>
      <c r="J1363" s="12">
        <v>1.6500000000000001E-2</v>
      </c>
      <c r="K1363" s="12">
        <v>7.5999999999999998E-2</v>
      </c>
      <c r="L1363" s="12">
        <v>5.1999999999999998E-2</v>
      </c>
      <c r="M1363" s="13">
        <v>8003453070394</v>
      </c>
      <c r="N1363" s="14">
        <v>0</v>
      </c>
      <c r="O1363" s="14">
        <v>0</v>
      </c>
      <c r="P1363" s="15">
        <v>45444</v>
      </c>
      <c r="Q1363" s="16" t="s">
        <v>9438</v>
      </c>
      <c r="R1363" s="17" t="s">
        <v>9439</v>
      </c>
      <c r="S1363" s="17" t="s">
        <v>9440</v>
      </c>
      <c r="T1363" s="17" t="s">
        <v>9441</v>
      </c>
      <c r="U1363" s="17" t="s">
        <v>35</v>
      </c>
      <c r="V1363" s="17" t="s">
        <v>35</v>
      </c>
      <c r="W1363" s="17" t="s">
        <v>35</v>
      </c>
      <c r="X1363" s="17" t="s">
        <v>35</v>
      </c>
      <c r="Y1363" s="17" t="s">
        <v>35</v>
      </c>
      <c r="Z1363" s="17" t="s">
        <v>35</v>
      </c>
      <c r="AA1363" s="17" t="s">
        <v>35</v>
      </c>
      <c r="AB1363" s="17" t="s">
        <v>9442</v>
      </c>
      <c r="AC1363" s="17" t="s">
        <v>9539</v>
      </c>
      <c r="AD1363" s="41">
        <v>359.94</v>
      </c>
      <c r="AE1363" s="41">
        <v>378.66</v>
      </c>
      <c r="AF1363" s="48"/>
      <c r="AG1363" s="44"/>
      <c r="AH1363" s="7">
        <f t="shared" si="21"/>
        <v>0</v>
      </c>
      <c r="AI1363" s="18"/>
      <c r="AJ1363" s="18"/>
    </row>
    <row r="1364" spans="1:36" ht="26.65" customHeight="1" x14ac:dyDescent="0.25">
      <c r="A1364" s="10" t="s">
        <v>9443</v>
      </c>
      <c r="B1364" s="9" t="s">
        <v>8139</v>
      </c>
      <c r="C1364" s="9" t="s">
        <v>34</v>
      </c>
      <c r="D1364" s="9" t="s">
        <v>8140</v>
      </c>
      <c r="E1364" s="9" t="s">
        <v>122</v>
      </c>
      <c r="F1364" s="9" t="s">
        <v>36</v>
      </c>
      <c r="G1364" s="9">
        <v>1</v>
      </c>
      <c r="H1364" s="9">
        <v>84219999</v>
      </c>
      <c r="I1364" s="11" t="s">
        <v>37</v>
      </c>
      <c r="J1364" s="12">
        <v>1.6500000000000001E-2</v>
      </c>
      <c r="K1364" s="12">
        <v>7.5999999999999998E-2</v>
      </c>
      <c r="L1364" s="12">
        <v>5.1999999999999998E-2</v>
      </c>
      <c r="M1364" s="13">
        <v>8003453070806</v>
      </c>
      <c r="N1364" s="14">
        <v>0</v>
      </c>
      <c r="O1364" s="14">
        <v>0</v>
      </c>
      <c r="P1364" s="15">
        <v>45444</v>
      </c>
      <c r="Q1364" s="16" t="s">
        <v>9444</v>
      </c>
      <c r="R1364" s="17" t="s">
        <v>9445</v>
      </c>
      <c r="S1364" s="17" t="s">
        <v>35</v>
      </c>
      <c r="T1364" s="17" t="s">
        <v>35</v>
      </c>
      <c r="U1364" s="17" t="s">
        <v>35</v>
      </c>
      <c r="V1364" s="17" t="s">
        <v>35</v>
      </c>
      <c r="W1364" s="17" t="s">
        <v>35</v>
      </c>
      <c r="X1364" s="17" t="s">
        <v>35</v>
      </c>
      <c r="Y1364" s="17" t="s">
        <v>35</v>
      </c>
      <c r="Z1364" s="17" t="s">
        <v>35</v>
      </c>
      <c r="AA1364" s="17" t="s">
        <v>35</v>
      </c>
      <c r="AB1364" s="17" t="s">
        <v>8506</v>
      </c>
      <c r="AC1364" s="17" t="s">
        <v>9539</v>
      </c>
      <c r="AD1364" s="41">
        <v>178.94</v>
      </c>
      <c r="AE1364" s="41">
        <v>188.24</v>
      </c>
      <c r="AF1364" s="48"/>
      <c r="AG1364" s="44"/>
      <c r="AH1364" s="7">
        <f t="shared" si="21"/>
        <v>0</v>
      </c>
      <c r="AI1364" s="18"/>
      <c r="AJ1364" s="18"/>
    </row>
    <row r="1365" spans="1:36" ht="26.65" customHeight="1" x14ac:dyDescent="0.25">
      <c r="A1365" s="10" t="s">
        <v>9446</v>
      </c>
      <c r="B1365" s="9" t="s">
        <v>8139</v>
      </c>
      <c r="C1365" s="9" t="s">
        <v>34</v>
      </c>
      <c r="D1365" s="9" t="s">
        <v>8140</v>
      </c>
      <c r="E1365" s="9" t="s">
        <v>122</v>
      </c>
      <c r="F1365" s="9" t="s">
        <v>36</v>
      </c>
      <c r="G1365" s="9">
        <v>1</v>
      </c>
      <c r="H1365" s="9">
        <v>84219999</v>
      </c>
      <c r="I1365" s="11" t="s">
        <v>37</v>
      </c>
      <c r="J1365" s="12">
        <v>1.6500000000000001E-2</v>
      </c>
      <c r="K1365" s="12">
        <v>7.5999999999999998E-2</v>
      </c>
      <c r="L1365" s="12">
        <v>5.1999999999999998E-2</v>
      </c>
      <c r="M1365" s="13">
        <v>8003453070813</v>
      </c>
      <c r="N1365" s="14">
        <v>0</v>
      </c>
      <c r="O1365" s="14">
        <v>0</v>
      </c>
      <c r="P1365" s="15">
        <v>45444</v>
      </c>
      <c r="Q1365" s="16" t="s">
        <v>9423</v>
      </c>
      <c r="R1365" s="17" t="s">
        <v>9447</v>
      </c>
      <c r="S1365" s="17" t="s">
        <v>9448</v>
      </c>
      <c r="T1365" s="17" t="s">
        <v>9449</v>
      </c>
      <c r="U1365" s="17" t="s">
        <v>35</v>
      </c>
      <c r="V1365" s="17" t="s">
        <v>35</v>
      </c>
      <c r="W1365" s="17" t="s">
        <v>35</v>
      </c>
      <c r="X1365" s="17" t="s">
        <v>35</v>
      </c>
      <c r="Y1365" s="17" t="s">
        <v>35</v>
      </c>
      <c r="Z1365" s="17" t="s">
        <v>9450</v>
      </c>
      <c r="AA1365" s="17" t="s">
        <v>35</v>
      </c>
      <c r="AB1365" s="17" t="s">
        <v>9451</v>
      </c>
      <c r="AC1365" s="17" t="s">
        <v>9539</v>
      </c>
      <c r="AD1365" s="41">
        <v>175.69</v>
      </c>
      <c r="AE1365" s="41">
        <v>184.83</v>
      </c>
      <c r="AF1365" s="48"/>
      <c r="AG1365" s="44"/>
      <c r="AH1365" s="7">
        <f t="shared" si="21"/>
        <v>0</v>
      </c>
      <c r="AI1365" s="18"/>
      <c r="AJ1365" s="18"/>
    </row>
    <row r="1366" spans="1:36" ht="26.65" customHeight="1" x14ac:dyDescent="0.25">
      <c r="A1366" s="10" t="s">
        <v>9452</v>
      </c>
      <c r="B1366" s="9" t="s">
        <v>8139</v>
      </c>
      <c r="C1366" s="9" t="s">
        <v>34</v>
      </c>
      <c r="D1366" s="9" t="s">
        <v>8140</v>
      </c>
      <c r="E1366" s="9" t="s">
        <v>122</v>
      </c>
      <c r="F1366" s="9" t="s">
        <v>36</v>
      </c>
      <c r="G1366" s="9">
        <v>1</v>
      </c>
      <c r="H1366" s="9">
        <v>84219999</v>
      </c>
      <c r="I1366" s="11" t="s">
        <v>37</v>
      </c>
      <c r="J1366" s="12">
        <v>1.6500000000000001E-2</v>
      </c>
      <c r="K1366" s="12">
        <v>7.5999999999999998E-2</v>
      </c>
      <c r="L1366" s="12">
        <v>5.1999999999999998E-2</v>
      </c>
      <c r="M1366" s="13">
        <v>8003453070073</v>
      </c>
      <c r="N1366" s="14">
        <v>0</v>
      </c>
      <c r="O1366" s="14">
        <v>0</v>
      </c>
      <c r="P1366" s="15">
        <v>45444</v>
      </c>
      <c r="Q1366" s="16" t="s">
        <v>9453</v>
      </c>
      <c r="R1366" s="17" t="s">
        <v>9454</v>
      </c>
      <c r="S1366" s="17" t="s">
        <v>35</v>
      </c>
      <c r="T1366" s="17" t="s">
        <v>35</v>
      </c>
      <c r="U1366" s="17" t="s">
        <v>35</v>
      </c>
      <c r="V1366" s="17" t="s">
        <v>35</v>
      </c>
      <c r="W1366" s="17" t="s">
        <v>35</v>
      </c>
      <c r="X1366" s="17" t="s">
        <v>35</v>
      </c>
      <c r="Y1366" s="17" t="s">
        <v>35</v>
      </c>
      <c r="Z1366" s="17" t="s">
        <v>35</v>
      </c>
      <c r="AA1366" s="17" t="s">
        <v>35</v>
      </c>
      <c r="AB1366" s="17" t="s">
        <v>35</v>
      </c>
      <c r="AC1366" s="17" t="s">
        <v>9539</v>
      </c>
      <c r="AD1366" s="41">
        <v>173.52</v>
      </c>
      <c r="AE1366" s="41">
        <v>182.54</v>
      </c>
      <c r="AF1366" s="48"/>
      <c r="AG1366" s="44"/>
      <c r="AH1366" s="7">
        <f t="shared" si="21"/>
        <v>0</v>
      </c>
      <c r="AI1366" s="18"/>
      <c r="AJ1366" s="18"/>
    </row>
    <row r="1367" spans="1:36" ht="26.65" customHeight="1" x14ac:dyDescent="0.25">
      <c r="A1367" s="10" t="s">
        <v>8253</v>
      </c>
      <c r="B1367" s="9" t="s">
        <v>8139</v>
      </c>
      <c r="C1367" s="9" t="s">
        <v>34</v>
      </c>
      <c r="D1367" s="9" t="s">
        <v>8140</v>
      </c>
      <c r="E1367" s="9" t="s">
        <v>122</v>
      </c>
      <c r="F1367" s="9" t="s">
        <v>36</v>
      </c>
      <c r="G1367" s="9">
        <v>1</v>
      </c>
      <c r="H1367" s="9">
        <v>84219999</v>
      </c>
      <c r="I1367" s="11" t="s">
        <v>37</v>
      </c>
      <c r="J1367" s="12">
        <v>1.6500000000000001E-2</v>
      </c>
      <c r="K1367" s="12">
        <v>7.5999999999999998E-2</v>
      </c>
      <c r="L1367" s="12">
        <v>5.1999999999999998E-2</v>
      </c>
      <c r="M1367" s="13">
        <v>8003453070578</v>
      </c>
      <c r="N1367" s="14">
        <v>0.38</v>
      </c>
      <c r="O1367" s="14">
        <v>0.41</v>
      </c>
      <c r="P1367" s="15">
        <v>45200</v>
      </c>
      <c r="Q1367" s="16" t="s">
        <v>8254</v>
      </c>
      <c r="R1367" s="17" t="s">
        <v>8255</v>
      </c>
      <c r="S1367" s="17" t="s">
        <v>35</v>
      </c>
      <c r="T1367" s="17" t="s">
        <v>35</v>
      </c>
      <c r="U1367" s="17" t="s">
        <v>35</v>
      </c>
      <c r="V1367" s="17" t="s">
        <v>35</v>
      </c>
      <c r="W1367" s="17" t="s">
        <v>35</v>
      </c>
      <c r="X1367" s="17" t="s">
        <v>35</v>
      </c>
      <c r="Y1367" s="17" t="s">
        <v>35</v>
      </c>
      <c r="Z1367" s="17" t="s">
        <v>8256</v>
      </c>
      <c r="AA1367" s="17" t="s">
        <v>8257</v>
      </c>
      <c r="AB1367" s="17" t="s">
        <v>8258</v>
      </c>
      <c r="AC1367" s="17" t="s">
        <v>9539</v>
      </c>
      <c r="AD1367" s="41">
        <v>349.78</v>
      </c>
      <c r="AE1367" s="41">
        <v>367.97</v>
      </c>
      <c r="AF1367" s="48"/>
      <c r="AG1367" s="44"/>
      <c r="AH1367" s="7">
        <f t="shared" si="21"/>
        <v>0</v>
      </c>
      <c r="AI1367" s="18"/>
      <c r="AJ1367" s="18"/>
    </row>
    <row r="1368" spans="1:36" ht="26.65" customHeight="1" x14ac:dyDescent="0.25">
      <c r="A1368" s="10" t="s">
        <v>8259</v>
      </c>
      <c r="B1368" s="9" t="s">
        <v>8224</v>
      </c>
      <c r="C1368" s="9" t="s">
        <v>34</v>
      </c>
      <c r="D1368" s="9" t="s">
        <v>8140</v>
      </c>
      <c r="E1368" s="9" t="s">
        <v>35</v>
      </c>
      <c r="F1368" s="9" t="s">
        <v>36</v>
      </c>
      <c r="G1368" s="9">
        <v>6</v>
      </c>
      <c r="H1368" s="9">
        <v>84212990</v>
      </c>
      <c r="I1368" s="11" t="s">
        <v>37</v>
      </c>
      <c r="J1368" s="12">
        <v>1.6500000000000001E-2</v>
      </c>
      <c r="K1368" s="12">
        <v>7.5999999999999998E-2</v>
      </c>
      <c r="L1368" s="12">
        <v>0</v>
      </c>
      <c r="M1368" s="13">
        <v>8003453070608</v>
      </c>
      <c r="N1368" s="14">
        <v>0.14199999999999999</v>
      </c>
      <c r="O1368" s="14">
        <v>0.16800000000000001</v>
      </c>
      <c r="P1368" s="15">
        <v>45139</v>
      </c>
      <c r="Q1368" s="16" t="s">
        <v>8260</v>
      </c>
      <c r="R1368" s="17" t="s">
        <v>8261</v>
      </c>
      <c r="S1368" s="17" t="s">
        <v>8262</v>
      </c>
      <c r="T1368" s="17" t="s">
        <v>35</v>
      </c>
      <c r="U1368" s="17" t="s">
        <v>35</v>
      </c>
      <c r="V1368" s="17" t="s">
        <v>35</v>
      </c>
      <c r="W1368" s="17" t="s">
        <v>35</v>
      </c>
      <c r="X1368" s="17" t="s">
        <v>35</v>
      </c>
      <c r="Y1368" s="17" t="s">
        <v>35</v>
      </c>
      <c r="Z1368" s="17" t="s">
        <v>8263</v>
      </c>
      <c r="AA1368" s="17">
        <v>930191</v>
      </c>
      <c r="AB1368" s="17" t="s">
        <v>8264</v>
      </c>
      <c r="AC1368" s="17" t="s">
        <v>9539</v>
      </c>
      <c r="AD1368" s="41">
        <v>154.33000000000001</v>
      </c>
      <c r="AE1368" s="41">
        <v>154.33000000000001</v>
      </c>
      <c r="AF1368" s="48"/>
      <c r="AG1368" s="44"/>
      <c r="AH1368" s="7">
        <f t="shared" si="21"/>
        <v>0</v>
      </c>
      <c r="AI1368" s="18"/>
      <c r="AJ1368" s="18"/>
    </row>
    <row r="1369" spans="1:36" ht="26.65" customHeight="1" x14ac:dyDescent="0.25">
      <c r="A1369" s="10" t="s">
        <v>9455</v>
      </c>
      <c r="B1369" s="9" t="s">
        <v>8139</v>
      </c>
      <c r="C1369" s="9" t="s">
        <v>34</v>
      </c>
      <c r="D1369" s="9" t="s">
        <v>8140</v>
      </c>
      <c r="E1369" s="9" t="s">
        <v>122</v>
      </c>
      <c r="F1369" s="9" t="s">
        <v>36</v>
      </c>
      <c r="G1369" s="9">
        <v>1</v>
      </c>
      <c r="H1369" s="9">
        <v>84219999</v>
      </c>
      <c r="I1369" s="11" t="s">
        <v>37</v>
      </c>
      <c r="J1369" s="12">
        <v>1.6500000000000001E-2</v>
      </c>
      <c r="K1369" s="12">
        <v>7.5999999999999998E-2</v>
      </c>
      <c r="L1369" s="12">
        <v>5.1999999999999998E-2</v>
      </c>
      <c r="M1369" s="13">
        <v>8003453070929</v>
      </c>
      <c r="N1369" s="14">
        <v>0</v>
      </c>
      <c r="O1369" s="14">
        <v>0</v>
      </c>
      <c r="P1369" s="15">
        <v>45444</v>
      </c>
      <c r="Q1369" s="16" t="s">
        <v>9456</v>
      </c>
      <c r="R1369" s="17" t="s">
        <v>9457</v>
      </c>
      <c r="S1369" s="17" t="s">
        <v>9458</v>
      </c>
      <c r="T1369" s="17" t="s">
        <v>35</v>
      </c>
      <c r="U1369" s="17" t="s">
        <v>35</v>
      </c>
      <c r="V1369" s="17" t="s">
        <v>35</v>
      </c>
      <c r="W1369" s="17" t="s">
        <v>35</v>
      </c>
      <c r="X1369" s="17" t="s">
        <v>35</v>
      </c>
      <c r="Y1369" s="17" t="s">
        <v>35</v>
      </c>
      <c r="Z1369" s="17" t="s">
        <v>8395</v>
      </c>
      <c r="AA1369" s="17" t="s">
        <v>35</v>
      </c>
      <c r="AB1369" s="17" t="s">
        <v>8396</v>
      </c>
      <c r="AC1369" s="17" t="s">
        <v>9539</v>
      </c>
      <c r="AD1369" s="41">
        <v>100.6</v>
      </c>
      <c r="AE1369" s="41">
        <v>105.83</v>
      </c>
      <c r="AF1369" s="48"/>
      <c r="AG1369" s="44"/>
      <c r="AH1369" s="7">
        <f t="shared" si="21"/>
        <v>0</v>
      </c>
      <c r="AI1369" s="18"/>
      <c r="AJ1369" s="18"/>
    </row>
    <row r="1370" spans="1:36" ht="26.65" customHeight="1" x14ac:dyDescent="0.25">
      <c r="A1370" s="10" t="s">
        <v>9459</v>
      </c>
      <c r="B1370" s="9" t="s">
        <v>8139</v>
      </c>
      <c r="C1370" s="9" t="s">
        <v>34</v>
      </c>
      <c r="D1370" s="9" t="s">
        <v>8140</v>
      </c>
      <c r="E1370" s="9" t="s">
        <v>122</v>
      </c>
      <c r="F1370" s="9" t="s">
        <v>36</v>
      </c>
      <c r="G1370" s="9">
        <v>1</v>
      </c>
      <c r="H1370" s="9">
        <v>84219999</v>
      </c>
      <c r="I1370" s="11" t="s">
        <v>37</v>
      </c>
      <c r="J1370" s="12">
        <v>1.6500000000000001E-2</v>
      </c>
      <c r="K1370" s="12">
        <v>7.5999999999999998E-2</v>
      </c>
      <c r="L1370" s="12">
        <v>5.1999999999999998E-2</v>
      </c>
      <c r="M1370" s="13">
        <v>8003453070844</v>
      </c>
      <c r="N1370" s="14">
        <v>0</v>
      </c>
      <c r="O1370" s="14">
        <v>0</v>
      </c>
      <c r="P1370" s="15">
        <v>45444</v>
      </c>
      <c r="Q1370" s="16" t="s">
        <v>9456</v>
      </c>
      <c r="R1370" s="17" t="s">
        <v>9460</v>
      </c>
      <c r="S1370" s="17" t="s">
        <v>35</v>
      </c>
      <c r="T1370" s="17" t="s">
        <v>35</v>
      </c>
      <c r="U1370" s="17" t="s">
        <v>35</v>
      </c>
      <c r="V1370" s="17" t="s">
        <v>35</v>
      </c>
      <c r="W1370" s="17" t="s">
        <v>35</v>
      </c>
      <c r="X1370" s="17" t="s">
        <v>35</v>
      </c>
      <c r="Y1370" s="17" t="s">
        <v>35</v>
      </c>
      <c r="Z1370" s="17" t="s">
        <v>9461</v>
      </c>
      <c r="AA1370" s="17" t="s">
        <v>35</v>
      </c>
      <c r="AB1370" s="17" t="s">
        <v>35</v>
      </c>
      <c r="AC1370" s="17" t="s">
        <v>9539</v>
      </c>
      <c r="AD1370" s="41">
        <v>124.36</v>
      </c>
      <c r="AE1370" s="41">
        <v>130.83000000000001</v>
      </c>
      <c r="AF1370" s="48"/>
      <c r="AG1370" s="44"/>
      <c r="AH1370" s="7">
        <f t="shared" si="21"/>
        <v>0</v>
      </c>
      <c r="AI1370" s="18"/>
      <c r="AJ1370" s="18"/>
    </row>
    <row r="1371" spans="1:36" ht="26.65" customHeight="1" x14ac:dyDescent="0.25">
      <c r="A1371" s="10" t="s">
        <v>9462</v>
      </c>
      <c r="B1371" s="9" t="s">
        <v>8139</v>
      </c>
      <c r="C1371" s="9" t="s">
        <v>34</v>
      </c>
      <c r="D1371" s="9" t="s">
        <v>8140</v>
      </c>
      <c r="E1371" s="9" t="s">
        <v>122</v>
      </c>
      <c r="F1371" s="9" t="s">
        <v>36</v>
      </c>
      <c r="G1371" s="9">
        <v>1</v>
      </c>
      <c r="H1371" s="9">
        <v>84219999</v>
      </c>
      <c r="I1371" s="11" t="s">
        <v>37</v>
      </c>
      <c r="J1371" s="12">
        <v>1.6500000000000001E-2</v>
      </c>
      <c r="K1371" s="12">
        <v>7.5999999999999998E-2</v>
      </c>
      <c r="L1371" s="12">
        <v>5.1999999999999998E-2</v>
      </c>
      <c r="M1371" s="13">
        <v>8003453070851</v>
      </c>
      <c r="N1371" s="14">
        <v>0</v>
      </c>
      <c r="O1371" s="14">
        <v>0</v>
      </c>
      <c r="P1371" s="15">
        <v>45444</v>
      </c>
      <c r="Q1371" s="16" t="s">
        <v>9463</v>
      </c>
      <c r="R1371" s="17">
        <v>47522804</v>
      </c>
      <c r="S1371" s="17" t="s">
        <v>9464</v>
      </c>
      <c r="T1371" s="17" t="s">
        <v>9465</v>
      </c>
      <c r="U1371" s="17" t="s">
        <v>35</v>
      </c>
      <c r="V1371" s="17" t="s">
        <v>35</v>
      </c>
      <c r="W1371" s="17" t="s">
        <v>35</v>
      </c>
      <c r="X1371" s="17" t="s">
        <v>35</v>
      </c>
      <c r="Y1371" s="17" t="s">
        <v>35</v>
      </c>
      <c r="Z1371" s="17" t="s">
        <v>9466</v>
      </c>
      <c r="AA1371" s="17" t="s">
        <v>35</v>
      </c>
      <c r="AB1371" s="17" t="s">
        <v>9467</v>
      </c>
      <c r="AC1371" s="17" t="s">
        <v>9539</v>
      </c>
      <c r="AD1371" s="41">
        <v>103.06</v>
      </c>
      <c r="AE1371" s="41">
        <v>108.42</v>
      </c>
      <c r="AF1371" s="48"/>
      <c r="AG1371" s="44"/>
      <c r="AH1371" s="7">
        <f t="shared" si="21"/>
        <v>0</v>
      </c>
      <c r="AI1371" s="18"/>
      <c r="AJ1371" s="18"/>
    </row>
    <row r="1372" spans="1:36" ht="26.65" customHeight="1" x14ac:dyDescent="0.25">
      <c r="A1372" s="10" t="s">
        <v>9468</v>
      </c>
      <c r="B1372" s="9" t="s">
        <v>8139</v>
      </c>
      <c r="C1372" s="9" t="s">
        <v>34</v>
      </c>
      <c r="D1372" s="9" t="s">
        <v>8140</v>
      </c>
      <c r="E1372" s="9" t="s">
        <v>122</v>
      </c>
      <c r="F1372" s="9" t="s">
        <v>36</v>
      </c>
      <c r="G1372" s="9">
        <v>1</v>
      </c>
      <c r="H1372" s="9">
        <v>84219999</v>
      </c>
      <c r="I1372" s="11" t="s">
        <v>37</v>
      </c>
      <c r="J1372" s="12">
        <v>1.6500000000000001E-2</v>
      </c>
      <c r="K1372" s="12">
        <v>7.5999999999999998E-2</v>
      </c>
      <c r="L1372" s="12">
        <v>5.1999999999999998E-2</v>
      </c>
      <c r="M1372" s="13">
        <v>8003453070899</v>
      </c>
      <c r="N1372" s="14">
        <v>0</v>
      </c>
      <c r="O1372" s="14">
        <v>0</v>
      </c>
      <c r="P1372" s="15">
        <v>45444</v>
      </c>
      <c r="Q1372" s="16" t="s">
        <v>9469</v>
      </c>
      <c r="R1372" s="17" t="s">
        <v>9470</v>
      </c>
      <c r="S1372" s="17" t="s">
        <v>8262</v>
      </c>
      <c r="T1372" s="17" t="s">
        <v>9471</v>
      </c>
      <c r="U1372" s="17" t="s">
        <v>35</v>
      </c>
      <c r="V1372" s="17" t="s">
        <v>35</v>
      </c>
      <c r="W1372" s="17" t="s">
        <v>35</v>
      </c>
      <c r="X1372" s="17" t="s">
        <v>35</v>
      </c>
      <c r="Y1372" s="17" t="s">
        <v>35</v>
      </c>
      <c r="Z1372" s="17" t="s">
        <v>9472</v>
      </c>
      <c r="AA1372" s="17" t="s">
        <v>35</v>
      </c>
      <c r="AB1372" s="17" t="s">
        <v>8264</v>
      </c>
      <c r="AC1372" s="17" t="s">
        <v>9539</v>
      </c>
      <c r="AD1372" s="41">
        <v>162.16999999999999</v>
      </c>
      <c r="AE1372" s="41">
        <v>170.6</v>
      </c>
      <c r="AF1372" s="48"/>
      <c r="AG1372" s="44"/>
      <c r="AH1372" s="7">
        <f t="shared" si="21"/>
        <v>0</v>
      </c>
      <c r="AI1372" s="18"/>
      <c r="AJ1372" s="18"/>
    </row>
    <row r="1373" spans="1:36" ht="26.65" customHeight="1" x14ac:dyDescent="0.25">
      <c r="A1373" s="10" t="s">
        <v>9473</v>
      </c>
      <c r="B1373" s="9" t="s">
        <v>8139</v>
      </c>
      <c r="C1373" s="9" t="s">
        <v>34</v>
      </c>
      <c r="D1373" s="9" t="s">
        <v>8140</v>
      </c>
      <c r="E1373" s="9" t="s">
        <v>122</v>
      </c>
      <c r="F1373" s="9" t="s">
        <v>36</v>
      </c>
      <c r="G1373" s="9">
        <v>1</v>
      </c>
      <c r="H1373" s="9">
        <v>84219999</v>
      </c>
      <c r="I1373" s="11" t="s">
        <v>37</v>
      </c>
      <c r="J1373" s="12">
        <v>1.6500000000000001E-2</v>
      </c>
      <c r="K1373" s="12">
        <v>7.5999999999999998E-2</v>
      </c>
      <c r="L1373" s="12">
        <v>5.1999999999999998E-2</v>
      </c>
      <c r="M1373" s="13">
        <v>8003453070905</v>
      </c>
      <c r="N1373" s="14">
        <v>0</v>
      </c>
      <c r="O1373" s="14">
        <v>0</v>
      </c>
      <c r="P1373" s="15">
        <v>45444</v>
      </c>
      <c r="Q1373" s="16" t="s">
        <v>9375</v>
      </c>
      <c r="R1373" s="17">
        <v>6005020221</v>
      </c>
      <c r="S1373" s="17" t="s">
        <v>9474</v>
      </c>
      <c r="T1373" s="17" t="s">
        <v>35</v>
      </c>
      <c r="U1373" s="17" t="s">
        <v>35</v>
      </c>
      <c r="V1373" s="17" t="s">
        <v>35</v>
      </c>
      <c r="W1373" s="17" t="s">
        <v>35</v>
      </c>
      <c r="X1373" s="17" t="s">
        <v>35</v>
      </c>
      <c r="Y1373" s="17" t="s">
        <v>35</v>
      </c>
      <c r="Z1373" s="17" t="s">
        <v>9475</v>
      </c>
      <c r="AA1373" s="17" t="s">
        <v>35</v>
      </c>
      <c r="AB1373" s="17" t="s">
        <v>9476</v>
      </c>
      <c r="AC1373" s="17" t="s">
        <v>9539</v>
      </c>
      <c r="AD1373" s="41">
        <v>95.51</v>
      </c>
      <c r="AE1373" s="41">
        <v>100.48</v>
      </c>
      <c r="AF1373" s="48"/>
      <c r="AG1373" s="44"/>
      <c r="AH1373" s="7">
        <f t="shared" si="21"/>
        <v>0</v>
      </c>
      <c r="AI1373" s="18"/>
      <c r="AJ1373" s="18"/>
    </row>
    <row r="1374" spans="1:36" ht="26.65" customHeight="1" x14ac:dyDescent="0.25">
      <c r="A1374" s="10" t="s">
        <v>8265</v>
      </c>
      <c r="B1374" s="9" t="s">
        <v>8146</v>
      </c>
      <c r="C1374" s="9" t="s">
        <v>34</v>
      </c>
      <c r="D1374" s="9" t="s">
        <v>8140</v>
      </c>
      <c r="E1374" s="9" t="s">
        <v>35</v>
      </c>
      <c r="F1374" s="9" t="s">
        <v>36</v>
      </c>
      <c r="G1374" s="9">
        <v>6</v>
      </c>
      <c r="H1374" s="9">
        <v>84212990</v>
      </c>
      <c r="I1374" s="11" t="s">
        <v>37</v>
      </c>
      <c r="J1374" s="12">
        <v>1.6500000000000001E-2</v>
      </c>
      <c r="K1374" s="12">
        <v>7.5999999999999998E-2</v>
      </c>
      <c r="L1374" s="12">
        <v>0</v>
      </c>
      <c r="M1374" s="13">
        <v>8003453240018</v>
      </c>
      <c r="N1374" s="14">
        <v>0.65</v>
      </c>
      <c r="O1374" s="14">
        <v>0.72399999999999998</v>
      </c>
      <c r="P1374" s="15">
        <v>44774</v>
      </c>
      <c r="Q1374" s="16" t="s">
        <v>8266</v>
      </c>
      <c r="R1374" s="17" t="s">
        <v>8267</v>
      </c>
      <c r="S1374" s="17" t="s">
        <v>8268</v>
      </c>
      <c r="T1374" s="17" t="s">
        <v>8269</v>
      </c>
      <c r="U1374" s="17" t="s">
        <v>35</v>
      </c>
      <c r="V1374" s="17" t="s">
        <v>8270</v>
      </c>
      <c r="W1374" s="17" t="s">
        <v>35</v>
      </c>
      <c r="X1374" s="17" t="s">
        <v>35</v>
      </c>
      <c r="Y1374" s="17" t="s">
        <v>8271</v>
      </c>
      <c r="Z1374" s="17" t="s">
        <v>8272</v>
      </c>
      <c r="AA1374" s="17" t="s">
        <v>35</v>
      </c>
      <c r="AB1374" s="17" t="s">
        <v>8273</v>
      </c>
      <c r="AC1374" s="17" t="s">
        <v>9539</v>
      </c>
      <c r="AD1374" s="41">
        <v>43.99</v>
      </c>
      <c r="AE1374" s="41">
        <v>43.99</v>
      </c>
      <c r="AF1374" s="48"/>
      <c r="AG1374" s="44"/>
      <c r="AH1374" s="7">
        <f t="shared" si="21"/>
        <v>0</v>
      </c>
      <c r="AI1374" s="18"/>
      <c r="AJ1374" s="18"/>
    </row>
    <row r="1375" spans="1:36" ht="26.65" customHeight="1" x14ac:dyDescent="0.25">
      <c r="A1375" s="10" t="s">
        <v>8274</v>
      </c>
      <c r="B1375" s="9" t="s">
        <v>8146</v>
      </c>
      <c r="C1375" s="9" t="s">
        <v>34</v>
      </c>
      <c r="D1375" s="9" t="s">
        <v>8140</v>
      </c>
      <c r="E1375" s="9" t="s">
        <v>35</v>
      </c>
      <c r="F1375" s="9" t="s">
        <v>36</v>
      </c>
      <c r="G1375" s="9">
        <v>6</v>
      </c>
      <c r="H1375" s="9">
        <v>84212990</v>
      </c>
      <c r="I1375" s="11" t="s">
        <v>37</v>
      </c>
      <c r="J1375" s="12">
        <v>1.6500000000000001E-2</v>
      </c>
      <c r="K1375" s="12">
        <v>7.5999999999999998E-2</v>
      </c>
      <c r="L1375" s="12">
        <v>0</v>
      </c>
      <c r="M1375" s="13">
        <v>8003453240025</v>
      </c>
      <c r="N1375" s="14">
        <v>0.95</v>
      </c>
      <c r="O1375" s="14">
        <v>1.0449999999999999</v>
      </c>
      <c r="P1375" s="15">
        <v>44774</v>
      </c>
      <c r="Q1375" s="16" t="s">
        <v>8275</v>
      </c>
      <c r="R1375" s="17" t="s">
        <v>8276</v>
      </c>
      <c r="S1375" s="17" t="s">
        <v>8277</v>
      </c>
      <c r="T1375" s="17" t="s">
        <v>35</v>
      </c>
      <c r="U1375" s="17" t="s">
        <v>35</v>
      </c>
      <c r="V1375" s="17" t="s">
        <v>8219</v>
      </c>
      <c r="W1375" s="17" t="s">
        <v>35</v>
      </c>
      <c r="X1375" s="17" t="s">
        <v>35</v>
      </c>
      <c r="Y1375" s="17" t="s">
        <v>35</v>
      </c>
      <c r="Z1375" s="17" t="s">
        <v>8221</v>
      </c>
      <c r="AA1375" s="17" t="s">
        <v>35</v>
      </c>
      <c r="AB1375" s="17" t="s">
        <v>8222</v>
      </c>
      <c r="AC1375" s="17" t="s">
        <v>9539</v>
      </c>
      <c r="AD1375" s="41">
        <v>46.14</v>
      </c>
      <c r="AE1375" s="41">
        <v>46.14</v>
      </c>
      <c r="AF1375" s="48"/>
      <c r="AG1375" s="44"/>
      <c r="AH1375" s="7">
        <f t="shared" si="21"/>
        <v>0</v>
      </c>
      <c r="AI1375" s="18"/>
      <c r="AJ1375" s="18"/>
    </row>
    <row r="1376" spans="1:36" ht="26.65" customHeight="1" x14ac:dyDescent="0.25">
      <c r="A1376" s="10" t="s">
        <v>8278</v>
      </c>
      <c r="B1376" s="9" t="s">
        <v>8146</v>
      </c>
      <c r="C1376" s="9" t="s">
        <v>34</v>
      </c>
      <c r="D1376" s="9" t="s">
        <v>8140</v>
      </c>
      <c r="E1376" s="9" t="s">
        <v>35</v>
      </c>
      <c r="F1376" s="9" t="s">
        <v>36</v>
      </c>
      <c r="G1376" s="9">
        <v>1</v>
      </c>
      <c r="H1376" s="9">
        <v>84212990</v>
      </c>
      <c r="I1376" s="11" t="s">
        <v>37</v>
      </c>
      <c r="J1376" s="12">
        <v>1.6500000000000001E-2</v>
      </c>
      <c r="K1376" s="12">
        <v>7.5999999999999998E-2</v>
      </c>
      <c r="L1376" s="12">
        <v>0</v>
      </c>
      <c r="M1376" s="13">
        <v>8003453240032</v>
      </c>
      <c r="N1376" s="14">
        <v>1</v>
      </c>
      <c r="O1376" s="14">
        <v>1.1299999999999999</v>
      </c>
      <c r="P1376" s="15">
        <v>44896</v>
      </c>
      <c r="Q1376" s="16" t="s">
        <v>8279</v>
      </c>
      <c r="R1376" s="17" t="s">
        <v>8280</v>
      </c>
      <c r="S1376" s="17" t="s">
        <v>8281</v>
      </c>
      <c r="T1376" s="17" t="s">
        <v>8282</v>
      </c>
      <c r="U1376" s="17" t="s">
        <v>35</v>
      </c>
      <c r="V1376" s="17" t="s">
        <v>8283</v>
      </c>
      <c r="W1376" s="17" t="s">
        <v>35</v>
      </c>
      <c r="X1376" s="17" t="s">
        <v>35</v>
      </c>
      <c r="Y1376" s="17" t="s">
        <v>8284</v>
      </c>
      <c r="Z1376" s="17" t="s">
        <v>8285</v>
      </c>
      <c r="AA1376" s="17" t="s">
        <v>35</v>
      </c>
      <c r="AB1376" s="17" t="s">
        <v>8286</v>
      </c>
      <c r="AC1376" s="17" t="s">
        <v>9539</v>
      </c>
      <c r="AD1376" s="41">
        <v>67.06</v>
      </c>
      <c r="AE1376" s="41">
        <v>67.06</v>
      </c>
      <c r="AF1376" s="48"/>
      <c r="AG1376" s="44"/>
      <c r="AH1376" s="7">
        <f t="shared" si="21"/>
        <v>0</v>
      </c>
      <c r="AI1376" s="18"/>
      <c r="AJ1376" s="18"/>
    </row>
    <row r="1377" spans="1:38" ht="26.65" customHeight="1" x14ac:dyDescent="0.25">
      <c r="A1377" s="10" t="s">
        <v>8287</v>
      </c>
      <c r="B1377" s="9" t="s">
        <v>8146</v>
      </c>
      <c r="C1377" s="9" t="s">
        <v>34</v>
      </c>
      <c r="D1377" s="9" t="s">
        <v>8140</v>
      </c>
      <c r="E1377" s="9" t="s">
        <v>35</v>
      </c>
      <c r="F1377" s="9" t="s">
        <v>36</v>
      </c>
      <c r="G1377" s="9">
        <v>6</v>
      </c>
      <c r="H1377" s="9">
        <v>84212990</v>
      </c>
      <c r="I1377" s="11" t="s">
        <v>37</v>
      </c>
      <c r="J1377" s="12">
        <v>1.6500000000000001E-2</v>
      </c>
      <c r="K1377" s="12">
        <v>7.5999999999999998E-2</v>
      </c>
      <c r="L1377" s="12">
        <v>0</v>
      </c>
      <c r="M1377" s="13">
        <v>8003453160613</v>
      </c>
      <c r="N1377" s="14">
        <v>0.432</v>
      </c>
      <c r="O1377" s="14">
        <v>0.46500000000000002</v>
      </c>
      <c r="P1377" s="15">
        <v>44986</v>
      </c>
      <c r="Q1377" s="16" t="s">
        <v>8288</v>
      </c>
      <c r="R1377" s="17" t="s">
        <v>8289</v>
      </c>
      <c r="S1377" s="17" t="s">
        <v>8290</v>
      </c>
      <c r="T1377" s="17" t="s">
        <v>8291</v>
      </c>
      <c r="U1377" s="17" t="s">
        <v>35</v>
      </c>
      <c r="V1377" s="17" t="s">
        <v>35</v>
      </c>
      <c r="W1377" s="17" t="s">
        <v>35</v>
      </c>
      <c r="X1377" s="17" t="s">
        <v>35</v>
      </c>
      <c r="Y1377" s="17" t="s">
        <v>35</v>
      </c>
      <c r="Z1377" s="17" t="s">
        <v>8292</v>
      </c>
      <c r="AA1377" s="17" t="s">
        <v>35</v>
      </c>
      <c r="AB1377" s="17" t="s">
        <v>8293</v>
      </c>
      <c r="AC1377" s="17" t="s">
        <v>9539</v>
      </c>
      <c r="AD1377" s="41">
        <v>51.81</v>
      </c>
      <c r="AE1377" s="41">
        <v>51.81</v>
      </c>
      <c r="AF1377" s="48"/>
      <c r="AG1377" s="44"/>
      <c r="AH1377" s="7">
        <f t="shared" si="21"/>
        <v>0</v>
      </c>
      <c r="AI1377" s="18"/>
      <c r="AJ1377" s="18"/>
    </row>
    <row r="1378" spans="1:38" ht="26.65" customHeight="1" x14ac:dyDescent="0.25">
      <c r="A1378" s="10" t="s">
        <v>8294</v>
      </c>
      <c r="B1378" s="9" t="s">
        <v>8146</v>
      </c>
      <c r="C1378" s="9" t="s">
        <v>34</v>
      </c>
      <c r="D1378" s="9" t="s">
        <v>8140</v>
      </c>
      <c r="E1378" s="9" t="s">
        <v>35</v>
      </c>
      <c r="F1378" s="9" t="s">
        <v>36</v>
      </c>
      <c r="G1378" s="9">
        <v>6</v>
      </c>
      <c r="H1378" s="9">
        <v>84212990</v>
      </c>
      <c r="I1378" s="11" t="s">
        <v>37</v>
      </c>
      <c r="J1378" s="12">
        <v>1.6500000000000001E-2</v>
      </c>
      <c r="K1378" s="12">
        <v>7.5999999999999998E-2</v>
      </c>
      <c r="L1378" s="12">
        <v>0</v>
      </c>
      <c r="M1378" s="13">
        <v>8003453160620</v>
      </c>
      <c r="N1378" s="14">
        <v>0.67</v>
      </c>
      <c r="O1378" s="14">
        <v>0.71799999999999997</v>
      </c>
      <c r="P1378" s="15">
        <v>45047</v>
      </c>
      <c r="Q1378" s="16" t="s">
        <v>8295</v>
      </c>
      <c r="R1378" s="17" t="s">
        <v>8296</v>
      </c>
      <c r="S1378" s="17" t="s">
        <v>8297</v>
      </c>
      <c r="T1378" s="17" t="s">
        <v>8298</v>
      </c>
      <c r="U1378" s="17" t="s">
        <v>8299</v>
      </c>
      <c r="V1378" s="17" t="s">
        <v>8300</v>
      </c>
      <c r="W1378" s="17" t="s">
        <v>8301</v>
      </c>
      <c r="X1378" s="17" t="s">
        <v>8302</v>
      </c>
      <c r="Y1378" s="17" t="s">
        <v>8303</v>
      </c>
      <c r="Z1378" s="17" t="s">
        <v>8304</v>
      </c>
      <c r="AA1378" s="17" t="s">
        <v>35</v>
      </c>
      <c r="AB1378" s="17" t="s">
        <v>8305</v>
      </c>
      <c r="AC1378" s="17" t="s">
        <v>9539</v>
      </c>
      <c r="AD1378" s="41">
        <v>38.46</v>
      </c>
      <c r="AE1378" s="41">
        <v>38.46</v>
      </c>
      <c r="AF1378" s="48"/>
      <c r="AG1378" s="44"/>
      <c r="AH1378" s="7">
        <f t="shared" si="21"/>
        <v>0</v>
      </c>
      <c r="AI1378" s="18"/>
      <c r="AJ1378" s="18"/>
      <c r="AL1378" s="18"/>
    </row>
    <row r="1379" spans="1:38" ht="26.65" customHeight="1" x14ac:dyDescent="0.25">
      <c r="A1379" s="10" t="s">
        <v>8306</v>
      </c>
      <c r="B1379" s="9" t="s">
        <v>8146</v>
      </c>
      <c r="C1379" s="9" t="s">
        <v>34</v>
      </c>
      <c r="D1379" s="9" t="s">
        <v>8140</v>
      </c>
      <c r="E1379" s="9" t="s">
        <v>35</v>
      </c>
      <c r="F1379" s="9" t="s">
        <v>36</v>
      </c>
      <c r="G1379" s="9">
        <v>6</v>
      </c>
      <c r="H1379" s="9">
        <v>84212990</v>
      </c>
      <c r="I1379" s="11" t="s">
        <v>37</v>
      </c>
      <c r="J1379" s="12">
        <v>1.6500000000000001E-2</v>
      </c>
      <c r="K1379" s="12">
        <v>7.5999999999999998E-2</v>
      </c>
      <c r="L1379" s="12">
        <v>0</v>
      </c>
      <c r="M1379" s="13">
        <v>8003453160644</v>
      </c>
      <c r="N1379" s="14">
        <v>0.17</v>
      </c>
      <c r="O1379" s="14">
        <v>2.0049999999999999</v>
      </c>
      <c r="P1379" s="15">
        <v>45078</v>
      </c>
      <c r="Q1379" s="16" t="s">
        <v>8307</v>
      </c>
      <c r="R1379" s="17" t="s">
        <v>8308</v>
      </c>
      <c r="S1379" s="17" t="s">
        <v>8309</v>
      </c>
      <c r="T1379" s="17" t="s">
        <v>35</v>
      </c>
      <c r="U1379" s="17" t="s">
        <v>35</v>
      </c>
      <c r="V1379" s="17" t="s">
        <v>35</v>
      </c>
      <c r="W1379" s="17" t="s">
        <v>35</v>
      </c>
      <c r="X1379" s="17" t="s">
        <v>35</v>
      </c>
      <c r="Y1379" s="17" t="s">
        <v>35</v>
      </c>
      <c r="Z1379" s="17" t="s">
        <v>8310</v>
      </c>
      <c r="AA1379" s="17" t="s">
        <v>35</v>
      </c>
      <c r="AB1379" s="17" t="s">
        <v>8311</v>
      </c>
      <c r="AC1379" s="17" t="s">
        <v>9539</v>
      </c>
      <c r="AD1379" s="41">
        <v>81.13</v>
      </c>
      <c r="AE1379" s="41">
        <v>81.13</v>
      </c>
      <c r="AF1379" s="48"/>
      <c r="AG1379" s="44"/>
      <c r="AH1379" s="7">
        <f t="shared" si="21"/>
        <v>0</v>
      </c>
      <c r="AI1379" s="18"/>
      <c r="AJ1379" s="18"/>
      <c r="AL1379" s="18"/>
    </row>
    <row r="1380" spans="1:38" ht="26.65" customHeight="1" x14ac:dyDescent="0.25">
      <c r="A1380" s="10" t="s">
        <v>8312</v>
      </c>
      <c r="B1380" s="9" t="s">
        <v>8190</v>
      </c>
      <c r="C1380" s="9" t="s">
        <v>34</v>
      </c>
      <c r="D1380" s="9" t="s">
        <v>8140</v>
      </c>
      <c r="E1380" s="9" t="s">
        <v>35</v>
      </c>
      <c r="F1380" s="9" t="s">
        <v>36</v>
      </c>
      <c r="G1380" s="9">
        <v>1</v>
      </c>
      <c r="H1380" s="9">
        <v>84212990</v>
      </c>
      <c r="I1380" s="11" t="s">
        <v>37</v>
      </c>
      <c r="J1380" s="12">
        <v>1.6500000000000001E-2</v>
      </c>
      <c r="K1380" s="12">
        <v>7.5999999999999998E-2</v>
      </c>
      <c r="L1380" s="12">
        <v>0</v>
      </c>
      <c r="M1380" s="13">
        <v>8003453160682</v>
      </c>
      <c r="N1380" s="14">
        <v>0.51900000000000002</v>
      </c>
      <c r="O1380" s="14">
        <v>0.55400000000000005</v>
      </c>
      <c r="P1380" s="15">
        <v>45200</v>
      </c>
      <c r="Q1380" s="16" t="s">
        <v>8313</v>
      </c>
      <c r="R1380" s="17" t="s">
        <v>8314</v>
      </c>
      <c r="S1380" s="17" t="s">
        <v>8315</v>
      </c>
      <c r="T1380" s="17" t="s">
        <v>8316</v>
      </c>
      <c r="U1380" s="17" t="s">
        <v>35</v>
      </c>
      <c r="V1380" s="17" t="s">
        <v>35</v>
      </c>
      <c r="W1380" s="17" t="s">
        <v>35</v>
      </c>
      <c r="X1380" s="17" t="s">
        <v>35</v>
      </c>
      <c r="Y1380" s="17" t="s">
        <v>35</v>
      </c>
      <c r="Z1380" s="17" t="s">
        <v>8317</v>
      </c>
      <c r="AA1380" s="17" t="s">
        <v>35</v>
      </c>
      <c r="AB1380" s="17" t="s">
        <v>8318</v>
      </c>
      <c r="AC1380" s="17" t="s">
        <v>9539</v>
      </c>
      <c r="AD1380" s="41">
        <v>28.18</v>
      </c>
      <c r="AE1380" s="41">
        <v>28.18</v>
      </c>
      <c r="AF1380" s="48"/>
      <c r="AG1380" s="44"/>
      <c r="AH1380" s="7">
        <f t="shared" si="21"/>
        <v>0</v>
      </c>
      <c r="AI1380" s="18"/>
      <c r="AJ1380" s="18"/>
    </row>
    <row r="1381" spans="1:38" ht="26.65" customHeight="1" x14ac:dyDescent="0.25">
      <c r="A1381" s="10" t="s">
        <v>8319</v>
      </c>
      <c r="B1381" s="9" t="s">
        <v>8190</v>
      </c>
      <c r="C1381" s="9" t="s">
        <v>34</v>
      </c>
      <c r="D1381" s="9" t="s">
        <v>8140</v>
      </c>
      <c r="E1381" s="9" t="s">
        <v>35</v>
      </c>
      <c r="F1381" s="9" t="s">
        <v>36</v>
      </c>
      <c r="G1381" s="9">
        <v>1</v>
      </c>
      <c r="H1381" s="9">
        <v>84212990</v>
      </c>
      <c r="I1381" s="11" t="s">
        <v>37</v>
      </c>
      <c r="J1381" s="12">
        <v>1.6500000000000001E-2</v>
      </c>
      <c r="K1381" s="12">
        <v>7.5999999999999998E-2</v>
      </c>
      <c r="L1381" s="12">
        <v>0</v>
      </c>
      <c r="M1381" s="13">
        <v>8003453160736</v>
      </c>
      <c r="N1381" s="14">
        <v>0</v>
      </c>
      <c r="O1381" s="14">
        <v>0</v>
      </c>
      <c r="P1381" s="15">
        <v>45200</v>
      </c>
      <c r="Q1381" s="16" t="s">
        <v>8320</v>
      </c>
      <c r="R1381" s="17" t="s">
        <v>8321</v>
      </c>
      <c r="S1381" s="17" t="s">
        <v>8322</v>
      </c>
      <c r="T1381" s="17" t="s">
        <v>35</v>
      </c>
      <c r="U1381" s="17" t="s">
        <v>35</v>
      </c>
      <c r="V1381" s="17" t="s">
        <v>35</v>
      </c>
      <c r="W1381" s="17" t="s">
        <v>35</v>
      </c>
      <c r="X1381" s="17" t="s">
        <v>35</v>
      </c>
      <c r="Y1381" s="17" t="s">
        <v>35</v>
      </c>
      <c r="Z1381" s="17" t="s">
        <v>8323</v>
      </c>
      <c r="AA1381" s="17" t="s">
        <v>35</v>
      </c>
      <c r="AB1381" s="17" t="s">
        <v>35</v>
      </c>
      <c r="AC1381" s="17" t="s">
        <v>9539</v>
      </c>
      <c r="AD1381" s="41">
        <v>114.54</v>
      </c>
      <c r="AE1381" s="41">
        <v>114.54</v>
      </c>
      <c r="AF1381" s="48"/>
      <c r="AG1381" s="44"/>
      <c r="AH1381" s="7">
        <f t="shared" si="21"/>
        <v>0</v>
      </c>
      <c r="AI1381" s="18"/>
      <c r="AJ1381" s="18"/>
    </row>
    <row r="1382" spans="1:38" ht="26.65" customHeight="1" x14ac:dyDescent="0.25">
      <c r="A1382" s="10" t="s">
        <v>8980</v>
      </c>
      <c r="B1382" s="9" t="s">
        <v>582</v>
      </c>
      <c r="C1382" s="9" t="s">
        <v>34</v>
      </c>
      <c r="D1382" s="9" t="s">
        <v>8140</v>
      </c>
      <c r="E1382" s="9" t="s">
        <v>35</v>
      </c>
      <c r="F1382" s="9" t="s">
        <v>36</v>
      </c>
      <c r="G1382" s="9">
        <v>1</v>
      </c>
      <c r="H1382" s="9">
        <v>84212990</v>
      </c>
      <c r="I1382" s="11" t="s">
        <v>37</v>
      </c>
      <c r="J1382" s="12">
        <v>1.6500000000000001E-2</v>
      </c>
      <c r="K1382" s="12">
        <v>7.5999999999999998E-2</v>
      </c>
      <c r="L1382" s="12">
        <v>0</v>
      </c>
      <c r="M1382" s="13">
        <v>8003453160743</v>
      </c>
      <c r="N1382" s="14">
        <v>0</v>
      </c>
      <c r="O1382" s="14">
        <v>0</v>
      </c>
      <c r="P1382" s="15">
        <v>45352</v>
      </c>
      <c r="Q1382" s="16" t="s">
        <v>8981</v>
      </c>
      <c r="R1382" s="17" t="s">
        <v>35</v>
      </c>
      <c r="S1382" s="17" t="s">
        <v>8982</v>
      </c>
      <c r="T1382" s="17" t="s">
        <v>8983</v>
      </c>
      <c r="U1382" s="17" t="s">
        <v>8984</v>
      </c>
      <c r="V1382" s="17" t="s">
        <v>35</v>
      </c>
      <c r="W1382" s="17" t="s">
        <v>35</v>
      </c>
      <c r="X1382" s="17" t="s">
        <v>8985</v>
      </c>
      <c r="Y1382" s="17" t="s">
        <v>8986</v>
      </c>
      <c r="Z1382" s="17" t="s">
        <v>8987</v>
      </c>
      <c r="AA1382" s="17" t="s">
        <v>35</v>
      </c>
      <c r="AB1382" s="17" t="s">
        <v>8988</v>
      </c>
      <c r="AC1382" s="17" t="s">
        <v>9539</v>
      </c>
      <c r="AD1382" s="41">
        <v>67.84</v>
      </c>
      <c r="AE1382" s="41">
        <v>67.84</v>
      </c>
      <c r="AF1382" s="48"/>
      <c r="AG1382" s="44"/>
      <c r="AH1382" s="7">
        <f t="shared" si="21"/>
        <v>0</v>
      </c>
      <c r="AI1382" s="18"/>
      <c r="AJ1382" s="18"/>
    </row>
    <row r="1383" spans="1:38" ht="26.65" customHeight="1" x14ac:dyDescent="0.25">
      <c r="A1383" s="10" t="s">
        <v>9477</v>
      </c>
      <c r="B1383" s="9" t="s">
        <v>9478</v>
      </c>
      <c r="C1383" s="9" t="s">
        <v>34</v>
      </c>
      <c r="D1383" s="9" t="s">
        <v>8140</v>
      </c>
      <c r="E1383" s="9" t="s">
        <v>35</v>
      </c>
      <c r="F1383" s="9" t="s">
        <v>36</v>
      </c>
      <c r="G1383" s="9">
        <v>1</v>
      </c>
      <c r="H1383" s="9">
        <v>84219999</v>
      </c>
      <c r="I1383" s="11" t="s">
        <v>37</v>
      </c>
      <c r="J1383" s="12">
        <v>1.6500000000000001E-2</v>
      </c>
      <c r="K1383" s="12">
        <v>7.5999999999999998E-2</v>
      </c>
      <c r="L1383" s="12">
        <v>5.1999999999999998E-2</v>
      </c>
      <c r="M1383" s="13">
        <v>8003453250178</v>
      </c>
      <c r="N1383" s="14" t="s">
        <v>35</v>
      </c>
      <c r="O1383" s="14" t="s">
        <v>35</v>
      </c>
      <c r="P1383" s="15">
        <v>45444</v>
      </c>
      <c r="Q1383" s="16" t="s">
        <v>9479</v>
      </c>
      <c r="R1383" s="17" t="s">
        <v>35</v>
      </c>
      <c r="S1383" s="17" t="s">
        <v>9480</v>
      </c>
      <c r="T1383" s="17" t="s">
        <v>9481</v>
      </c>
      <c r="U1383" s="17" t="s">
        <v>35</v>
      </c>
      <c r="V1383" s="17" t="s">
        <v>35</v>
      </c>
      <c r="W1383" s="17" t="s">
        <v>35</v>
      </c>
      <c r="X1383" s="17" t="s">
        <v>9482</v>
      </c>
      <c r="Y1383" s="17" t="s">
        <v>35</v>
      </c>
      <c r="Z1383" s="17" t="s">
        <v>9483</v>
      </c>
      <c r="AA1383" s="17" t="s">
        <v>35</v>
      </c>
      <c r="AB1383" s="17" t="s">
        <v>9484</v>
      </c>
      <c r="AC1383" s="17" t="s">
        <v>9539</v>
      </c>
      <c r="AD1383" s="41">
        <v>228.18</v>
      </c>
      <c r="AE1383" s="41">
        <v>240.05</v>
      </c>
      <c r="AF1383" s="48"/>
      <c r="AG1383" s="44"/>
      <c r="AH1383" s="7">
        <f t="shared" si="21"/>
        <v>0</v>
      </c>
      <c r="AI1383" s="18"/>
      <c r="AJ1383" s="18"/>
    </row>
    <row r="1384" spans="1:38" ht="26.65" customHeight="1" x14ac:dyDescent="0.25">
      <c r="A1384" s="10" t="s">
        <v>10529</v>
      </c>
      <c r="B1384" s="9" t="s">
        <v>8190</v>
      </c>
      <c r="C1384" s="9" t="s">
        <v>34</v>
      </c>
      <c r="D1384" s="9" t="s">
        <v>8140</v>
      </c>
      <c r="E1384" s="9" t="s">
        <v>35</v>
      </c>
      <c r="F1384" s="9" t="s">
        <v>36</v>
      </c>
      <c r="G1384" s="9">
        <v>1</v>
      </c>
      <c r="H1384" s="9">
        <v>84219999</v>
      </c>
      <c r="I1384" s="11" t="s">
        <v>37</v>
      </c>
      <c r="J1384" s="12">
        <v>1.6500000000000001E-2</v>
      </c>
      <c r="K1384" s="12">
        <v>7.5999999999999998E-2</v>
      </c>
      <c r="L1384" s="12">
        <v>5.1999999999999998E-2</v>
      </c>
      <c r="M1384" s="13">
        <v>8003453810150</v>
      </c>
      <c r="N1384" s="14">
        <v>0</v>
      </c>
      <c r="O1384" s="14">
        <v>0</v>
      </c>
      <c r="P1384" s="15">
        <v>45566</v>
      </c>
      <c r="Q1384" s="16" t="s">
        <v>10530</v>
      </c>
      <c r="R1384" s="17" t="s">
        <v>10531</v>
      </c>
      <c r="S1384" s="17" t="s">
        <v>35</v>
      </c>
      <c r="T1384" s="17" t="s">
        <v>35</v>
      </c>
      <c r="U1384" s="17" t="s">
        <v>35</v>
      </c>
      <c r="V1384" s="17" t="s">
        <v>35</v>
      </c>
      <c r="W1384" s="17" t="s">
        <v>35</v>
      </c>
      <c r="X1384" s="17" t="s">
        <v>35</v>
      </c>
      <c r="Y1384" s="17" t="s">
        <v>10532</v>
      </c>
      <c r="Z1384" s="17" t="s">
        <v>10533</v>
      </c>
      <c r="AA1384" s="17" t="s">
        <v>35</v>
      </c>
      <c r="AB1384" s="17" t="s">
        <v>10534</v>
      </c>
      <c r="AC1384" s="17" t="s">
        <v>9539</v>
      </c>
      <c r="AD1384" s="41">
        <v>119.83</v>
      </c>
      <c r="AE1384" s="41">
        <v>126.06</v>
      </c>
      <c r="AF1384" s="48"/>
      <c r="AG1384" s="44"/>
      <c r="AH1384" s="7">
        <f t="shared" si="21"/>
        <v>0</v>
      </c>
      <c r="AI1384" s="18"/>
      <c r="AJ1384" s="18"/>
    </row>
    <row r="1385" spans="1:38" ht="26.65" customHeight="1" x14ac:dyDescent="0.25">
      <c r="A1385" s="10" t="s">
        <v>10535</v>
      </c>
      <c r="B1385" s="9" t="s">
        <v>8190</v>
      </c>
      <c r="C1385" s="9" t="s">
        <v>34</v>
      </c>
      <c r="D1385" s="9" t="s">
        <v>8140</v>
      </c>
      <c r="E1385" s="9" t="s">
        <v>35</v>
      </c>
      <c r="F1385" s="9" t="s">
        <v>36</v>
      </c>
      <c r="G1385" s="9">
        <v>1</v>
      </c>
      <c r="H1385" s="9">
        <v>84219999</v>
      </c>
      <c r="I1385" s="11" t="s">
        <v>37</v>
      </c>
      <c r="J1385" s="12">
        <v>1.6500000000000001E-2</v>
      </c>
      <c r="K1385" s="12">
        <v>7.5999999999999998E-2</v>
      </c>
      <c r="L1385" s="12">
        <v>5.1999999999999998E-2</v>
      </c>
      <c r="M1385" s="13">
        <v>8003453810167</v>
      </c>
      <c r="N1385" s="14">
        <v>0</v>
      </c>
      <c r="O1385" s="14">
        <v>0</v>
      </c>
      <c r="P1385" s="15">
        <v>45566</v>
      </c>
      <c r="Q1385" s="16" t="s">
        <v>10536</v>
      </c>
      <c r="R1385" s="17">
        <v>4630525</v>
      </c>
      <c r="S1385" s="17" t="s">
        <v>35</v>
      </c>
      <c r="T1385" s="17" t="s">
        <v>35</v>
      </c>
      <c r="U1385" s="17" t="s">
        <v>35</v>
      </c>
      <c r="V1385" s="17" t="s">
        <v>35</v>
      </c>
      <c r="W1385" s="17" t="s">
        <v>35</v>
      </c>
      <c r="X1385" s="17" t="s">
        <v>35</v>
      </c>
      <c r="Y1385" s="17" t="s">
        <v>10537</v>
      </c>
      <c r="Z1385" s="17" t="s">
        <v>35</v>
      </c>
      <c r="AA1385" s="17" t="s">
        <v>35</v>
      </c>
      <c r="AB1385" s="17" t="s">
        <v>35</v>
      </c>
      <c r="AC1385" s="17" t="s">
        <v>9539</v>
      </c>
      <c r="AD1385" s="41">
        <v>91.12</v>
      </c>
      <c r="AE1385" s="41">
        <v>95.86</v>
      </c>
      <c r="AF1385" s="48"/>
      <c r="AG1385" s="44"/>
      <c r="AH1385" s="7">
        <f t="shared" si="21"/>
        <v>0</v>
      </c>
      <c r="AI1385" s="18"/>
      <c r="AJ1385" s="18"/>
    </row>
    <row r="1386" spans="1:38" ht="26.65" customHeight="1" x14ac:dyDescent="0.25">
      <c r="A1386" s="10" t="s">
        <v>8989</v>
      </c>
      <c r="B1386" s="9" t="s">
        <v>8190</v>
      </c>
      <c r="C1386" s="9" t="s">
        <v>34</v>
      </c>
      <c r="D1386" s="9" t="s">
        <v>8140</v>
      </c>
      <c r="E1386" s="9" t="s">
        <v>35</v>
      </c>
      <c r="F1386" s="9" t="s">
        <v>36</v>
      </c>
      <c r="G1386" s="9">
        <v>1</v>
      </c>
      <c r="H1386" s="9">
        <v>84219999</v>
      </c>
      <c r="I1386" s="11" t="s">
        <v>37</v>
      </c>
      <c r="J1386" s="12">
        <v>1.6500000000000001E-2</v>
      </c>
      <c r="K1386" s="12">
        <v>7.5999999999999998E-2</v>
      </c>
      <c r="L1386" s="12">
        <v>5.1999999999999998E-2</v>
      </c>
      <c r="M1386" s="13" t="s">
        <v>35</v>
      </c>
      <c r="N1386" s="14">
        <v>0</v>
      </c>
      <c r="O1386" s="14">
        <v>0</v>
      </c>
      <c r="P1386" s="15">
        <v>45323</v>
      </c>
      <c r="Q1386" s="16" t="s">
        <v>35</v>
      </c>
      <c r="R1386" s="17" t="s">
        <v>35</v>
      </c>
      <c r="S1386" s="17" t="s">
        <v>35</v>
      </c>
      <c r="T1386" s="17" t="s">
        <v>35</v>
      </c>
      <c r="U1386" s="17" t="s">
        <v>35</v>
      </c>
      <c r="V1386" s="17" t="s">
        <v>35</v>
      </c>
      <c r="W1386" s="17" t="s">
        <v>35</v>
      </c>
      <c r="X1386" s="17" t="s">
        <v>35</v>
      </c>
      <c r="Y1386" s="17" t="s">
        <v>35</v>
      </c>
      <c r="Z1386" s="17" t="s">
        <v>35</v>
      </c>
      <c r="AA1386" s="17" t="s">
        <v>35</v>
      </c>
      <c r="AB1386" s="17" t="s">
        <v>35</v>
      </c>
      <c r="AC1386" s="17" t="s">
        <v>9539</v>
      </c>
      <c r="AD1386" s="41">
        <v>246.8</v>
      </c>
      <c r="AE1386" s="41">
        <v>259.63</v>
      </c>
      <c r="AF1386" s="48"/>
      <c r="AG1386" s="44"/>
      <c r="AH1386" s="7">
        <f t="shared" si="21"/>
        <v>0</v>
      </c>
      <c r="AI1386" s="18"/>
      <c r="AJ1386" s="18"/>
    </row>
    <row r="1387" spans="1:38" ht="26.65" customHeight="1" x14ac:dyDescent="0.25">
      <c r="A1387" s="10" t="s">
        <v>8719</v>
      </c>
      <c r="B1387" s="9" t="s">
        <v>8139</v>
      </c>
      <c r="C1387" s="9" t="s">
        <v>34</v>
      </c>
      <c r="D1387" s="9" t="s">
        <v>8140</v>
      </c>
      <c r="E1387" s="9" t="s">
        <v>35</v>
      </c>
      <c r="F1387" s="9" t="s">
        <v>36</v>
      </c>
      <c r="G1387" s="9">
        <v>1</v>
      </c>
      <c r="H1387" s="9">
        <v>84219999</v>
      </c>
      <c r="I1387" s="11" t="s">
        <v>37</v>
      </c>
      <c r="J1387" s="12">
        <v>1.6500000000000001E-2</v>
      </c>
      <c r="K1387" s="12">
        <v>7.5999999999999998E-2</v>
      </c>
      <c r="L1387" s="12">
        <v>5.1999999999999998E-2</v>
      </c>
      <c r="M1387" s="13" t="s">
        <v>8579</v>
      </c>
      <c r="N1387" s="14" t="s">
        <v>35</v>
      </c>
      <c r="O1387" s="14" t="s">
        <v>35</v>
      </c>
      <c r="P1387" s="15">
        <v>45292</v>
      </c>
      <c r="Q1387" s="16" t="s">
        <v>8720</v>
      </c>
      <c r="R1387" s="17" t="s">
        <v>35</v>
      </c>
      <c r="S1387" s="17" t="s">
        <v>35</v>
      </c>
      <c r="T1387" s="17" t="s">
        <v>35</v>
      </c>
      <c r="U1387" s="17" t="s">
        <v>35</v>
      </c>
      <c r="V1387" s="17" t="s">
        <v>35</v>
      </c>
      <c r="W1387" s="17" t="s">
        <v>35</v>
      </c>
      <c r="X1387" s="17" t="s">
        <v>35</v>
      </c>
      <c r="Y1387" s="17" t="s">
        <v>35</v>
      </c>
      <c r="Z1387" s="17" t="s">
        <v>8721</v>
      </c>
      <c r="AA1387" s="17" t="s">
        <v>35</v>
      </c>
      <c r="AB1387" s="17" t="s">
        <v>8722</v>
      </c>
      <c r="AC1387" s="17" t="s">
        <v>9539</v>
      </c>
      <c r="AD1387" s="41">
        <v>239.67</v>
      </c>
      <c r="AE1387" s="41">
        <v>252.13</v>
      </c>
      <c r="AF1387" s="48"/>
      <c r="AG1387" s="44"/>
      <c r="AH1387" s="7">
        <f t="shared" si="21"/>
        <v>0</v>
      </c>
      <c r="AI1387" s="18"/>
      <c r="AJ1387" s="18"/>
    </row>
    <row r="1388" spans="1:38" ht="26.65" customHeight="1" x14ac:dyDescent="0.25">
      <c r="A1388" s="10" t="s">
        <v>8324</v>
      </c>
      <c r="B1388" s="9" t="s">
        <v>8325</v>
      </c>
      <c r="C1388" s="9" t="s">
        <v>34</v>
      </c>
      <c r="D1388" s="9" t="s">
        <v>8140</v>
      </c>
      <c r="E1388" s="9" t="s">
        <v>35</v>
      </c>
      <c r="F1388" s="9" t="s">
        <v>36</v>
      </c>
      <c r="G1388" s="9">
        <v>1</v>
      </c>
      <c r="H1388" s="9">
        <v>84219999</v>
      </c>
      <c r="I1388" s="11" t="s">
        <v>37</v>
      </c>
      <c r="J1388" s="12">
        <v>1.6500000000000001E-2</v>
      </c>
      <c r="K1388" s="12">
        <v>7.5999999999999998E-2</v>
      </c>
      <c r="L1388" s="12">
        <v>5.1999999999999998E-2</v>
      </c>
      <c r="M1388" s="13" t="s">
        <v>8579</v>
      </c>
      <c r="N1388" s="14">
        <v>0</v>
      </c>
      <c r="O1388" s="14">
        <v>0</v>
      </c>
      <c r="P1388" s="15">
        <v>44958</v>
      </c>
      <c r="Q1388" s="16" t="s">
        <v>35</v>
      </c>
      <c r="R1388" s="17" t="s">
        <v>35</v>
      </c>
      <c r="S1388" s="17" t="s">
        <v>35</v>
      </c>
      <c r="T1388" s="17" t="s">
        <v>35</v>
      </c>
      <c r="U1388" s="17" t="s">
        <v>35</v>
      </c>
      <c r="V1388" s="17" t="s">
        <v>35</v>
      </c>
      <c r="W1388" s="17" t="s">
        <v>35</v>
      </c>
      <c r="X1388" s="17" t="s">
        <v>35</v>
      </c>
      <c r="Y1388" s="17" t="s">
        <v>35</v>
      </c>
      <c r="Z1388" s="17" t="s">
        <v>8326</v>
      </c>
      <c r="AA1388" s="17" t="s">
        <v>8327</v>
      </c>
      <c r="AB1388" s="17" t="s">
        <v>8328</v>
      </c>
      <c r="AC1388" s="17" t="s">
        <v>9539</v>
      </c>
      <c r="AD1388" s="41">
        <v>243.2</v>
      </c>
      <c r="AE1388" s="41">
        <v>255.85</v>
      </c>
      <c r="AF1388" s="48"/>
      <c r="AG1388" s="44"/>
      <c r="AH1388" s="7">
        <f t="shared" si="21"/>
        <v>0</v>
      </c>
      <c r="AI1388" s="18"/>
      <c r="AJ1388" s="18"/>
    </row>
    <row r="1389" spans="1:38" ht="26.65" customHeight="1" x14ac:dyDescent="0.25">
      <c r="A1389" s="10" t="s">
        <v>8990</v>
      </c>
      <c r="B1389" s="9" t="s">
        <v>8190</v>
      </c>
      <c r="C1389" s="9" t="s">
        <v>34</v>
      </c>
      <c r="D1389" s="9" t="s">
        <v>8140</v>
      </c>
      <c r="E1389" s="9" t="s">
        <v>35</v>
      </c>
      <c r="F1389" s="9" t="s">
        <v>36</v>
      </c>
      <c r="G1389" s="9">
        <v>1</v>
      </c>
      <c r="H1389" s="9">
        <v>84219999</v>
      </c>
      <c r="I1389" s="11" t="s">
        <v>37</v>
      </c>
      <c r="J1389" s="12">
        <v>1.6500000000000001E-2</v>
      </c>
      <c r="K1389" s="12">
        <v>7.5999999999999998E-2</v>
      </c>
      <c r="L1389" s="12">
        <v>5.1999999999999998E-2</v>
      </c>
      <c r="M1389" s="13" t="s">
        <v>35</v>
      </c>
      <c r="N1389" s="14">
        <v>0</v>
      </c>
      <c r="O1389" s="14">
        <v>0</v>
      </c>
      <c r="P1389" s="15">
        <v>45323</v>
      </c>
      <c r="Q1389" s="16" t="s">
        <v>35</v>
      </c>
      <c r="R1389" s="17" t="s">
        <v>35</v>
      </c>
      <c r="S1389" s="17" t="s">
        <v>35</v>
      </c>
      <c r="T1389" s="17" t="s">
        <v>35</v>
      </c>
      <c r="U1389" s="17" t="s">
        <v>8991</v>
      </c>
      <c r="V1389" s="17" t="s">
        <v>35</v>
      </c>
      <c r="W1389" s="17" t="s">
        <v>35</v>
      </c>
      <c r="X1389" s="17" t="s">
        <v>35</v>
      </c>
      <c r="Y1389" s="17" t="s">
        <v>35</v>
      </c>
      <c r="Z1389" s="17" t="s">
        <v>35</v>
      </c>
      <c r="AA1389" s="17" t="s">
        <v>8992</v>
      </c>
      <c r="AB1389" s="17" t="s">
        <v>35</v>
      </c>
      <c r="AC1389" s="17" t="s">
        <v>9539</v>
      </c>
      <c r="AD1389" s="41">
        <v>288.81</v>
      </c>
      <c r="AE1389" s="41">
        <v>303.83</v>
      </c>
      <c r="AF1389" s="48"/>
      <c r="AG1389" s="44"/>
      <c r="AH1389" s="7">
        <f t="shared" si="21"/>
        <v>0</v>
      </c>
      <c r="AI1389" s="18"/>
      <c r="AJ1389" s="18"/>
    </row>
    <row r="1390" spans="1:38" ht="26.65" customHeight="1" x14ac:dyDescent="0.25">
      <c r="A1390" s="10" t="s">
        <v>10652</v>
      </c>
      <c r="B1390" s="9" t="s">
        <v>8139</v>
      </c>
      <c r="C1390" s="9" t="s">
        <v>34</v>
      </c>
      <c r="D1390" s="9" t="s">
        <v>8140</v>
      </c>
      <c r="E1390" s="9" t="s">
        <v>35</v>
      </c>
      <c r="F1390" s="9" t="s">
        <v>36</v>
      </c>
      <c r="G1390" s="9">
        <v>1</v>
      </c>
      <c r="H1390" s="9">
        <v>84219999</v>
      </c>
      <c r="I1390" s="11" t="s">
        <v>37</v>
      </c>
      <c r="J1390" s="12">
        <v>1.6500000000000001E-2</v>
      </c>
      <c r="K1390" s="12">
        <v>7.5999999999999998E-2</v>
      </c>
      <c r="L1390" s="12">
        <v>5.1999999999999998E-2</v>
      </c>
      <c r="M1390" s="13" t="s">
        <v>35</v>
      </c>
      <c r="N1390" s="14" t="s">
        <v>35</v>
      </c>
      <c r="O1390" s="14" t="s">
        <v>35</v>
      </c>
      <c r="P1390" s="15">
        <v>45597</v>
      </c>
      <c r="Q1390" s="16" t="s">
        <v>10653</v>
      </c>
      <c r="R1390" s="17" t="s">
        <v>10654</v>
      </c>
      <c r="S1390" s="17" t="s">
        <v>35</v>
      </c>
      <c r="T1390" s="17" t="s">
        <v>35</v>
      </c>
      <c r="U1390" s="17" t="s">
        <v>35</v>
      </c>
      <c r="V1390" s="17" t="s">
        <v>35</v>
      </c>
      <c r="W1390" s="17" t="s">
        <v>35</v>
      </c>
      <c r="X1390" s="17" t="s">
        <v>35</v>
      </c>
      <c r="Y1390" s="17" t="s">
        <v>35</v>
      </c>
      <c r="Z1390" s="17" t="s">
        <v>10655</v>
      </c>
      <c r="AA1390" s="17" t="s">
        <v>35</v>
      </c>
      <c r="AB1390" s="17" t="s">
        <v>10656</v>
      </c>
      <c r="AC1390" s="17" t="s">
        <v>9539</v>
      </c>
      <c r="AD1390" s="41">
        <v>228.36</v>
      </c>
      <c r="AE1390" s="41">
        <v>240.23</v>
      </c>
      <c r="AF1390" s="48"/>
      <c r="AG1390" s="44"/>
      <c r="AH1390" s="7">
        <f t="shared" si="21"/>
        <v>0</v>
      </c>
      <c r="AI1390" s="18"/>
      <c r="AJ1390" s="18"/>
    </row>
    <row r="1391" spans="1:38" ht="26.65" customHeight="1" x14ac:dyDescent="0.25">
      <c r="A1391" s="10" t="s">
        <v>8723</v>
      </c>
      <c r="B1391" s="9" t="s">
        <v>8139</v>
      </c>
      <c r="C1391" s="9" t="s">
        <v>34</v>
      </c>
      <c r="D1391" s="9" t="s">
        <v>8140</v>
      </c>
      <c r="E1391" s="9" t="s">
        <v>35</v>
      </c>
      <c r="F1391" s="9" t="s">
        <v>36</v>
      </c>
      <c r="G1391" s="9">
        <v>1</v>
      </c>
      <c r="H1391" s="9">
        <v>84219999</v>
      </c>
      <c r="I1391" s="11" t="s">
        <v>37</v>
      </c>
      <c r="J1391" s="12">
        <v>1.6500000000000001E-2</v>
      </c>
      <c r="K1391" s="12">
        <v>7.5999999999999998E-2</v>
      </c>
      <c r="L1391" s="12">
        <v>5.1999999999999998E-2</v>
      </c>
      <c r="M1391" s="13" t="s">
        <v>8579</v>
      </c>
      <c r="N1391" s="14" t="s">
        <v>35</v>
      </c>
      <c r="O1391" s="14" t="s">
        <v>35</v>
      </c>
      <c r="P1391" s="15">
        <v>45292</v>
      </c>
      <c r="Q1391" s="16" t="s">
        <v>35</v>
      </c>
      <c r="R1391" s="17" t="s">
        <v>35</v>
      </c>
      <c r="S1391" s="17" t="s">
        <v>35</v>
      </c>
      <c r="T1391" s="17" t="s">
        <v>35</v>
      </c>
      <c r="U1391" s="17" t="s">
        <v>8724</v>
      </c>
      <c r="V1391" s="17" t="s">
        <v>35</v>
      </c>
      <c r="W1391" s="17" t="s">
        <v>35</v>
      </c>
      <c r="X1391" s="17" t="s">
        <v>35</v>
      </c>
      <c r="Y1391" s="17" t="s">
        <v>35</v>
      </c>
      <c r="Z1391" s="17" t="s">
        <v>35</v>
      </c>
      <c r="AA1391" s="17" t="s">
        <v>35</v>
      </c>
      <c r="AB1391" s="17" t="s">
        <v>35</v>
      </c>
      <c r="AC1391" s="17" t="s">
        <v>9539</v>
      </c>
      <c r="AD1391" s="41">
        <v>86.48</v>
      </c>
      <c r="AE1391" s="41">
        <v>90.98</v>
      </c>
      <c r="AF1391" s="48"/>
      <c r="AG1391" s="44"/>
      <c r="AH1391" s="7">
        <f t="shared" si="21"/>
        <v>0</v>
      </c>
      <c r="AI1391" s="18"/>
      <c r="AJ1391" s="18"/>
    </row>
    <row r="1392" spans="1:38" ht="26.65" customHeight="1" x14ac:dyDescent="0.25">
      <c r="A1392" s="10" t="s">
        <v>8993</v>
      </c>
      <c r="B1392" s="9" t="s">
        <v>8139</v>
      </c>
      <c r="C1392" s="9" t="s">
        <v>34</v>
      </c>
      <c r="D1392" s="9" t="s">
        <v>8140</v>
      </c>
      <c r="E1392" s="9" t="s">
        <v>35</v>
      </c>
      <c r="F1392" s="9" t="s">
        <v>36</v>
      </c>
      <c r="G1392" s="9">
        <v>1</v>
      </c>
      <c r="H1392" s="9">
        <v>84219999</v>
      </c>
      <c r="I1392" s="11" t="s">
        <v>37</v>
      </c>
      <c r="J1392" s="12">
        <v>1.6500000000000001E-2</v>
      </c>
      <c r="K1392" s="12">
        <v>7.5999999999999998E-2</v>
      </c>
      <c r="L1392" s="12">
        <v>5.1999999999999998E-2</v>
      </c>
      <c r="M1392" s="13" t="s">
        <v>35</v>
      </c>
      <c r="N1392" s="14" t="s">
        <v>35</v>
      </c>
      <c r="O1392" s="14" t="s">
        <v>35</v>
      </c>
      <c r="P1392" s="15">
        <v>45352</v>
      </c>
      <c r="Q1392" s="16" t="s">
        <v>35</v>
      </c>
      <c r="R1392" s="17" t="s">
        <v>35</v>
      </c>
      <c r="S1392" s="17" t="s">
        <v>35</v>
      </c>
      <c r="T1392" s="17" t="s">
        <v>35</v>
      </c>
      <c r="U1392" s="17" t="s">
        <v>35</v>
      </c>
      <c r="V1392" s="17" t="s">
        <v>35</v>
      </c>
      <c r="W1392" s="17" t="s">
        <v>35</v>
      </c>
      <c r="X1392" s="17" t="s">
        <v>35</v>
      </c>
      <c r="Y1392" s="17" t="s">
        <v>35</v>
      </c>
      <c r="Z1392" s="17" t="s">
        <v>35</v>
      </c>
      <c r="AA1392" s="17" t="s">
        <v>35</v>
      </c>
      <c r="AB1392" s="17" t="s">
        <v>35</v>
      </c>
      <c r="AC1392" s="17" t="s">
        <v>9539</v>
      </c>
      <c r="AD1392" s="41">
        <v>363.38</v>
      </c>
      <c r="AE1392" s="41">
        <v>382.28</v>
      </c>
      <c r="AF1392" s="48"/>
      <c r="AG1392" s="44"/>
      <c r="AH1392" s="7">
        <f t="shared" si="21"/>
        <v>0</v>
      </c>
      <c r="AI1392" s="18"/>
      <c r="AJ1392" s="18"/>
    </row>
    <row r="1393" spans="1:38" ht="26.65" customHeight="1" x14ac:dyDescent="0.25">
      <c r="A1393" s="10" t="s">
        <v>8994</v>
      </c>
      <c r="B1393" s="9" t="s">
        <v>3030</v>
      </c>
      <c r="C1393" s="9" t="s">
        <v>34</v>
      </c>
      <c r="D1393" s="9" t="s">
        <v>3306</v>
      </c>
      <c r="E1393" s="9" t="s">
        <v>35</v>
      </c>
      <c r="F1393" s="9" t="s">
        <v>36</v>
      </c>
      <c r="G1393" s="9">
        <v>1</v>
      </c>
      <c r="H1393" s="9">
        <v>84219999</v>
      </c>
      <c r="I1393" s="11" t="s">
        <v>37</v>
      </c>
      <c r="J1393" s="12">
        <v>1.6500000000000001E-2</v>
      </c>
      <c r="K1393" s="12">
        <v>7.5999999999999998E-2</v>
      </c>
      <c r="L1393" s="12">
        <v>5.1999999999999998E-2</v>
      </c>
      <c r="M1393" s="13">
        <v>8003453108660</v>
      </c>
      <c r="N1393" s="14">
        <v>0</v>
      </c>
      <c r="O1393" s="14">
        <v>0</v>
      </c>
      <c r="P1393" s="15">
        <v>45323</v>
      </c>
      <c r="Q1393" s="16" t="s">
        <v>8995</v>
      </c>
      <c r="R1393" s="17" t="s">
        <v>35</v>
      </c>
      <c r="S1393" s="17" t="s">
        <v>35</v>
      </c>
      <c r="T1393" s="17" t="s">
        <v>35</v>
      </c>
      <c r="U1393" s="17" t="s">
        <v>35</v>
      </c>
      <c r="V1393" s="17" t="s">
        <v>35</v>
      </c>
      <c r="W1393" s="17" t="s">
        <v>35</v>
      </c>
      <c r="X1393" s="17" t="s">
        <v>35</v>
      </c>
      <c r="Y1393" s="17" t="s">
        <v>35</v>
      </c>
      <c r="Z1393" s="17" t="s">
        <v>35</v>
      </c>
      <c r="AA1393" s="17" t="s">
        <v>35</v>
      </c>
      <c r="AB1393" s="17" t="s">
        <v>35</v>
      </c>
      <c r="AC1393" s="17" t="s">
        <v>9539</v>
      </c>
      <c r="AD1393" s="41">
        <v>19.420000000000002</v>
      </c>
      <c r="AE1393" s="41">
        <v>20.43</v>
      </c>
      <c r="AF1393" s="48"/>
      <c r="AG1393" s="44"/>
      <c r="AH1393" s="7">
        <f t="shared" si="21"/>
        <v>0</v>
      </c>
      <c r="AI1393" s="18"/>
      <c r="AJ1393" s="18"/>
    </row>
    <row r="1394" spans="1:38" ht="26.65" customHeight="1" x14ac:dyDescent="0.25">
      <c r="A1394" s="10" t="s">
        <v>8329</v>
      </c>
      <c r="B1394" s="9" t="s">
        <v>8139</v>
      </c>
      <c r="C1394" s="9" t="s">
        <v>34</v>
      </c>
      <c r="D1394" s="9" t="s">
        <v>8140</v>
      </c>
      <c r="E1394" s="9" t="s">
        <v>122</v>
      </c>
      <c r="F1394" s="9" t="s">
        <v>36</v>
      </c>
      <c r="G1394" s="9">
        <v>1</v>
      </c>
      <c r="H1394" s="9">
        <v>84219999</v>
      </c>
      <c r="I1394" s="11" t="s">
        <v>37</v>
      </c>
      <c r="J1394" s="12">
        <v>1.6500000000000001E-2</v>
      </c>
      <c r="K1394" s="12">
        <v>7.5999999999999998E-2</v>
      </c>
      <c r="L1394" s="12">
        <v>5.1999999999999998E-2</v>
      </c>
      <c r="M1394" s="13" t="s">
        <v>35</v>
      </c>
      <c r="N1394" s="14">
        <v>0</v>
      </c>
      <c r="O1394" s="14">
        <v>0</v>
      </c>
      <c r="P1394" s="15">
        <v>45231</v>
      </c>
      <c r="Q1394" s="16" t="s">
        <v>8330</v>
      </c>
      <c r="R1394" s="17" t="s">
        <v>8331</v>
      </c>
      <c r="S1394" s="17" t="s">
        <v>8332</v>
      </c>
      <c r="T1394" s="17" t="s">
        <v>2642</v>
      </c>
      <c r="U1394" s="17" t="s">
        <v>35</v>
      </c>
      <c r="V1394" s="17" t="s">
        <v>35</v>
      </c>
      <c r="W1394" s="17" t="s">
        <v>35</v>
      </c>
      <c r="X1394" s="17" t="s">
        <v>35</v>
      </c>
      <c r="Y1394" s="17" t="s">
        <v>8333</v>
      </c>
      <c r="Z1394" s="17" t="s">
        <v>2643</v>
      </c>
      <c r="AA1394" s="17" t="s">
        <v>35</v>
      </c>
      <c r="AB1394" s="17" t="s">
        <v>8334</v>
      </c>
      <c r="AC1394" s="17" t="s">
        <v>9539</v>
      </c>
      <c r="AD1394" s="41">
        <v>46.5</v>
      </c>
      <c r="AE1394" s="41">
        <v>48.92</v>
      </c>
      <c r="AF1394" s="48"/>
      <c r="AG1394" s="44"/>
      <c r="AH1394" s="7">
        <f t="shared" si="21"/>
        <v>0</v>
      </c>
      <c r="AI1394" s="18"/>
      <c r="AJ1394" s="18"/>
    </row>
    <row r="1395" spans="1:38" ht="26.65" customHeight="1" x14ac:dyDescent="0.25">
      <c r="A1395" s="10" t="s">
        <v>8335</v>
      </c>
      <c r="B1395" s="9" t="s">
        <v>8336</v>
      </c>
      <c r="C1395" s="9" t="s">
        <v>34</v>
      </c>
      <c r="D1395" s="9" t="s">
        <v>8140</v>
      </c>
      <c r="E1395" s="9" t="s">
        <v>35</v>
      </c>
      <c r="F1395" s="9" t="s">
        <v>36</v>
      </c>
      <c r="G1395" s="9">
        <v>1</v>
      </c>
      <c r="H1395" s="9">
        <v>84219999</v>
      </c>
      <c r="I1395" s="11" t="s">
        <v>37</v>
      </c>
      <c r="J1395" s="12">
        <v>1.6500000000000001E-2</v>
      </c>
      <c r="K1395" s="12">
        <v>7.5999999999999998E-2</v>
      </c>
      <c r="L1395" s="12">
        <v>5.1999999999999998E-2</v>
      </c>
      <c r="M1395" s="13">
        <v>0</v>
      </c>
      <c r="N1395" s="14">
        <v>7.2999999999999995E-2</v>
      </c>
      <c r="O1395" s="14">
        <v>9.0999999999999998E-2</v>
      </c>
      <c r="P1395" s="15">
        <v>44958</v>
      </c>
      <c r="Q1395" s="16" t="s">
        <v>8337</v>
      </c>
      <c r="R1395" s="17" t="s">
        <v>8338</v>
      </c>
      <c r="S1395" s="17" t="s">
        <v>8332</v>
      </c>
      <c r="T1395" s="17" t="s">
        <v>2642</v>
      </c>
      <c r="U1395" s="17" t="s">
        <v>35</v>
      </c>
      <c r="V1395" s="17" t="s">
        <v>8339</v>
      </c>
      <c r="W1395" s="17" t="s">
        <v>35</v>
      </c>
      <c r="X1395" s="17" t="s">
        <v>35</v>
      </c>
      <c r="Y1395" s="17" t="s">
        <v>8333</v>
      </c>
      <c r="Z1395" s="17" t="s">
        <v>2643</v>
      </c>
      <c r="AA1395" s="17" t="s">
        <v>35</v>
      </c>
      <c r="AB1395" s="17" t="s">
        <v>2644</v>
      </c>
      <c r="AC1395" s="17" t="s">
        <v>9539</v>
      </c>
      <c r="AD1395" s="41">
        <v>47.77</v>
      </c>
      <c r="AE1395" s="41">
        <v>50.25</v>
      </c>
      <c r="AF1395" s="48"/>
      <c r="AG1395" s="44"/>
      <c r="AH1395" s="7">
        <f t="shared" si="21"/>
        <v>0</v>
      </c>
      <c r="AI1395" s="18"/>
      <c r="AJ1395" s="18"/>
    </row>
    <row r="1396" spans="1:38" ht="26.65" customHeight="1" x14ac:dyDescent="0.25">
      <c r="A1396" s="10" t="s">
        <v>8340</v>
      </c>
      <c r="B1396" s="9" t="s">
        <v>8139</v>
      </c>
      <c r="C1396" s="9" t="s">
        <v>34</v>
      </c>
      <c r="D1396" s="9" t="s">
        <v>8140</v>
      </c>
      <c r="E1396" s="9" t="s">
        <v>35</v>
      </c>
      <c r="F1396" s="9" t="s">
        <v>36</v>
      </c>
      <c r="G1396" s="9">
        <v>1</v>
      </c>
      <c r="H1396" s="9">
        <v>84219999</v>
      </c>
      <c r="I1396" s="11" t="s">
        <v>37</v>
      </c>
      <c r="J1396" s="12">
        <v>1.6500000000000001E-2</v>
      </c>
      <c r="K1396" s="12">
        <v>7.5999999999999998E-2</v>
      </c>
      <c r="L1396" s="12">
        <v>5.1999999999999998E-2</v>
      </c>
      <c r="M1396" s="13" t="s">
        <v>35</v>
      </c>
      <c r="N1396" s="14">
        <v>0</v>
      </c>
      <c r="O1396" s="14">
        <v>0</v>
      </c>
      <c r="P1396" s="15">
        <v>45231</v>
      </c>
      <c r="Q1396" s="16" t="s">
        <v>8341</v>
      </c>
      <c r="R1396" s="17" t="s">
        <v>8342</v>
      </c>
      <c r="S1396" s="17" t="s">
        <v>8343</v>
      </c>
      <c r="T1396" s="17" t="s">
        <v>35</v>
      </c>
      <c r="U1396" s="17" t="s">
        <v>35</v>
      </c>
      <c r="V1396" s="17" t="s">
        <v>35</v>
      </c>
      <c r="W1396" s="17" t="s">
        <v>35</v>
      </c>
      <c r="X1396" s="17" t="s">
        <v>35</v>
      </c>
      <c r="Y1396" s="17" t="s">
        <v>35</v>
      </c>
      <c r="Z1396" s="17" t="s">
        <v>35</v>
      </c>
      <c r="AA1396" s="17" t="s">
        <v>35</v>
      </c>
      <c r="AB1396" s="17" t="s">
        <v>8344</v>
      </c>
      <c r="AC1396" s="17" t="s">
        <v>9539</v>
      </c>
      <c r="AD1396" s="41">
        <v>77.819999999999993</v>
      </c>
      <c r="AE1396" s="41">
        <v>81.87</v>
      </c>
      <c r="AF1396" s="48"/>
      <c r="AG1396" s="44"/>
      <c r="AH1396" s="7">
        <f t="shared" si="21"/>
        <v>0</v>
      </c>
      <c r="AI1396" s="18"/>
      <c r="AJ1396" s="18"/>
    </row>
    <row r="1397" spans="1:38" ht="26.65" customHeight="1" x14ac:dyDescent="0.25">
      <c r="A1397" s="10" t="s">
        <v>8345</v>
      </c>
      <c r="B1397" s="9" t="s">
        <v>8346</v>
      </c>
      <c r="C1397" s="9" t="s">
        <v>34</v>
      </c>
      <c r="D1397" s="9" t="s">
        <v>8140</v>
      </c>
      <c r="E1397" s="9" t="s">
        <v>35</v>
      </c>
      <c r="F1397" s="9" t="s">
        <v>36</v>
      </c>
      <c r="G1397" s="9">
        <v>1</v>
      </c>
      <c r="H1397" s="9">
        <v>84219999</v>
      </c>
      <c r="I1397" s="11" t="s">
        <v>37</v>
      </c>
      <c r="J1397" s="12">
        <v>1.6500000000000001E-2</v>
      </c>
      <c r="K1397" s="12">
        <v>7.5999999999999998E-2</v>
      </c>
      <c r="L1397" s="12">
        <v>5.1999999999999998E-2</v>
      </c>
      <c r="M1397" s="13" t="s">
        <v>8579</v>
      </c>
      <c r="N1397" s="14">
        <v>0</v>
      </c>
      <c r="O1397" s="14">
        <v>0</v>
      </c>
      <c r="P1397" s="15">
        <v>44958</v>
      </c>
      <c r="Q1397" s="16" t="s">
        <v>35</v>
      </c>
      <c r="R1397" s="17" t="s">
        <v>35</v>
      </c>
      <c r="S1397" s="17" t="s">
        <v>35</v>
      </c>
      <c r="T1397" s="17" t="s">
        <v>35</v>
      </c>
      <c r="U1397" s="17" t="s">
        <v>35</v>
      </c>
      <c r="V1397" s="17" t="s">
        <v>35</v>
      </c>
      <c r="W1397" s="17" t="s">
        <v>35</v>
      </c>
      <c r="X1397" s="17" t="s">
        <v>35</v>
      </c>
      <c r="Y1397" s="17" t="s">
        <v>35</v>
      </c>
      <c r="Z1397" s="17" t="s">
        <v>8347</v>
      </c>
      <c r="AA1397" s="17" t="s">
        <v>35</v>
      </c>
      <c r="AB1397" s="17" t="s">
        <v>8348</v>
      </c>
      <c r="AC1397" s="17" t="s">
        <v>9539</v>
      </c>
      <c r="AD1397" s="41">
        <v>74.02</v>
      </c>
      <c r="AE1397" s="41">
        <v>77.87</v>
      </c>
      <c r="AF1397" s="48"/>
      <c r="AG1397" s="44"/>
      <c r="AH1397" s="7">
        <f t="shared" si="21"/>
        <v>0</v>
      </c>
      <c r="AI1397" s="18"/>
      <c r="AJ1397" s="18"/>
      <c r="AL1397" s="18"/>
    </row>
    <row r="1398" spans="1:38" ht="26.65" customHeight="1" x14ac:dyDescent="0.25">
      <c r="A1398" s="10" t="s">
        <v>8996</v>
      </c>
      <c r="B1398" s="9" t="s">
        <v>8190</v>
      </c>
      <c r="C1398" s="9" t="s">
        <v>34</v>
      </c>
      <c r="D1398" s="9" t="s">
        <v>8140</v>
      </c>
      <c r="E1398" s="9" t="s">
        <v>35</v>
      </c>
      <c r="F1398" s="9" t="s">
        <v>36</v>
      </c>
      <c r="G1398" s="9">
        <v>1</v>
      </c>
      <c r="H1398" s="9">
        <v>84219999</v>
      </c>
      <c r="I1398" s="11" t="s">
        <v>37</v>
      </c>
      <c r="J1398" s="12">
        <v>1.6500000000000001E-2</v>
      </c>
      <c r="K1398" s="12">
        <v>7.5999999999999998E-2</v>
      </c>
      <c r="L1398" s="12">
        <v>5.1999999999999998E-2</v>
      </c>
      <c r="M1398" s="13" t="s">
        <v>35</v>
      </c>
      <c r="N1398" s="14">
        <v>0</v>
      </c>
      <c r="O1398" s="14">
        <v>0</v>
      </c>
      <c r="P1398" s="15">
        <v>45323</v>
      </c>
      <c r="Q1398" s="16" t="s">
        <v>35</v>
      </c>
      <c r="R1398" s="17" t="s">
        <v>35</v>
      </c>
      <c r="S1398" s="17" t="s">
        <v>35</v>
      </c>
      <c r="T1398" s="17" t="s">
        <v>35</v>
      </c>
      <c r="U1398" s="17" t="s">
        <v>8997</v>
      </c>
      <c r="V1398" s="17" t="s">
        <v>35</v>
      </c>
      <c r="W1398" s="17" t="s">
        <v>35</v>
      </c>
      <c r="X1398" s="17" t="s">
        <v>35</v>
      </c>
      <c r="Y1398" s="17" t="s">
        <v>35</v>
      </c>
      <c r="Z1398" s="17" t="s">
        <v>8998</v>
      </c>
      <c r="AA1398" s="17" t="s">
        <v>8999</v>
      </c>
      <c r="AB1398" s="17" t="s">
        <v>9000</v>
      </c>
      <c r="AC1398" s="17" t="s">
        <v>9539</v>
      </c>
      <c r="AD1398" s="41">
        <v>91.14</v>
      </c>
      <c r="AE1398" s="41">
        <v>95.88</v>
      </c>
      <c r="AF1398" s="48"/>
      <c r="AG1398" s="44"/>
      <c r="AH1398" s="7">
        <f t="shared" si="21"/>
        <v>0</v>
      </c>
      <c r="AI1398" s="18"/>
      <c r="AJ1398" s="18"/>
    </row>
    <row r="1399" spans="1:38" ht="26.65" customHeight="1" x14ac:dyDescent="0.25">
      <c r="A1399" s="10" t="s">
        <v>8725</v>
      </c>
      <c r="B1399" s="9" t="s">
        <v>8139</v>
      </c>
      <c r="C1399" s="9" t="s">
        <v>34</v>
      </c>
      <c r="D1399" s="9" t="s">
        <v>8140</v>
      </c>
      <c r="E1399" s="9" t="s">
        <v>35</v>
      </c>
      <c r="F1399" s="9" t="s">
        <v>36</v>
      </c>
      <c r="G1399" s="9">
        <v>1</v>
      </c>
      <c r="H1399" s="9">
        <v>84219999</v>
      </c>
      <c r="I1399" s="11" t="s">
        <v>37</v>
      </c>
      <c r="J1399" s="12">
        <v>1.6500000000000001E-2</v>
      </c>
      <c r="K1399" s="12">
        <v>7.5999999999999998E-2</v>
      </c>
      <c r="L1399" s="12">
        <v>5.1999999999999998E-2</v>
      </c>
      <c r="M1399" s="13" t="s">
        <v>8579</v>
      </c>
      <c r="N1399" s="14" t="s">
        <v>35</v>
      </c>
      <c r="O1399" s="14" t="s">
        <v>35</v>
      </c>
      <c r="P1399" s="15">
        <v>45292</v>
      </c>
      <c r="Q1399" s="16" t="s">
        <v>8726</v>
      </c>
      <c r="R1399" s="17" t="s">
        <v>8727</v>
      </c>
      <c r="S1399" s="17" t="s">
        <v>8728</v>
      </c>
      <c r="T1399" s="17" t="s">
        <v>35</v>
      </c>
      <c r="U1399" s="17" t="s">
        <v>35</v>
      </c>
      <c r="V1399" s="17" t="s">
        <v>8729</v>
      </c>
      <c r="W1399" s="17" t="s">
        <v>35</v>
      </c>
      <c r="X1399" s="17" t="s">
        <v>35</v>
      </c>
      <c r="Y1399" s="17" t="s">
        <v>35</v>
      </c>
      <c r="Z1399" s="17" t="s">
        <v>8730</v>
      </c>
      <c r="AA1399" s="17" t="s">
        <v>35</v>
      </c>
      <c r="AB1399" s="17" t="s">
        <v>8731</v>
      </c>
      <c r="AC1399" s="17" t="s">
        <v>9539</v>
      </c>
      <c r="AD1399" s="41">
        <v>83.48</v>
      </c>
      <c r="AE1399" s="41">
        <v>87.82</v>
      </c>
      <c r="AF1399" s="48"/>
      <c r="AG1399" s="44"/>
      <c r="AH1399" s="7">
        <f t="shared" si="21"/>
        <v>0</v>
      </c>
      <c r="AI1399" s="18"/>
      <c r="AJ1399" s="18"/>
    </row>
    <row r="1400" spans="1:38" ht="26.65" customHeight="1" x14ac:dyDescent="0.25">
      <c r="A1400" s="10" t="s">
        <v>10657</v>
      </c>
      <c r="B1400" s="9" t="s">
        <v>8139</v>
      </c>
      <c r="C1400" s="9" t="s">
        <v>34</v>
      </c>
      <c r="D1400" s="9" t="s">
        <v>8140</v>
      </c>
      <c r="E1400" s="9" t="s">
        <v>35</v>
      </c>
      <c r="F1400" s="9" t="s">
        <v>36</v>
      </c>
      <c r="G1400" s="9">
        <v>1</v>
      </c>
      <c r="H1400" s="9">
        <v>84219999</v>
      </c>
      <c r="I1400" s="11" t="s">
        <v>37</v>
      </c>
      <c r="J1400" s="12">
        <v>1.6500000000000001E-2</v>
      </c>
      <c r="K1400" s="12">
        <v>7.5999999999999998E-2</v>
      </c>
      <c r="L1400" s="12">
        <v>5.1999999999999998E-2</v>
      </c>
      <c r="M1400" s="13" t="s">
        <v>35</v>
      </c>
      <c r="N1400" s="14" t="s">
        <v>35</v>
      </c>
      <c r="O1400" s="14" t="s">
        <v>35</v>
      </c>
      <c r="P1400" s="15">
        <v>45597</v>
      </c>
      <c r="Q1400" s="16" t="s">
        <v>10658</v>
      </c>
      <c r="R1400" s="17" t="s">
        <v>35</v>
      </c>
      <c r="S1400" s="17" t="s">
        <v>35</v>
      </c>
      <c r="T1400" s="17" t="s">
        <v>35</v>
      </c>
      <c r="U1400" s="17" t="s">
        <v>10659</v>
      </c>
      <c r="V1400" s="17" t="s">
        <v>35</v>
      </c>
      <c r="W1400" s="17" t="s">
        <v>35</v>
      </c>
      <c r="X1400" s="17" t="s">
        <v>35</v>
      </c>
      <c r="Y1400" s="17" t="s">
        <v>35</v>
      </c>
      <c r="Z1400" s="17" t="s">
        <v>10660</v>
      </c>
      <c r="AA1400" s="17" t="s">
        <v>10661</v>
      </c>
      <c r="AB1400" s="17" t="s">
        <v>10662</v>
      </c>
      <c r="AC1400" s="17" t="s">
        <v>9539</v>
      </c>
      <c r="AD1400" s="41">
        <v>72.650000000000006</v>
      </c>
      <c r="AE1400" s="41">
        <v>76.430000000000007</v>
      </c>
      <c r="AF1400" s="48"/>
      <c r="AG1400" s="44"/>
      <c r="AH1400" s="7">
        <f t="shared" si="21"/>
        <v>0</v>
      </c>
      <c r="AI1400" s="18"/>
      <c r="AJ1400" s="18"/>
    </row>
    <row r="1401" spans="1:38" ht="26.65" customHeight="1" x14ac:dyDescent="0.25">
      <c r="A1401" s="10" t="s">
        <v>8349</v>
      </c>
      <c r="B1401" s="9" t="s">
        <v>8350</v>
      </c>
      <c r="C1401" s="9" t="s">
        <v>34</v>
      </c>
      <c r="D1401" s="9" t="s">
        <v>8140</v>
      </c>
      <c r="E1401" s="9" t="s">
        <v>35</v>
      </c>
      <c r="F1401" s="9" t="s">
        <v>36</v>
      </c>
      <c r="G1401" s="9">
        <v>1</v>
      </c>
      <c r="H1401" s="9">
        <v>84219999</v>
      </c>
      <c r="I1401" s="11" t="s">
        <v>37</v>
      </c>
      <c r="J1401" s="12">
        <v>1.6500000000000001E-2</v>
      </c>
      <c r="K1401" s="12">
        <v>7.5999999999999998E-2</v>
      </c>
      <c r="L1401" s="12">
        <v>5.1999999999999998E-2</v>
      </c>
      <c r="M1401" s="13" t="s">
        <v>8579</v>
      </c>
      <c r="N1401" s="14">
        <v>0</v>
      </c>
      <c r="O1401" s="14">
        <v>0</v>
      </c>
      <c r="P1401" s="15">
        <v>44958</v>
      </c>
      <c r="Q1401" s="16" t="s">
        <v>35</v>
      </c>
      <c r="R1401" s="17" t="s">
        <v>35</v>
      </c>
      <c r="S1401" s="17" t="s">
        <v>35</v>
      </c>
      <c r="T1401" s="17" t="s">
        <v>35</v>
      </c>
      <c r="U1401" s="17" t="s">
        <v>35</v>
      </c>
      <c r="V1401" s="17" t="s">
        <v>35</v>
      </c>
      <c r="W1401" s="17" t="s">
        <v>35</v>
      </c>
      <c r="X1401" s="17" t="s">
        <v>35</v>
      </c>
      <c r="Y1401" s="17" t="s">
        <v>35</v>
      </c>
      <c r="Z1401" s="17" t="s">
        <v>8351</v>
      </c>
      <c r="AA1401" s="17" t="s">
        <v>8352</v>
      </c>
      <c r="AB1401" s="17" t="s">
        <v>8353</v>
      </c>
      <c r="AC1401" s="17" t="s">
        <v>9539</v>
      </c>
      <c r="AD1401" s="41">
        <v>80.069999999999993</v>
      </c>
      <c r="AE1401" s="41">
        <v>84.23</v>
      </c>
      <c r="AF1401" s="48"/>
      <c r="AG1401" s="44"/>
      <c r="AH1401" s="7">
        <f t="shared" si="21"/>
        <v>0</v>
      </c>
      <c r="AI1401" s="18"/>
      <c r="AJ1401" s="18"/>
    </row>
    <row r="1402" spans="1:38" ht="26.65" customHeight="1" x14ac:dyDescent="0.25">
      <c r="A1402" s="10" t="s">
        <v>9001</v>
      </c>
      <c r="B1402" s="9" t="s">
        <v>8190</v>
      </c>
      <c r="C1402" s="9" t="s">
        <v>34</v>
      </c>
      <c r="D1402" s="9" t="s">
        <v>8140</v>
      </c>
      <c r="E1402" s="9" t="s">
        <v>35</v>
      </c>
      <c r="F1402" s="9" t="s">
        <v>36</v>
      </c>
      <c r="G1402" s="9">
        <v>1</v>
      </c>
      <c r="H1402" s="9">
        <v>84219999</v>
      </c>
      <c r="I1402" s="11" t="s">
        <v>37</v>
      </c>
      <c r="J1402" s="12">
        <v>1.6500000000000001E-2</v>
      </c>
      <c r="K1402" s="12">
        <v>7.5999999999999998E-2</v>
      </c>
      <c r="L1402" s="12">
        <v>5.1999999999999998E-2</v>
      </c>
      <c r="M1402" s="13" t="s">
        <v>35</v>
      </c>
      <c r="N1402" s="14">
        <v>0</v>
      </c>
      <c r="O1402" s="14">
        <v>0</v>
      </c>
      <c r="P1402" s="15">
        <v>45323</v>
      </c>
      <c r="Q1402" s="16" t="s">
        <v>35</v>
      </c>
      <c r="R1402" s="17" t="s">
        <v>35</v>
      </c>
      <c r="S1402" s="17" t="s">
        <v>9002</v>
      </c>
      <c r="T1402" s="17" t="s">
        <v>35</v>
      </c>
      <c r="U1402" s="17" t="s">
        <v>35</v>
      </c>
      <c r="V1402" s="17" t="s">
        <v>35</v>
      </c>
      <c r="W1402" s="17" t="s">
        <v>35</v>
      </c>
      <c r="X1402" s="17" t="s">
        <v>35</v>
      </c>
      <c r="Y1402" s="17" t="s">
        <v>35</v>
      </c>
      <c r="Z1402" s="17" t="s">
        <v>9003</v>
      </c>
      <c r="AA1402" s="17" t="s">
        <v>9004</v>
      </c>
      <c r="AB1402" s="17" t="s">
        <v>9005</v>
      </c>
      <c r="AC1402" s="17" t="s">
        <v>9539</v>
      </c>
      <c r="AD1402" s="41">
        <v>114.5</v>
      </c>
      <c r="AE1402" s="41">
        <v>120.45</v>
      </c>
      <c r="AF1402" s="48"/>
      <c r="AG1402" s="44"/>
      <c r="AH1402" s="7">
        <f t="shared" si="21"/>
        <v>0</v>
      </c>
      <c r="AI1402" s="18"/>
      <c r="AJ1402" s="18"/>
      <c r="AL1402" s="18"/>
    </row>
    <row r="1403" spans="1:38" ht="26.65" customHeight="1" x14ac:dyDescent="0.25">
      <c r="A1403" s="10" t="s">
        <v>8732</v>
      </c>
      <c r="B1403" s="9" t="s">
        <v>8139</v>
      </c>
      <c r="C1403" s="9" t="s">
        <v>34</v>
      </c>
      <c r="D1403" s="9" t="s">
        <v>8140</v>
      </c>
      <c r="E1403" s="9" t="s">
        <v>35</v>
      </c>
      <c r="F1403" s="9" t="s">
        <v>36</v>
      </c>
      <c r="G1403" s="9">
        <v>1</v>
      </c>
      <c r="H1403" s="9">
        <v>84219999</v>
      </c>
      <c r="I1403" s="11" t="s">
        <v>37</v>
      </c>
      <c r="J1403" s="12">
        <v>1.6500000000000001E-2</v>
      </c>
      <c r="K1403" s="12">
        <v>7.5999999999999998E-2</v>
      </c>
      <c r="L1403" s="12">
        <v>5.1999999999999998E-2</v>
      </c>
      <c r="M1403" s="13" t="s">
        <v>8579</v>
      </c>
      <c r="N1403" s="14" t="s">
        <v>35</v>
      </c>
      <c r="O1403" s="14" t="s">
        <v>35</v>
      </c>
      <c r="P1403" s="15">
        <v>45292</v>
      </c>
      <c r="Q1403" s="16" t="s">
        <v>8733</v>
      </c>
      <c r="R1403" s="17" t="s">
        <v>8734</v>
      </c>
      <c r="S1403" s="17" t="s">
        <v>35</v>
      </c>
      <c r="T1403" s="17" t="s">
        <v>35</v>
      </c>
      <c r="U1403" s="17" t="s">
        <v>35</v>
      </c>
      <c r="V1403" s="17" t="s">
        <v>35</v>
      </c>
      <c r="W1403" s="17" t="s">
        <v>35</v>
      </c>
      <c r="X1403" s="17" t="s">
        <v>35</v>
      </c>
      <c r="Y1403" s="17" t="s">
        <v>35</v>
      </c>
      <c r="Z1403" s="17" t="s">
        <v>8735</v>
      </c>
      <c r="AA1403" s="17" t="s">
        <v>8736</v>
      </c>
      <c r="AB1403" s="17" t="s">
        <v>8737</v>
      </c>
      <c r="AC1403" s="17" t="s">
        <v>9539</v>
      </c>
      <c r="AD1403" s="41">
        <v>84.44</v>
      </c>
      <c r="AE1403" s="41">
        <v>88.83</v>
      </c>
      <c r="AF1403" s="48"/>
      <c r="AG1403" s="44"/>
      <c r="AH1403" s="7">
        <f t="shared" si="21"/>
        <v>0</v>
      </c>
      <c r="AI1403" s="18"/>
      <c r="AJ1403" s="18"/>
    </row>
    <row r="1404" spans="1:38" ht="26.65" customHeight="1" x14ac:dyDescent="0.25">
      <c r="A1404" s="10" t="s">
        <v>8354</v>
      </c>
      <c r="B1404" s="9" t="s">
        <v>8355</v>
      </c>
      <c r="C1404" s="9" t="s">
        <v>34</v>
      </c>
      <c r="D1404" s="9" t="s">
        <v>8140</v>
      </c>
      <c r="E1404" s="9" t="s">
        <v>35</v>
      </c>
      <c r="F1404" s="9" t="s">
        <v>36</v>
      </c>
      <c r="G1404" s="9">
        <v>1</v>
      </c>
      <c r="H1404" s="9">
        <v>84219999</v>
      </c>
      <c r="I1404" s="11" t="s">
        <v>37</v>
      </c>
      <c r="J1404" s="12">
        <v>1.6500000000000001E-2</v>
      </c>
      <c r="K1404" s="12">
        <v>7.5999999999999998E-2</v>
      </c>
      <c r="L1404" s="12">
        <v>5.1999999999999998E-2</v>
      </c>
      <c r="M1404" s="13" t="s">
        <v>8579</v>
      </c>
      <c r="N1404" s="14">
        <v>0</v>
      </c>
      <c r="O1404" s="14">
        <v>0</v>
      </c>
      <c r="P1404" s="15">
        <v>44958</v>
      </c>
      <c r="Q1404" s="16" t="s">
        <v>35</v>
      </c>
      <c r="R1404" s="17" t="s">
        <v>35</v>
      </c>
      <c r="S1404" s="17" t="s">
        <v>35</v>
      </c>
      <c r="T1404" s="17" t="s">
        <v>35</v>
      </c>
      <c r="U1404" s="17" t="s">
        <v>35</v>
      </c>
      <c r="V1404" s="17" t="s">
        <v>35</v>
      </c>
      <c r="W1404" s="17" t="s">
        <v>35</v>
      </c>
      <c r="X1404" s="17" t="s">
        <v>35</v>
      </c>
      <c r="Y1404" s="17" t="s">
        <v>35</v>
      </c>
      <c r="Z1404" s="17" t="s">
        <v>8356</v>
      </c>
      <c r="AA1404" s="17" t="s">
        <v>8357</v>
      </c>
      <c r="AB1404" s="17" t="s">
        <v>8358</v>
      </c>
      <c r="AC1404" s="17" t="s">
        <v>9539</v>
      </c>
      <c r="AD1404" s="41">
        <v>83.29</v>
      </c>
      <c r="AE1404" s="41">
        <v>87.62</v>
      </c>
      <c r="AF1404" s="48"/>
      <c r="AG1404" s="44"/>
      <c r="AH1404" s="7">
        <f t="shared" si="21"/>
        <v>0</v>
      </c>
      <c r="AI1404" s="18"/>
      <c r="AJ1404" s="18"/>
      <c r="AL1404" s="18"/>
    </row>
    <row r="1405" spans="1:38" ht="26.65" customHeight="1" x14ac:dyDescent="0.25">
      <c r="A1405" s="10" t="s">
        <v>8359</v>
      </c>
      <c r="B1405" s="9" t="s">
        <v>8360</v>
      </c>
      <c r="C1405" s="9" t="s">
        <v>34</v>
      </c>
      <c r="D1405" s="9" t="s">
        <v>8140</v>
      </c>
      <c r="E1405" s="9" t="s">
        <v>35</v>
      </c>
      <c r="F1405" s="9" t="s">
        <v>36</v>
      </c>
      <c r="G1405" s="9">
        <v>1</v>
      </c>
      <c r="H1405" s="9">
        <v>84219999</v>
      </c>
      <c r="I1405" s="11" t="s">
        <v>37</v>
      </c>
      <c r="J1405" s="12">
        <v>1.6500000000000001E-2</v>
      </c>
      <c r="K1405" s="12">
        <v>7.5999999999999998E-2</v>
      </c>
      <c r="L1405" s="12">
        <v>5.1999999999999998E-2</v>
      </c>
      <c r="M1405" s="13" t="s">
        <v>8579</v>
      </c>
      <c r="N1405" s="14">
        <v>0</v>
      </c>
      <c r="O1405" s="14">
        <v>0</v>
      </c>
      <c r="P1405" s="15">
        <v>44958</v>
      </c>
      <c r="Q1405" s="16" t="s">
        <v>35</v>
      </c>
      <c r="R1405" s="17" t="s">
        <v>35</v>
      </c>
      <c r="S1405" s="17" t="s">
        <v>35</v>
      </c>
      <c r="T1405" s="17" t="s">
        <v>35</v>
      </c>
      <c r="U1405" s="17" t="s">
        <v>35</v>
      </c>
      <c r="V1405" s="17" t="s">
        <v>35</v>
      </c>
      <c r="W1405" s="17" t="s">
        <v>35</v>
      </c>
      <c r="X1405" s="17" t="s">
        <v>35</v>
      </c>
      <c r="Y1405" s="17" t="s">
        <v>35</v>
      </c>
      <c r="Z1405" s="17" t="s">
        <v>8361</v>
      </c>
      <c r="AA1405" s="17" t="s">
        <v>8362</v>
      </c>
      <c r="AB1405" s="17" t="s">
        <v>8363</v>
      </c>
      <c r="AC1405" s="17" t="s">
        <v>9539</v>
      </c>
      <c r="AD1405" s="41">
        <v>90.24</v>
      </c>
      <c r="AE1405" s="41">
        <v>94.93</v>
      </c>
      <c r="AF1405" s="48"/>
      <c r="AG1405" s="44"/>
      <c r="AH1405" s="7">
        <f t="shared" si="21"/>
        <v>0</v>
      </c>
      <c r="AI1405" s="18"/>
      <c r="AJ1405" s="18"/>
    </row>
    <row r="1406" spans="1:38" ht="26.65" customHeight="1" x14ac:dyDescent="0.25">
      <c r="A1406" s="10" t="s">
        <v>8364</v>
      </c>
      <c r="B1406" s="9" t="s">
        <v>8365</v>
      </c>
      <c r="C1406" s="9" t="s">
        <v>34</v>
      </c>
      <c r="D1406" s="9" t="s">
        <v>8140</v>
      </c>
      <c r="E1406" s="9" t="s">
        <v>35</v>
      </c>
      <c r="F1406" s="9" t="s">
        <v>36</v>
      </c>
      <c r="G1406" s="9">
        <v>1</v>
      </c>
      <c r="H1406" s="9">
        <v>84219999</v>
      </c>
      <c r="I1406" s="11" t="s">
        <v>37</v>
      </c>
      <c r="J1406" s="12">
        <v>1.6500000000000001E-2</v>
      </c>
      <c r="K1406" s="12">
        <v>7.5999999999999998E-2</v>
      </c>
      <c r="L1406" s="12">
        <v>5.1999999999999998E-2</v>
      </c>
      <c r="M1406" s="13" t="s">
        <v>8579</v>
      </c>
      <c r="N1406" s="14">
        <v>0</v>
      </c>
      <c r="O1406" s="14">
        <v>0</v>
      </c>
      <c r="P1406" s="15">
        <v>44986</v>
      </c>
      <c r="Q1406" s="16" t="s">
        <v>35</v>
      </c>
      <c r="R1406" s="17" t="s">
        <v>8366</v>
      </c>
      <c r="S1406" s="17" t="s">
        <v>35</v>
      </c>
      <c r="T1406" s="17" t="s">
        <v>35</v>
      </c>
      <c r="U1406" s="17" t="s">
        <v>35</v>
      </c>
      <c r="V1406" s="17" t="s">
        <v>35</v>
      </c>
      <c r="W1406" s="17" t="s">
        <v>35</v>
      </c>
      <c r="X1406" s="17" t="s">
        <v>35</v>
      </c>
      <c r="Y1406" s="17" t="s">
        <v>35</v>
      </c>
      <c r="Z1406" s="17" t="s">
        <v>8367</v>
      </c>
      <c r="AA1406" s="17" t="s">
        <v>8368</v>
      </c>
      <c r="AB1406" s="17" t="s">
        <v>8369</v>
      </c>
      <c r="AC1406" s="17" t="s">
        <v>9539</v>
      </c>
      <c r="AD1406" s="41">
        <v>121.1</v>
      </c>
      <c r="AE1406" s="41">
        <v>127.4</v>
      </c>
      <c r="AF1406" s="48"/>
      <c r="AG1406" s="44"/>
      <c r="AH1406" s="7">
        <f t="shared" si="21"/>
        <v>0</v>
      </c>
      <c r="AI1406" s="18"/>
      <c r="AJ1406" s="18"/>
    </row>
    <row r="1407" spans="1:38" ht="26.65" customHeight="1" x14ac:dyDescent="0.25">
      <c r="A1407" s="10" t="s">
        <v>8370</v>
      </c>
      <c r="B1407" s="9" t="s">
        <v>8139</v>
      </c>
      <c r="C1407" s="9" t="s">
        <v>34</v>
      </c>
      <c r="D1407" s="9" t="s">
        <v>8140</v>
      </c>
      <c r="E1407" s="9" t="s">
        <v>35</v>
      </c>
      <c r="F1407" s="9" t="s">
        <v>36</v>
      </c>
      <c r="G1407" s="9">
        <v>1</v>
      </c>
      <c r="H1407" s="9">
        <v>84219999</v>
      </c>
      <c r="I1407" s="11" t="s">
        <v>37</v>
      </c>
      <c r="J1407" s="12">
        <v>1.6500000000000001E-2</v>
      </c>
      <c r="K1407" s="12">
        <v>7.5999999999999998E-2</v>
      </c>
      <c r="L1407" s="12">
        <v>5.1999999999999998E-2</v>
      </c>
      <c r="M1407" s="13" t="s">
        <v>35</v>
      </c>
      <c r="N1407" s="14" t="s">
        <v>35</v>
      </c>
      <c r="O1407" s="14" t="s">
        <v>35</v>
      </c>
      <c r="P1407" s="15">
        <v>45200</v>
      </c>
      <c r="Q1407" s="16" t="s">
        <v>8371</v>
      </c>
      <c r="R1407" s="17" t="s">
        <v>35</v>
      </c>
      <c r="S1407" s="17" t="s">
        <v>35</v>
      </c>
      <c r="T1407" s="17" t="s">
        <v>35</v>
      </c>
      <c r="U1407" s="17" t="s">
        <v>35</v>
      </c>
      <c r="V1407" s="17" t="s">
        <v>35</v>
      </c>
      <c r="W1407" s="17" t="s">
        <v>35</v>
      </c>
      <c r="X1407" s="17" t="s">
        <v>35</v>
      </c>
      <c r="Y1407" s="17" t="s">
        <v>35</v>
      </c>
      <c r="Z1407" s="17" t="s">
        <v>8372</v>
      </c>
      <c r="AA1407" s="17" t="s">
        <v>8373</v>
      </c>
      <c r="AB1407" s="17" t="s">
        <v>8374</v>
      </c>
      <c r="AC1407" s="17" t="s">
        <v>9539</v>
      </c>
      <c r="AD1407" s="41">
        <v>122.16</v>
      </c>
      <c r="AE1407" s="41">
        <v>128.51</v>
      </c>
      <c r="AF1407" s="48"/>
      <c r="AG1407" s="44"/>
      <c r="AH1407" s="7">
        <f t="shared" si="21"/>
        <v>0</v>
      </c>
      <c r="AI1407" s="18"/>
      <c r="AJ1407" s="18"/>
    </row>
    <row r="1408" spans="1:38" ht="26.65" customHeight="1" x14ac:dyDescent="0.25">
      <c r="A1408" s="10" t="s">
        <v>8375</v>
      </c>
      <c r="B1408" s="9" t="s">
        <v>8376</v>
      </c>
      <c r="C1408" s="9" t="s">
        <v>34</v>
      </c>
      <c r="D1408" s="9" t="s">
        <v>8140</v>
      </c>
      <c r="E1408" s="9" t="s">
        <v>35</v>
      </c>
      <c r="F1408" s="9" t="s">
        <v>36</v>
      </c>
      <c r="G1408" s="9">
        <v>1</v>
      </c>
      <c r="H1408" s="9">
        <v>84219999</v>
      </c>
      <c r="I1408" s="11" t="s">
        <v>37</v>
      </c>
      <c r="J1408" s="12">
        <v>1.6500000000000001E-2</v>
      </c>
      <c r="K1408" s="12">
        <v>7.5999999999999998E-2</v>
      </c>
      <c r="L1408" s="12">
        <v>5.1999999999999998E-2</v>
      </c>
      <c r="M1408" s="13" t="s">
        <v>8579</v>
      </c>
      <c r="N1408" s="14">
        <v>0</v>
      </c>
      <c r="O1408" s="14">
        <v>0</v>
      </c>
      <c r="P1408" s="15">
        <v>44958</v>
      </c>
      <c r="Q1408" s="16" t="s">
        <v>35</v>
      </c>
      <c r="R1408" s="17" t="s">
        <v>35</v>
      </c>
      <c r="S1408" s="17" t="s">
        <v>35</v>
      </c>
      <c r="T1408" s="17" t="s">
        <v>35</v>
      </c>
      <c r="U1408" s="17" t="s">
        <v>35</v>
      </c>
      <c r="V1408" s="17" t="s">
        <v>35</v>
      </c>
      <c r="W1408" s="17" t="s">
        <v>35</v>
      </c>
      <c r="X1408" s="17" t="s">
        <v>35</v>
      </c>
      <c r="Y1408" s="17" t="s">
        <v>35</v>
      </c>
      <c r="Z1408" s="17" t="s">
        <v>8377</v>
      </c>
      <c r="AA1408" s="17" t="s">
        <v>8378</v>
      </c>
      <c r="AB1408" s="17" t="s">
        <v>8379</v>
      </c>
      <c r="AC1408" s="17" t="s">
        <v>9539</v>
      </c>
      <c r="AD1408" s="41">
        <v>134.07</v>
      </c>
      <c r="AE1408" s="41">
        <v>141.04</v>
      </c>
      <c r="AF1408" s="48"/>
      <c r="AG1408" s="44"/>
      <c r="AH1408" s="7">
        <f t="shared" si="21"/>
        <v>0</v>
      </c>
      <c r="AI1408" s="18"/>
      <c r="AJ1408" s="18"/>
    </row>
    <row r="1409" spans="1:38" ht="26.65" customHeight="1" x14ac:dyDescent="0.25">
      <c r="A1409" s="10" t="s">
        <v>8380</v>
      </c>
      <c r="B1409" s="9" t="s">
        <v>8381</v>
      </c>
      <c r="C1409" s="9" t="s">
        <v>34</v>
      </c>
      <c r="D1409" s="9" t="s">
        <v>8140</v>
      </c>
      <c r="E1409" s="9" t="s">
        <v>35</v>
      </c>
      <c r="F1409" s="9" t="s">
        <v>36</v>
      </c>
      <c r="G1409" s="9">
        <v>1</v>
      </c>
      <c r="H1409" s="9">
        <v>84219999</v>
      </c>
      <c r="I1409" s="11" t="s">
        <v>37</v>
      </c>
      <c r="J1409" s="12">
        <v>1.6500000000000001E-2</v>
      </c>
      <c r="K1409" s="12">
        <v>7.5999999999999998E-2</v>
      </c>
      <c r="L1409" s="12">
        <v>5.1999999999999998E-2</v>
      </c>
      <c r="M1409" s="13" t="s">
        <v>8579</v>
      </c>
      <c r="N1409" s="14">
        <v>0</v>
      </c>
      <c r="O1409" s="14">
        <v>0</v>
      </c>
      <c r="P1409" s="15">
        <v>44958</v>
      </c>
      <c r="Q1409" s="16" t="s">
        <v>35</v>
      </c>
      <c r="R1409" s="17" t="s">
        <v>35</v>
      </c>
      <c r="S1409" s="17" t="s">
        <v>35</v>
      </c>
      <c r="T1409" s="17" t="s">
        <v>35</v>
      </c>
      <c r="U1409" s="17" t="s">
        <v>35</v>
      </c>
      <c r="V1409" s="17" t="s">
        <v>35</v>
      </c>
      <c r="W1409" s="17" t="s">
        <v>35</v>
      </c>
      <c r="X1409" s="17" t="s">
        <v>35</v>
      </c>
      <c r="Y1409" s="17" t="s">
        <v>35</v>
      </c>
      <c r="Z1409" s="17" t="s">
        <v>8372</v>
      </c>
      <c r="AA1409" s="17" t="s">
        <v>8373</v>
      </c>
      <c r="AB1409" s="17" t="s">
        <v>8374</v>
      </c>
      <c r="AC1409" s="17" t="s">
        <v>9539</v>
      </c>
      <c r="AD1409" s="41">
        <v>157.29</v>
      </c>
      <c r="AE1409" s="41">
        <v>165.47</v>
      </c>
      <c r="AF1409" s="48"/>
      <c r="AG1409" s="44"/>
      <c r="AH1409" s="7">
        <f t="shared" si="21"/>
        <v>0</v>
      </c>
      <c r="AI1409" s="18"/>
      <c r="AJ1409" s="18"/>
      <c r="AL1409" s="18"/>
    </row>
    <row r="1410" spans="1:38" ht="26.65" customHeight="1" x14ac:dyDescent="0.25">
      <c r="A1410" s="10" t="s">
        <v>8382</v>
      </c>
      <c r="B1410" s="9" t="s">
        <v>8139</v>
      </c>
      <c r="C1410" s="9" t="s">
        <v>34</v>
      </c>
      <c r="D1410" s="9" t="s">
        <v>8140</v>
      </c>
      <c r="E1410" s="9" t="s">
        <v>35</v>
      </c>
      <c r="F1410" s="9" t="s">
        <v>36</v>
      </c>
      <c r="G1410" s="9">
        <v>1</v>
      </c>
      <c r="H1410" s="9">
        <v>84219999</v>
      </c>
      <c r="I1410" s="11" t="s">
        <v>37</v>
      </c>
      <c r="J1410" s="12">
        <v>1.6500000000000001E-2</v>
      </c>
      <c r="K1410" s="12">
        <v>7.5999999999999998E-2</v>
      </c>
      <c r="L1410" s="12">
        <v>5.1999999999999998E-2</v>
      </c>
      <c r="M1410" s="13" t="s">
        <v>35</v>
      </c>
      <c r="N1410" s="14" t="s">
        <v>35</v>
      </c>
      <c r="O1410" s="14" t="s">
        <v>35</v>
      </c>
      <c r="P1410" s="15">
        <v>45200</v>
      </c>
      <c r="Q1410" s="16" t="s">
        <v>8383</v>
      </c>
      <c r="R1410" s="17" t="s">
        <v>8384</v>
      </c>
      <c r="S1410" s="17" t="s">
        <v>35</v>
      </c>
      <c r="T1410" s="17" t="s">
        <v>35</v>
      </c>
      <c r="U1410" s="17" t="s">
        <v>35</v>
      </c>
      <c r="V1410" s="17" t="s">
        <v>35</v>
      </c>
      <c r="W1410" s="17" t="s">
        <v>35</v>
      </c>
      <c r="X1410" s="17" t="s">
        <v>35</v>
      </c>
      <c r="Y1410" s="17" t="s">
        <v>35</v>
      </c>
      <c r="Z1410" s="17" t="s">
        <v>8385</v>
      </c>
      <c r="AA1410" s="17" t="s">
        <v>35</v>
      </c>
      <c r="AB1410" s="17" t="s">
        <v>8386</v>
      </c>
      <c r="AC1410" s="17" t="s">
        <v>9539</v>
      </c>
      <c r="AD1410" s="41">
        <v>149.21</v>
      </c>
      <c r="AE1410" s="41">
        <v>156.97</v>
      </c>
      <c r="AF1410" s="48"/>
      <c r="AG1410" s="44"/>
      <c r="AH1410" s="7">
        <f t="shared" si="21"/>
        <v>0</v>
      </c>
      <c r="AI1410" s="18"/>
      <c r="AJ1410" s="18"/>
    </row>
    <row r="1411" spans="1:38" ht="26.65" customHeight="1" x14ac:dyDescent="0.25">
      <c r="A1411" s="10" t="s">
        <v>8387</v>
      </c>
      <c r="B1411" s="9" t="s">
        <v>8139</v>
      </c>
      <c r="C1411" s="9" t="s">
        <v>34</v>
      </c>
      <c r="D1411" s="9" t="s">
        <v>8140</v>
      </c>
      <c r="E1411" s="9" t="s">
        <v>35</v>
      </c>
      <c r="F1411" s="9" t="s">
        <v>36</v>
      </c>
      <c r="G1411" s="9">
        <v>1</v>
      </c>
      <c r="H1411" s="9">
        <v>84219999</v>
      </c>
      <c r="I1411" s="11" t="s">
        <v>37</v>
      </c>
      <c r="J1411" s="12">
        <v>1.6500000000000001E-2</v>
      </c>
      <c r="K1411" s="12">
        <v>7.5999999999999998E-2</v>
      </c>
      <c r="L1411" s="12">
        <v>5.1999999999999998E-2</v>
      </c>
      <c r="M1411" s="13" t="s">
        <v>35</v>
      </c>
      <c r="N1411" s="14" t="s">
        <v>35</v>
      </c>
      <c r="O1411" s="14" t="s">
        <v>35</v>
      </c>
      <c r="P1411" s="15">
        <v>45200</v>
      </c>
      <c r="Q1411" s="16" t="s">
        <v>35</v>
      </c>
      <c r="R1411" s="17" t="s">
        <v>8388</v>
      </c>
      <c r="S1411" s="17" t="s">
        <v>35</v>
      </c>
      <c r="T1411" s="17" t="s">
        <v>35</v>
      </c>
      <c r="U1411" s="17" t="s">
        <v>35</v>
      </c>
      <c r="V1411" s="17" t="s">
        <v>35</v>
      </c>
      <c r="W1411" s="17" t="s">
        <v>35</v>
      </c>
      <c r="X1411" s="17" t="s">
        <v>35</v>
      </c>
      <c r="Y1411" s="17" t="s">
        <v>35</v>
      </c>
      <c r="Z1411" s="17" t="s">
        <v>35</v>
      </c>
      <c r="AA1411" s="17" t="s">
        <v>35</v>
      </c>
      <c r="AB1411" s="17" t="s">
        <v>8389</v>
      </c>
      <c r="AC1411" s="17" t="s">
        <v>9539</v>
      </c>
      <c r="AD1411" s="41">
        <v>438.48</v>
      </c>
      <c r="AE1411" s="41">
        <v>461.28</v>
      </c>
      <c r="AF1411" s="48"/>
      <c r="AG1411" s="44"/>
      <c r="AH1411" s="7">
        <f t="shared" si="21"/>
        <v>0</v>
      </c>
      <c r="AI1411" s="18"/>
      <c r="AJ1411" s="18"/>
    </row>
    <row r="1412" spans="1:38" ht="26.65" customHeight="1" x14ac:dyDescent="0.25">
      <c r="A1412" s="10" t="s">
        <v>8738</v>
      </c>
      <c r="B1412" s="9" t="s">
        <v>8139</v>
      </c>
      <c r="C1412" s="9" t="s">
        <v>34</v>
      </c>
      <c r="D1412" s="9" t="s">
        <v>8140</v>
      </c>
      <c r="E1412" s="9" t="s">
        <v>35</v>
      </c>
      <c r="F1412" s="9" t="s">
        <v>36</v>
      </c>
      <c r="G1412" s="9">
        <v>1</v>
      </c>
      <c r="H1412" s="9">
        <v>84219999</v>
      </c>
      <c r="I1412" s="11" t="s">
        <v>37</v>
      </c>
      <c r="J1412" s="12">
        <v>1.6500000000000001E-2</v>
      </c>
      <c r="K1412" s="12">
        <v>7.5999999999999998E-2</v>
      </c>
      <c r="L1412" s="12">
        <v>5.1999999999999998E-2</v>
      </c>
      <c r="M1412" s="13" t="s">
        <v>8579</v>
      </c>
      <c r="N1412" s="14" t="s">
        <v>35</v>
      </c>
      <c r="O1412" s="14" t="s">
        <v>35</v>
      </c>
      <c r="P1412" s="15">
        <v>45292</v>
      </c>
      <c r="Q1412" s="16" t="s">
        <v>8739</v>
      </c>
      <c r="R1412" s="17" t="s">
        <v>35</v>
      </c>
      <c r="S1412" s="17" t="s">
        <v>8740</v>
      </c>
      <c r="T1412" s="17" t="s">
        <v>35</v>
      </c>
      <c r="U1412" s="17" t="s">
        <v>35</v>
      </c>
      <c r="V1412" s="17" t="s">
        <v>35</v>
      </c>
      <c r="W1412" s="17" t="s">
        <v>35</v>
      </c>
      <c r="X1412" s="17" t="s">
        <v>35</v>
      </c>
      <c r="Y1412" s="17" t="s">
        <v>35</v>
      </c>
      <c r="Z1412" s="17" t="s">
        <v>8741</v>
      </c>
      <c r="AA1412" s="17" t="s">
        <v>35</v>
      </c>
      <c r="AB1412" s="17" t="s">
        <v>8742</v>
      </c>
      <c r="AC1412" s="17" t="s">
        <v>9539</v>
      </c>
      <c r="AD1412" s="41">
        <v>89.92</v>
      </c>
      <c r="AE1412" s="41">
        <v>94.6</v>
      </c>
      <c r="AF1412" s="48"/>
      <c r="AG1412" s="44"/>
      <c r="AH1412" s="7">
        <f t="shared" ref="AH1412:AH1475" si="22">AG1412*AE1412</f>
        <v>0</v>
      </c>
      <c r="AI1412" s="18"/>
      <c r="AJ1412" s="18"/>
    </row>
    <row r="1413" spans="1:38" ht="26.65" customHeight="1" x14ac:dyDescent="0.25">
      <c r="A1413" s="10" t="s">
        <v>8390</v>
      </c>
      <c r="B1413" s="9" t="s">
        <v>8391</v>
      </c>
      <c r="C1413" s="9" t="s">
        <v>34</v>
      </c>
      <c r="D1413" s="9" t="s">
        <v>8140</v>
      </c>
      <c r="E1413" s="9" t="s">
        <v>35</v>
      </c>
      <c r="F1413" s="9" t="s">
        <v>36</v>
      </c>
      <c r="G1413" s="9">
        <v>1</v>
      </c>
      <c r="H1413" s="9">
        <v>84219999</v>
      </c>
      <c r="I1413" s="11" t="s">
        <v>37</v>
      </c>
      <c r="J1413" s="12">
        <v>1.6500000000000001E-2</v>
      </c>
      <c r="K1413" s="12">
        <v>7.5999999999999998E-2</v>
      </c>
      <c r="L1413" s="12">
        <v>5.1999999999999998E-2</v>
      </c>
      <c r="M1413" s="13">
        <v>0</v>
      </c>
      <c r="N1413" s="14">
        <v>0.18099999999999999</v>
      </c>
      <c r="O1413" s="14">
        <v>0.19900000000000001</v>
      </c>
      <c r="P1413" s="15">
        <v>44958</v>
      </c>
      <c r="Q1413" s="16" t="s">
        <v>8392</v>
      </c>
      <c r="R1413" s="17" t="s">
        <v>8393</v>
      </c>
      <c r="S1413" s="17" t="s">
        <v>8394</v>
      </c>
      <c r="T1413" s="17" t="s">
        <v>35</v>
      </c>
      <c r="U1413" s="17" t="s">
        <v>35</v>
      </c>
      <c r="V1413" s="17" t="s">
        <v>35</v>
      </c>
      <c r="W1413" s="17" t="s">
        <v>35</v>
      </c>
      <c r="X1413" s="17" t="s">
        <v>35</v>
      </c>
      <c r="Y1413" s="17" t="s">
        <v>35</v>
      </c>
      <c r="Z1413" s="17" t="s">
        <v>8395</v>
      </c>
      <c r="AA1413" s="17" t="s">
        <v>35</v>
      </c>
      <c r="AB1413" s="17" t="s">
        <v>8396</v>
      </c>
      <c r="AC1413" s="17" t="s">
        <v>9539</v>
      </c>
      <c r="AD1413" s="41">
        <v>72.95</v>
      </c>
      <c r="AE1413" s="41">
        <v>76.739999999999995</v>
      </c>
      <c r="AF1413" s="48"/>
      <c r="AG1413" s="44"/>
      <c r="AH1413" s="7">
        <f t="shared" si="22"/>
        <v>0</v>
      </c>
      <c r="AI1413" s="18"/>
      <c r="AJ1413" s="18"/>
    </row>
    <row r="1414" spans="1:38" ht="26.65" customHeight="1" x14ac:dyDescent="0.25">
      <c r="A1414" s="10" t="s">
        <v>8743</v>
      </c>
      <c r="B1414" s="9" t="s">
        <v>8139</v>
      </c>
      <c r="C1414" s="9" t="s">
        <v>34</v>
      </c>
      <c r="D1414" s="9" t="s">
        <v>8140</v>
      </c>
      <c r="E1414" s="9" t="s">
        <v>35</v>
      </c>
      <c r="F1414" s="9" t="s">
        <v>36</v>
      </c>
      <c r="G1414" s="9">
        <v>1</v>
      </c>
      <c r="H1414" s="9">
        <v>84219999</v>
      </c>
      <c r="I1414" s="11" t="s">
        <v>37</v>
      </c>
      <c r="J1414" s="12">
        <v>1.6500000000000001E-2</v>
      </c>
      <c r="K1414" s="12">
        <v>7.5999999999999998E-2</v>
      </c>
      <c r="L1414" s="12">
        <v>5.1999999999999998E-2</v>
      </c>
      <c r="M1414" s="13" t="s">
        <v>8579</v>
      </c>
      <c r="N1414" s="14" t="s">
        <v>35</v>
      </c>
      <c r="O1414" s="14" t="s">
        <v>35</v>
      </c>
      <c r="P1414" s="15">
        <v>45292</v>
      </c>
      <c r="Q1414" s="16" t="s">
        <v>8744</v>
      </c>
      <c r="R1414" s="17" t="s">
        <v>35</v>
      </c>
      <c r="S1414" s="17" t="s">
        <v>35</v>
      </c>
      <c r="T1414" s="17" t="s">
        <v>35</v>
      </c>
      <c r="U1414" s="17" t="s">
        <v>35</v>
      </c>
      <c r="V1414" s="17" t="s">
        <v>35</v>
      </c>
      <c r="W1414" s="17" t="s">
        <v>35</v>
      </c>
      <c r="X1414" s="17" t="s">
        <v>35</v>
      </c>
      <c r="Y1414" s="17" t="s">
        <v>35</v>
      </c>
      <c r="Z1414" s="17" t="s">
        <v>8745</v>
      </c>
      <c r="AA1414" s="17" t="s">
        <v>35</v>
      </c>
      <c r="AB1414" s="17" t="s">
        <v>8746</v>
      </c>
      <c r="AC1414" s="17" t="s">
        <v>9539</v>
      </c>
      <c r="AD1414" s="41">
        <v>121.82</v>
      </c>
      <c r="AE1414" s="41">
        <v>128.15</v>
      </c>
      <c r="AF1414" s="48"/>
      <c r="AG1414" s="44"/>
      <c r="AH1414" s="7">
        <f t="shared" si="22"/>
        <v>0</v>
      </c>
      <c r="AI1414" s="18"/>
      <c r="AJ1414" s="18"/>
    </row>
    <row r="1415" spans="1:38" ht="26.65" customHeight="1" x14ac:dyDescent="0.25">
      <c r="A1415" s="10" t="s">
        <v>9743</v>
      </c>
      <c r="B1415" s="9" t="s">
        <v>8139</v>
      </c>
      <c r="C1415" s="9" t="s">
        <v>34</v>
      </c>
      <c r="D1415" s="9" t="s">
        <v>8140</v>
      </c>
      <c r="E1415" s="9" t="s">
        <v>35</v>
      </c>
      <c r="F1415" s="9" t="s">
        <v>36</v>
      </c>
      <c r="G1415" s="9">
        <v>1</v>
      </c>
      <c r="H1415" s="9">
        <v>84219999</v>
      </c>
      <c r="I1415" s="11" t="s">
        <v>37</v>
      </c>
      <c r="J1415" s="12">
        <v>1.6500000000000001E-2</v>
      </c>
      <c r="K1415" s="12">
        <v>7.5999999999999998E-2</v>
      </c>
      <c r="L1415" s="12">
        <v>5.1999999999999998E-2</v>
      </c>
      <c r="M1415" s="13" t="s">
        <v>35</v>
      </c>
      <c r="N1415" s="14" t="s">
        <v>35</v>
      </c>
      <c r="O1415" s="14" t="s">
        <v>35</v>
      </c>
      <c r="P1415" s="15">
        <v>45474</v>
      </c>
      <c r="Q1415" s="16" t="s">
        <v>9744</v>
      </c>
      <c r="R1415" s="17" t="s">
        <v>35</v>
      </c>
      <c r="S1415" s="17" t="s">
        <v>35</v>
      </c>
      <c r="T1415" s="17" t="s">
        <v>35</v>
      </c>
      <c r="U1415" s="17" t="s">
        <v>35</v>
      </c>
      <c r="V1415" s="17" t="s">
        <v>35</v>
      </c>
      <c r="W1415" s="17" t="s">
        <v>35</v>
      </c>
      <c r="X1415" s="17" t="s">
        <v>35</v>
      </c>
      <c r="Y1415" s="17" t="s">
        <v>35</v>
      </c>
      <c r="Z1415" s="17" t="s">
        <v>2657</v>
      </c>
      <c r="AA1415" s="17" t="s">
        <v>9745</v>
      </c>
      <c r="AB1415" s="17" t="s">
        <v>9746</v>
      </c>
      <c r="AC1415" s="17" t="s">
        <v>9539</v>
      </c>
      <c r="AD1415" s="41">
        <v>91.41</v>
      </c>
      <c r="AE1415" s="41">
        <v>96.16</v>
      </c>
      <c r="AF1415" s="48"/>
      <c r="AG1415" s="44"/>
      <c r="AH1415" s="7">
        <f t="shared" si="22"/>
        <v>0</v>
      </c>
      <c r="AI1415" s="18"/>
      <c r="AJ1415" s="18"/>
    </row>
    <row r="1416" spans="1:38" ht="26.65" customHeight="1" x14ac:dyDescent="0.25">
      <c r="A1416" s="10" t="s">
        <v>9006</v>
      </c>
      <c r="B1416" s="9" t="s">
        <v>8139</v>
      </c>
      <c r="C1416" s="9" t="s">
        <v>34</v>
      </c>
      <c r="D1416" s="9" t="s">
        <v>8140</v>
      </c>
      <c r="E1416" s="9" t="s">
        <v>35</v>
      </c>
      <c r="F1416" s="9" t="s">
        <v>36</v>
      </c>
      <c r="G1416" s="9">
        <v>1</v>
      </c>
      <c r="H1416" s="9">
        <v>84219999</v>
      </c>
      <c r="I1416" s="11" t="s">
        <v>37</v>
      </c>
      <c r="J1416" s="12">
        <v>1.6500000000000001E-2</v>
      </c>
      <c r="K1416" s="12">
        <v>7.5999999999999998E-2</v>
      </c>
      <c r="L1416" s="12">
        <v>5.1999999999999998E-2</v>
      </c>
      <c r="M1416" s="13" t="s">
        <v>35</v>
      </c>
      <c r="N1416" s="14" t="s">
        <v>35</v>
      </c>
      <c r="O1416" s="14" t="s">
        <v>35</v>
      </c>
      <c r="P1416" s="15">
        <v>45352</v>
      </c>
      <c r="Q1416" s="16" t="s">
        <v>35</v>
      </c>
      <c r="R1416" s="17" t="s">
        <v>35</v>
      </c>
      <c r="S1416" s="17" t="s">
        <v>35</v>
      </c>
      <c r="T1416" s="17" t="s">
        <v>35</v>
      </c>
      <c r="U1416" s="17" t="s">
        <v>35</v>
      </c>
      <c r="V1416" s="17" t="s">
        <v>35</v>
      </c>
      <c r="W1416" s="17" t="s">
        <v>35</v>
      </c>
      <c r="X1416" s="17" t="s">
        <v>35</v>
      </c>
      <c r="Y1416" s="17" t="s">
        <v>35</v>
      </c>
      <c r="Z1416" s="17" t="s">
        <v>35</v>
      </c>
      <c r="AA1416" s="17" t="s">
        <v>35</v>
      </c>
      <c r="AB1416" s="17" t="s">
        <v>35</v>
      </c>
      <c r="AC1416" s="17" t="s">
        <v>9539</v>
      </c>
      <c r="AD1416" s="41">
        <v>81.45</v>
      </c>
      <c r="AE1416" s="41">
        <v>85.69</v>
      </c>
      <c r="AF1416" s="48"/>
      <c r="AG1416" s="44"/>
      <c r="AH1416" s="7">
        <f t="shared" si="22"/>
        <v>0</v>
      </c>
      <c r="AI1416" s="18"/>
      <c r="AJ1416" s="18"/>
    </row>
    <row r="1417" spans="1:38" ht="26.65" customHeight="1" x14ac:dyDescent="0.25">
      <c r="A1417" s="10" t="s">
        <v>8747</v>
      </c>
      <c r="B1417" s="9" t="s">
        <v>8139</v>
      </c>
      <c r="C1417" s="9" t="s">
        <v>34</v>
      </c>
      <c r="D1417" s="9" t="s">
        <v>8140</v>
      </c>
      <c r="E1417" s="9" t="s">
        <v>35</v>
      </c>
      <c r="F1417" s="9" t="s">
        <v>36</v>
      </c>
      <c r="G1417" s="9">
        <v>1</v>
      </c>
      <c r="H1417" s="9">
        <v>84219999</v>
      </c>
      <c r="I1417" s="11" t="s">
        <v>37</v>
      </c>
      <c r="J1417" s="12">
        <v>1.6500000000000001E-2</v>
      </c>
      <c r="K1417" s="12">
        <v>7.5999999999999998E-2</v>
      </c>
      <c r="L1417" s="12">
        <v>5.1999999999999998E-2</v>
      </c>
      <c r="M1417" s="13" t="s">
        <v>8579</v>
      </c>
      <c r="N1417" s="14" t="s">
        <v>35</v>
      </c>
      <c r="O1417" s="14" t="s">
        <v>35</v>
      </c>
      <c r="P1417" s="15">
        <v>45292</v>
      </c>
      <c r="Q1417" s="16" t="s">
        <v>35</v>
      </c>
      <c r="R1417" s="17" t="s">
        <v>35</v>
      </c>
      <c r="S1417" s="17" t="s">
        <v>8748</v>
      </c>
      <c r="T1417" s="17" t="s">
        <v>35</v>
      </c>
      <c r="U1417" s="17" t="s">
        <v>35</v>
      </c>
      <c r="V1417" s="17" t="s">
        <v>35</v>
      </c>
      <c r="W1417" s="17" t="s">
        <v>35</v>
      </c>
      <c r="X1417" s="17" t="s">
        <v>35</v>
      </c>
      <c r="Y1417" s="17" t="s">
        <v>35</v>
      </c>
      <c r="Z1417" s="17" t="s">
        <v>35</v>
      </c>
      <c r="AA1417" s="17" t="s">
        <v>8749</v>
      </c>
      <c r="AB1417" s="17" t="s">
        <v>35</v>
      </c>
      <c r="AC1417" s="17" t="s">
        <v>9539</v>
      </c>
      <c r="AD1417" s="41">
        <v>91.54</v>
      </c>
      <c r="AE1417" s="41">
        <v>96.3</v>
      </c>
      <c r="AF1417" s="48"/>
      <c r="AG1417" s="44"/>
      <c r="AH1417" s="7">
        <f t="shared" si="22"/>
        <v>0</v>
      </c>
      <c r="AI1417" s="18"/>
      <c r="AJ1417" s="18"/>
    </row>
    <row r="1418" spans="1:38" ht="26.65" customHeight="1" x14ac:dyDescent="0.25">
      <c r="A1418" s="10" t="s">
        <v>9007</v>
      </c>
      <c r="B1418" s="9" t="s">
        <v>8190</v>
      </c>
      <c r="C1418" s="9" t="s">
        <v>34</v>
      </c>
      <c r="D1418" s="9" t="s">
        <v>8140</v>
      </c>
      <c r="E1418" s="9" t="s">
        <v>122</v>
      </c>
      <c r="F1418" s="9" t="s">
        <v>36</v>
      </c>
      <c r="G1418" s="9">
        <v>1</v>
      </c>
      <c r="H1418" s="9">
        <v>84219999</v>
      </c>
      <c r="I1418" s="11" t="s">
        <v>37</v>
      </c>
      <c r="J1418" s="12">
        <v>1.6500000000000001E-2</v>
      </c>
      <c r="K1418" s="12">
        <v>7.5999999999999998E-2</v>
      </c>
      <c r="L1418" s="12">
        <v>5.1999999999999998E-2</v>
      </c>
      <c r="M1418" s="13">
        <v>8003453070882</v>
      </c>
      <c r="N1418" s="14">
        <v>0</v>
      </c>
      <c r="O1418" s="14">
        <v>0</v>
      </c>
      <c r="P1418" s="15">
        <v>45323</v>
      </c>
      <c r="Q1418" s="16" t="s">
        <v>9008</v>
      </c>
      <c r="R1418" s="17" t="s">
        <v>9009</v>
      </c>
      <c r="S1418" s="17" t="s">
        <v>35</v>
      </c>
      <c r="T1418" s="17" t="s">
        <v>35</v>
      </c>
      <c r="U1418" s="17" t="s">
        <v>35</v>
      </c>
      <c r="V1418" s="17" t="s">
        <v>35</v>
      </c>
      <c r="W1418" s="17" t="s">
        <v>35</v>
      </c>
      <c r="X1418" s="17" t="s">
        <v>35</v>
      </c>
      <c r="Y1418" s="17" t="s">
        <v>35</v>
      </c>
      <c r="Z1418" s="17" t="s">
        <v>35</v>
      </c>
      <c r="AA1418" s="17" t="s">
        <v>35</v>
      </c>
      <c r="AB1418" s="17" t="s">
        <v>9010</v>
      </c>
      <c r="AC1418" s="17" t="s">
        <v>9539</v>
      </c>
      <c r="AD1418" s="41">
        <v>230.59</v>
      </c>
      <c r="AE1418" s="41">
        <v>242.58</v>
      </c>
      <c r="AF1418" s="48"/>
      <c r="AG1418" s="44"/>
      <c r="AH1418" s="7">
        <f t="shared" si="22"/>
        <v>0</v>
      </c>
      <c r="AI1418" s="18"/>
      <c r="AJ1418" s="18"/>
    </row>
    <row r="1419" spans="1:38" ht="26.65" customHeight="1" x14ac:dyDescent="0.25">
      <c r="A1419" s="10" t="s">
        <v>8750</v>
      </c>
      <c r="B1419" s="9" t="s">
        <v>8139</v>
      </c>
      <c r="C1419" s="9" t="s">
        <v>34</v>
      </c>
      <c r="D1419" s="9" t="s">
        <v>8140</v>
      </c>
      <c r="E1419" s="9" t="s">
        <v>35</v>
      </c>
      <c r="F1419" s="9" t="s">
        <v>36</v>
      </c>
      <c r="G1419" s="9">
        <v>1</v>
      </c>
      <c r="H1419" s="9">
        <v>84219999</v>
      </c>
      <c r="I1419" s="11" t="s">
        <v>37</v>
      </c>
      <c r="J1419" s="12">
        <v>1.6500000000000001E-2</v>
      </c>
      <c r="K1419" s="12">
        <v>7.5999999999999998E-2</v>
      </c>
      <c r="L1419" s="12">
        <v>5.1999999999999998E-2</v>
      </c>
      <c r="M1419" s="13" t="s">
        <v>8579</v>
      </c>
      <c r="N1419" s="14" t="s">
        <v>35</v>
      </c>
      <c r="O1419" s="14" t="s">
        <v>35</v>
      </c>
      <c r="P1419" s="15">
        <v>45292</v>
      </c>
      <c r="Q1419" s="16" t="s">
        <v>35</v>
      </c>
      <c r="R1419" s="17" t="s">
        <v>35</v>
      </c>
      <c r="S1419" s="17" t="s">
        <v>8751</v>
      </c>
      <c r="T1419" s="17" t="s">
        <v>35</v>
      </c>
      <c r="U1419" s="17" t="s">
        <v>35</v>
      </c>
      <c r="V1419" s="17" t="s">
        <v>35</v>
      </c>
      <c r="W1419" s="17" t="s">
        <v>35</v>
      </c>
      <c r="X1419" s="17" t="s">
        <v>35</v>
      </c>
      <c r="Y1419" s="17" t="s">
        <v>35</v>
      </c>
      <c r="Z1419" s="17" t="s">
        <v>8752</v>
      </c>
      <c r="AA1419" s="17" t="s">
        <v>35</v>
      </c>
      <c r="AB1419" s="17" t="s">
        <v>8753</v>
      </c>
      <c r="AC1419" s="17" t="s">
        <v>9539</v>
      </c>
      <c r="AD1419" s="41">
        <v>125.01</v>
      </c>
      <c r="AE1419" s="41">
        <v>131.51</v>
      </c>
      <c r="AF1419" s="48"/>
      <c r="AG1419" s="44"/>
      <c r="AH1419" s="7">
        <f t="shared" si="22"/>
        <v>0</v>
      </c>
      <c r="AI1419" s="18"/>
      <c r="AJ1419" s="18"/>
    </row>
    <row r="1420" spans="1:38" ht="26.65" customHeight="1" x14ac:dyDescent="0.25">
      <c r="A1420" s="10" t="s">
        <v>8397</v>
      </c>
      <c r="B1420" s="9" t="s">
        <v>8398</v>
      </c>
      <c r="C1420" s="9" t="s">
        <v>34</v>
      </c>
      <c r="D1420" s="9" t="s">
        <v>8140</v>
      </c>
      <c r="E1420" s="9" t="s">
        <v>35</v>
      </c>
      <c r="F1420" s="9" t="s">
        <v>36</v>
      </c>
      <c r="G1420" s="9">
        <v>1</v>
      </c>
      <c r="H1420" s="9">
        <v>84219999</v>
      </c>
      <c r="I1420" s="11" t="s">
        <v>37</v>
      </c>
      <c r="J1420" s="12">
        <v>1.6500000000000001E-2</v>
      </c>
      <c r="K1420" s="12">
        <v>7.5999999999999998E-2</v>
      </c>
      <c r="L1420" s="12">
        <v>5.1999999999999998E-2</v>
      </c>
      <c r="M1420" s="13">
        <v>8003453070875</v>
      </c>
      <c r="N1420" s="14">
        <v>0.27900000000000003</v>
      </c>
      <c r="O1420" s="14">
        <v>0.31</v>
      </c>
      <c r="P1420" s="15">
        <v>44958</v>
      </c>
      <c r="Q1420" s="16" t="s">
        <v>8399</v>
      </c>
      <c r="R1420" s="17" t="s">
        <v>8400</v>
      </c>
      <c r="S1420" s="17" t="s">
        <v>35</v>
      </c>
      <c r="T1420" s="17" t="s">
        <v>35</v>
      </c>
      <c r="U1420" s="17" t="s">
        <v>35</v>
      </c>
      <c r="V1420" s="17" t="s">
        <v>35</v>
      </c>
      <c r="W1420" s="17" t="s">
        <v>35</v>
      </c>
      <c r="X1420" s="17" t="s">
        <v>35</v>
      </c>
      <c r="Y1420" s="17" t="s">
        <v>35</v>
      </c>
      <c r="Z1420" s="17" t="s">
        <v>8401</v>
      </c>
      <c r="AA1420" s="17" t="s">
        <v>35</v>
      </c>
      <c r="AB1420" s="17" t="s">
        <v>8402</v>
      </c>
      <c r="AC1420" s="17" t="s">
        <v>9539</v>
      </c>
      <c r="AD1420" s="41">
        <v>337.3</v>
      </c>
      <c r="AE1420" s="41">
        <v>354.84</v>
      </c>
      <c r="AF1420" s="48"/>
      <c r="AG1420" s="44"/>
      <c r="AH1420" s="7">
        <f t="shared" si="22"/>
        <v>0</v>
      </c>
      <c r="AI1420" s="18"/>
      <c r="AJ1420" s="18"/>
    </row>
    <row r="1421" spans="1:38" ht="26.65" customHeight="1" x14ac:dyDescent="0.25">
      <c r="A1421" s="10" t="s">
        <v>9011</v>
      </c>
      <c r="B1421" s="9" t="s">
        <v>8139</v>
      </c>
      <c r="C1421" s="9" t="s">
        <v>34</v>
      </c>
      <c r="D1421" s="9" t="s">
        <v>8140</v>
      </c>
      <c r="E1421" s="9" t="s">
        <v>35</v>
      </c>
      <c r="F1421" s="9" t="s">
        <v>36</v>
      </c>
      <c r="G1421" s="9">
        <v>1</v>
      </c>
      <c r="H1421" s="9">
        <v>84219999</v>
      </c>
      <c r="I1421" s="11" t="s">
        <v>37</v>
      </c>
      <c r="J1421" s="12">
        <v>1.6500000000000001E-2</v>
      </c>
      <c r="K1421" s="12">
        <v>7.5999999999999998E-2</v>
      </c>
      <c r="L1421" s="12">
        <v>5.1999999999999998E-2</v>
      </c>
      <c r="M1421" s="13" t="s">
        <v>35</v>
      </c>
      <c r="N1421" s="14" t="s">
        <v>35</v>
      </c>
      <c r="O1421" s="14" t="s">
        <v>35</v>
      </c>
      <c r="P1421" s="15">
        <v>45352</v>
      </c>
      <c r="Q1421" s="16" t="s">
        <v>35</v>
      </c>
      <c r="R1421" s="17" t="s">
        <v>35</v>
      </c>
      <c r="S1421" s="17" t="s">
        <v>35</v>
      </c>
      <c r="T1421" s="17" t="s">
        <v>35</v>
      </c>
      <c r="U1421" s="17" t="s">
        <v>35</v>
      </c>
      <c r="V1421" s="17" t="s">
        <v>35</v>
      </c>
      <c r="W1421" s="17" t="s">
        <v>35</v>
      </c>
      <c r="X1421" s="17" t="s">
        <v>35</v>
      </c>
      <c r="Y1421" s="17" t="s">
        <v>35</v>
      </c>
      <c r="Z1421" s="17" t="s">
        <v>35</v>
      </c>
      <c r="AA1421" s="17" t="s">
        <v>35</v>
      </c>
      <c r="AB1421" s="17" t="s">
        <v>35</v>
      </c>
      <c r="AC1421" s="17" t="s">
        <v>9539</v>
      </c>
      <c r="AD1421" s="41">
        <v>160.91999999999999</v>
      </c>
      <c r="AE1421" s="41">
        <v>169.29</v>
      </c>
      <c r="AF1421" s="48"/>
      <c r="AG1421" s="44"/>
      <c r="AH1421" s="7">
        <f t="shared" si="22"/>
        <v>0</v>
      </c>
      <c r="AI1421" s="18"/>
      <c r="AJ1421" s="18"/>
    </row>
    <row r="1422" spans="1:38" ht="26.65" customHeight="1" x14ac:dyDescent="0.25">
      <c r="A1422" s="10" t="s">
        <v>8403</v>
      </c>
      <c r="B1422" s="9" t="s">
        <v>8404</v>
      </c>
      <c r="C1422" s="9" t="s">
        <v>34</v>
      </c>
      <c r="D1422" s="9" t="s">
        <v>8140</v>
      </c>
      <c r="E1422" s="9" t="s">
        <v>35</v>
      </c>
      <c r="F1422" s="9" t="s">
        <v>36</v>
      </c>
      <c r="G1422" s="9">
        <v>1</v>
      </c>
      <c r="H1422" s="9">
        <v>84219999</v>
      </c>
      <c r="I1422" s="11" t="s">
        <v>37</v>
      </c>
      <c r="J1422" s="12">
        <v>1.6500000000000001E-2</v>
      </c>
      <c r="K1422" s="12">
        <v>7.5999999999999998E-2</v>
      </c>
      <c r="L1422" s="12">
        <v>5.1999999999999998E-2</v>
      </c>
      <c r="M1422" s="13" t="s">
        <v>8579</v>
      </c>
      <c r="N1422" s="14">
        <v>0</v>
      </c>
      <c r="O1422" s="14">
        <v>0</v>
      </c>
      <c r="P1422" s="15">
        <v>44958</v>
      </c>
      <c r="Q1422" s="16" t="s">
        <v>35</v>
      </c>
      <c r="R1422" s="17" t="s">
        <v>35</v>
      </c>
      <c r="S1422" s="17" t="s">
        <v>35</v>
      </c>
      <c r="T1422" s="17" t="s">
        <v>35</v>
      </c>
      <c r="U1422" s="17" t="s">
        <v>35</v>
      </c>
      <c r="V1422" s="17" t="s">
        <v>35</v>
      </c>
      <c r="W1422" s="17" t="s">
        <v>35</v>
      </c>
      <c r="X1422" s="17" t="s">
        <v>35</v>
      </c>
      <c r="Y1422" s="17" t="s">
        <v>35</v>
      </c>
      <c r="Z1422" s="17" t="s">
        <v>8405</v>
      </c>
      <c r="AA1422" s="17" t="s">
        <v>8406</v>
      </c>
      <c r="AB1422" s="17" t="s">
        <v>8407</v>
      </c>
      <c r="AC1422" s="17" t="s">
        <v>9539</v>
      </c>
      <c r="AD1422" s="41">
        <v>131.51</v>
      </c>
      <c r="AE1422" s="41">
        <v>138.35</v>
      </c>
      <c r="AF1422" s="48"/>
      <c r="AG1422" s="44"/>
      <c r="AH1422" s="7">
        <f t="shared" si="22"/>
        <v>0</v>
      </c>
      <c r="AI1422" s="18"/>
      <c r="AJ1422" s="18"/>
    </row>
    <row r="1423" spans="1:38" ht="26.65" customHeight="1" x14ac:dyDescent="0.25">
      <c r="A1423" s="10" t="s">
        <v>8754</v>
      </c>
      <c r="B1423" s="9" t="s">
        <v>8139</v>
      </c>
      <c r="C1423" s="9" t="s">
        <v>34</v>
      </c>
      <c r="D1423" s="9" t="s">
        <v>8140</v>
      </c>
      <c r="E1423" s="9" t="s">
        <v>35</v>
      </c>
      <c r="F1423" s="9" t="s">
        <v>36</v>
      </c>
      <c r="G1423" s="9">
        <v>1</v>
      </c>
      <c r="H1423" s="9">
        <v>84219999</v>
      </c>
      <c r="I1423" s="11" t="s">
        <v>37</v>
      </c>
      <c r="J1423" s="12">
        <v>1.6500000000000001E-2</v>
      </c>
      <c r="K1423" s="12">
        <v>7.5999999999999998E-2</v>
      </c>
      <c r="L1423" s="12">
        <v>5.1999999999999998E-2</v>
      </c>
      <c r="M1423" s="13" t="s">
        <v>8579</v>
      </c>
      <c r="N1423" s="14" t="s">
        <v>35</v>
      </c>
      <c r="O1423" s="14" t="s">
        <v>35</v>
      </c>
      <c r="P1423" s="15">
        <v>45292</v>
      </c>
      <c r="Q1423" s="16" t="s">
        <v>35</v>
      </c>
      <c r="R1423" s="17" t="s">
        <v>35</v>
      </c>
      <c r="S1423" s="17" t="s">
        <v>35</v>
      </c>
      <c r="T1423" s="17" t="s">
        <v>35</v>
      </c>
      <c r="U1423" s="17" t="s">
        <v>35</v>
      </c>
      <c r="V1423" s="17" t="s">
        <v>35</v>
      </c>
      <c r="W1423" s="17" t="s">
        <v>35</v>
      </c>
      <c r="X1423" s="17" t="s">
        <v>35</v>
      </c>
      <c r="Y1423" s="17" t="s">
        <v>35</v>
      </c>
      <c r="Z1423" s="17" t="s">
        <v>8755</v>
      </c>
      <c r="AA1423" s="17" t="s">
        <v>8756</v>
      </c>
      <c r="AB1423" s="17" t="s">
        <v>8757</v>
      </c>
      <c r="AC1423" s="17" t="s">
        <v>9539</v>
      </c>
      <c r="AD1423" s="41">
        <v>111.98</v>
      </c>
      <c r="AE1423" s="41">
        <v>117.8</v>
      </c>
      <c r="AF1423" s="48"/>
      <c r="AG1423" s="44"/>
      <c r="AH1423" s="7">
        <f t="shared" si="22"/>
        <v>0</v>
      </c>
      <c r="AI1423" s="18"/>
      <c r="AJ1423" s="18"/>
    </row>
    <row r="1424" spans="1:38" ht="26.65" customHeight="1" x14ac:dyDescent="0.25">
      <c r="A1424" s="10" t="s">
        <v>9274</v>
      </c>
      <c r="B1424" s="9" t="s">
        <v>8139</v>
      </c>
      <c r="C1424" s="9" t="s">
        <v>34</v>
      </c>
      <c r="D1424" s="9" t="s">
        <v>8140</v>
      </c>
      <c r="E1424" s="9" t="s">
        <v>35</v>
      </c>
      <c r="F1424" s="9" t="s">
        <v>36</v>
      </c>
      <c r="G1424" s="9">
        <v>1</v>
      </c>
      <c r="H1424" s="9">
        <v>84219999</v>
      </c>
      <c r="I1424" s="11" t="s">
        <v>37</v>
      </c>
      <c r="J1424" s="12">
        <v>1.6500000000000001E-2</v>
      </c>
      <c r="K1424" s="12">
        <v>7.5999999999999998E-2</v>
      </c>
      <c r="L1424" s="12">
        <v>5.1999999999999998E-2</v>
      </c>
      <c r="M1424" s="13" t="s">
        <v>35</v>
      </c>
      <c r="N1424" s="14">
        <v>0</v>
      </c>
      <c r="O1424" s="14">
        <v>0</v>
      </c>
      <c r="P1424" s="15">
        <v>45413</v>
      </c>
      <c r="Q1424" s="16" t="s">
        <v>35</v>
      </c>
      <c r="R1424" s="17" t="s">
        <v>35</v>
      </c>
      <c r="S1424" s="17" t="s">
        <v>35</v>
      </c>
      <c r="T1424" s="17" t="s">
        <v>35</v>
      </c>
      <c r="U1424" s="17" t="s">
        <v>35</v>
      </c>
      <c r="V1424" s="17" t="s">
        <v>35</v>
      </c>
      <c r="W1424" s="17" t="s">
        <v>35</v>
      </c>
      <c r="X1424" s="17" t="s">
        <v>35</v>
      </c>
      <c r="Y1424" s="17" t="s">
        <v>35</v>
      </c>
      <c r="Z1424" s="17" t="s">
        <v>9275</v>
      </c>
      <c r="AA1424" s="17" t="s">
        <v>9276</v>
      </c>
      <c r="AB1424" s="17" t="s">
        <v>35</v>
      </c>
      <c r="AC1424" s="17" t="s">
        <v>9539</v>
      </c>
      <c r="AD1424" s="41">
        <v>243.63</v>
      </c>
      <c r="AE1424" s="41">
        <v>256.3</v>
      </c>
      <c r="AF1424" s="48"/>
      <c r="AG1424" s="44"/>
      <c r="AH1424" s="7">
        <f t="shared" si="22"/>
        <v>0</v>
      </c>
      <c r="AI1424" s="18"/>
      <c r="AJ1424" s="18"/>
    </row>
    <row r="1425" spans="1:36" ht="26.65" customHeight="1" x14ac:dyDescent="0.25">
      <c r="A1425" s="10" t="s">
        <v>9012</v>
      </c>
      <c r="B1425" s="9" t="s">
        <v>8190</v>
      </c>
      <c r="C1425" s="9" t="s">
        <v>34</v>
      </c>
      <c r="D1425" s="9" t="s">
        <v>8140</v>
      </c>
      <c r="E1425" s="9" t="s">
        <v>35</v>
      </c>
      <c r="F1425" s="9" t="s">
        <v>36</v>
      </c>
      <c r="G1425" s="9">
        <v>1</v>
      </c>
      <c r="H1425" s="9">
        <v>84219999</v>
      </c>
      <c r="I1425" s="11" t="s">
        <v>37</v>
      </c>
      <c r="J1425" s="12">
        <v>1.6500000000000001E-2</v>
      </c>
      <c r="K1425" s="12">
        <v>7.5999999999999998E-2</v>
      </c>
      <c r="L1425" s="12">
        <v>5.1999999999999998E-2</v>
      </c>
      <c r="M1425" s="13" t="s">
        <v>35</v>
      </c>
      <c r="N1425" s="14">
        <v>0</v>
      </c>
      <c r="O1425" s="14">
        <v>0</v>
      </c>
      <c r="P1425" s="15">
        <v>45323</v>
      </c>
      <c r="Q1425" s="16" t="s">
        <v>35</v>
      </c>
      <c r="R1425" s="17" t="s">
        <v>35</v>
      </c>
      <c r="S1425" s="17" t="s">
        <v>35</v>
      </c>
      <c r="T1425" s="17" t="s">
        <v>35</v>
      </c>
      <c r="U1425" s="17" t="s">
        <v>35</v>
      </c>
      <c r="V1425" s="17" t="s">
        <v>35</v>
      </c>
      <c r="W1425" s="17" t="s">
        <v>35</v>
      </c>
      <c r="X1425" s="17" t="s">
        <v>35</v>
      </c>
      <c r="Y1425" s="17" t="s">
        <v>35</v>
      </c>
      <c r="Z1425" s="17" t="s">
        <v>35</v>
      </c>
      <c r="AA1425" s="17" t="s">
        <v>35</v>
      </c>
      <c r="AB1425" s="17" t="s">
        <v>9013</v>
      </c>
      <c r="AC1425" s="17" t="s">
        <v>9539</v>
      </c>
      <c r="AD1425" s="41">
        <v>358.24</v>
      </c>
      <c r="AE1425" s="41">
        <v>376.87</v>
      </c>
      <c r="AF1425" s="48"/>
      <c r="AG1425" s="44"/>
      <c r="AH1425" s="7">
        <f t="shared" si="22"/>
        <v>0</v>
      </c>
      <c r="AI1425" s="18"/>
      <c r="AJ1425" s="18"/>
    </row>
    <row r="1426" spans="1:36" ht="26.65" customHeight="1" x14ac:dyDescent="0.25">
      <c r="A1426" s="10" t="s">
        <v>9485</v>
      </c>
      <c r="B1426" s="9" t="s">
        <v>8139</v>
      </c>
      <c r="C1426" s="9" t="s">
        <v>34</v>
      </c>
      <c r="D1426" s="9" t="s">
        <v>8140</v>
      </c>
      <c r="E1426" s="9" t="s">
        <v>122</v>
      </c>
      <c r="F1426" s="9" t="s">
        <v>36</v>
      </c>
      <c r="G1426" s="9">
        <v>1</v>
      </c>
      <c r="H1426" s="9">
        <v>84219999</v>
      </c>
      <c r="I1426" s="11" t="s">
        <v>37</v>
      </c>
      <c r="J1426" s="12">
        <v>1.6500000000000001E-2</v>
      </c>
      <c r="K1426" s="12">
        <v>7.5999999999999998E-2</v>
      </c>
      <c r="L1426" s="12">
        <v>5.1999999999999998E-2</v>
      </c>
      <c r="M1426" s="13" t="s">
        <v>35</v>
      </c>
      <c r="N1426" s="14">
        <v>0</v>
      </c>
      <c r="O1426" s="14">
        <v>0</v>
      </c>
      <c r="P1426" s="15">
        <v>45444</v>
      </c>
      <c r="Q1426" s="16" t="s">
        <v>9375</v>
      </c>
      <c r="R1426" s="17">
        <v>6832420</v>
      </c>
      <c r="S1426" s="17" t="s">
        <v>9486</v>
      </c>
      <c r="T1426" s="17" t="s">
        <v>35</v>
      </c>
      <c r="U1426" s="17" t="s">
        <v>35</v>
      </c>
      <c r="V1426" s="17" t="s">
        <v>35</v>
      </c>
      <c r="W1426" s="17" t="s">
        <v>35</v>
      </c>
      <c r="X1426" s="17" t="s">
        <v>35</v>
      </c>
      <c r="Y1426" s="17" t="s">
        <v>35</v>
      </c>
      <c r="Z1426" s="17" t="s">
        <v>8500</v>
      </c>
      <c r="AA1426" s="17" t="s">
        <v>35</v>
      </c>
      <c r="AB1426" s="17" t="s">
        <v>8501</v>
      </c>
      <c r="AC1426" s="17" t="s">
        <v>9539</v>
      </c>
      <c r="AD1426" s="41">
        <v>490.04</v>
      </c>
      <c r="AE1426" s="41">
        <v>515.52</v>
      </c>
      <c r="AF1426" s="48"/>
      <c r="AG1426" s="44"/>
      <c r="AH1426" s="7">
        <f t="shared" si="22"/>
        <v>0</v>
      </c>
      <c r="AI1426" s="18"/>
      <c r="AJ1426" s="18"/>
    </row>
    <row r="1427" spans="1:36" ht="26.65" customHeight="1" x14ac:dyDescent="0.25">
      <c r="A1427" s="10" t="s">
        <v>8408</v>
      </c>
      <c r="B1427" s="9" t="s">
        <v>8758</v>
      </c>
      <c r="C1427" s="9" t="s">
        <v>34</v>
      </c>
      <c r="D1427" s="9" t="s">
        <v>8140</v>
      </c>
      <c r="E1427" s="9" t="s">
        <v>35</v>
      </c>
      <c r="F1427" s="9" t="s">
        <v>36</v>
      </c>
      <c r="G1427" s="9">
        <v>1</v>
      </c>
      <c r="H1427" s="9">
        <v>84219999</v>
      </c>
      <c r="I1427" s="11" t="s">
        <v>37</v>
      </c>
      <c r="J1427" s="12">
        <v>1.6500000000000001E-2</v>
      </c>
      <c r="K1427" s="12">
        <v>7.5999999999999998E-2</v>
      </c>
      <c r="L1427" s="12">
        <v>5.1999999999999998E-2</v>
      </c>
      <c r="M1427" s="13">
        <v>0</v>
      </c>
      <c r="N1427" s="14">
        <v>0.57399999999999995</v>
      </c>
      <c r="O1427" s="14">
        <v>0.622</v>
      </c>
      <c r="P1427" s="15">
        <v>44868</v>
      </c>
      <c r="Q1427" s="16" t="s">
        <v>8409</v>
      </c>
      <c r="R1427" s="17" t="s">
        <v>8410</v>
      </c>
      <c r="S1427" s="17" t="s">
        <v>8411</v>
      </c>
      <c r="T1427" s="17" t="s">
        <v>35</v>
      </c>
      <c r="U1427" s="17" t="s">
        <v>35</v>
      </c>
      <c r="V1427" s="17" t="s">
        <v>35</v>
      </c>
      <c r="W1427" s="17" t="s">
        <v>35</v>
      </c>
      <c r="X1427" s="17" t="s">
        <v>35</v>
      </c>
      <c r="Y1427" s="17" t="s">
        <v>35</v>
      </c>
      <c r="Z1427" s="17" t="s">
        <v>8412</v>
      </c>
      <c r="AA1427" s="17" t="s">
        <v>8413</v>
      </c>
      <c r="AB1427" s="17" t="s">
        <v>8414</v>
      </c>
      <c r="AC1427" s="17" t="s">
        <v>9539</v>
      </c>
      <c r="AD1427" s="41">
        <v>175.03</v>
      </c>
      <c r="AE1427" s="41">
        <v>184.13</v>
      </c>
      <c r="AF1427" s="48"/>
      <c r="AG1427" s="44"/>
      <c r="AH1427" s="7">
        <f t="shared" si="22"/>
        <v>0</v>
      </c>
      <c r="AI1427" s="18"/>
      <c r="AJ1427" s="18"/>
    </row>
    <row r="1428" spans="1:36" ht="26.65" customHeight="1" x14ac:dyDescent="0.25">
      <c r="A1428" s="10" t="s">
        <v>9014</v>
      </c>
      <c r="B1428" s="9" t="s">
        <v>8190</v>
      </c>
      <c r="C1428" s="9" t="s">
        <v>34</v>
      </c>
      <c r="D1428" s="9" t="s">
        <v>8140</v>
      </c>
      <c r="E1428" s="9" t="s">
        <v>35</v>
      </c>
      <c r="F1428" s="9" t="s">
        <v>36</v>
      </c>
      <c r="G1428" s="9">
        <v>1</v>
      </c>
      <c r="H1428" s="9">
        <v>84219999</v>
      </c>
      <c r="I1428" s="11" t="s">
        <v>37</v>
      </c>
      <c r="J1428" s="12">
        <v>1.6500000000000001E-2</v>
      </c>
      <c r="K1428" s="12">
        <v>7.5999999999999998E-2</v>
      </c>
      <c r="L1428" s="12">
        <v>5.1999999999999998E-2</v>
      </c>
      <c r="M1428" s="13" t="s">
        <v>35</v>
      </c>
      <c r="N1428" s="14">
        <v>0</v>
      </c>
      <c r="O1428" s="14">
        <v>0</v>
      </c>
      <c r="P1428" s="15">
        <v>45323</v>
      </c>
      <c r="Q1428" s="16" t="s">
        <v>35</v>
      </c>
      <c r="R1428" s="17" t="s">
        <v>35</v>
      </c>
      <c r="S1428" s="17" t="s">
        <v>35</v>
      </c>
      <c r="T1428" s="17" t="s">
        <v>35</v>
      </c>
      <c r="U1428" s="17" t="s">
        <v>35</v>
      </c>
      <c r="V1428" s="17" t="s">
        <v>35</v>
      </c>
      <c r="W1428" s="17" t="s">
        <v>35</v>
      </c>
      <c r="X1428" s="17" t="s">
        <v>35</v>
      </c>
      <c r="Y1428" s="17" t="s">
        <v>35</v>
      </c>
      <c r="Z1428" s="17" t="s">
        <v>9015</v>
      </c>
      <c r="AA1428" s="17" t="s">
        <v>35</v>
      </c>
      <c r="AB1428" s="17" t="s">
        <v>35</v>
      </c>
      <c r="AC1428" s="17" t="s">
        <v>9539</v>
      </c>
      <c r="AD1428" s="41">
        <v>298.12</v>
      </c>
      <c r="AE1428" s="41">
        <v>313.62</v>
      </c>
      <c r="AF1428" s="48"/>
      <c r="AG1428" s="44"/>
      <c r="AH1428" s="7">
        <f t="shared" si="22"/>
        <v>0</v>
      </c>
      <c r="AI1428" s="18"/>
      <c r="AJ1428" s="18"/>
    </row>
    <row r="1429" spans="1:36" ht="26.65" customHeight="1" x14ac:dyDescent="0.25">
      <c r="A1429" s="10" t="s">
        <v>8759</v>
      </c>
      <c r="B1429" s="9" t="s">
        <v>8139</v>
      </c>
      <c r="C1429" s="9" t="s">
        <v>34</v>
      </c>
      <c r="D1429" s="9" t="s">
        <v>8140</v>
      </c>
      <c r="E1429" s="9" t="s">
        <v>35</v>
      </c>
      <c r="F1429" s="9" t="s">
        <v>36</v>
      </c>
      <c r="G1429" s="9">
        <v>1</v>
      </c>
      <c r="H1429" s="9">
        <v>84219999</v>
      </c>
      <c r="I1429" s="11" t="s">
        <v>37</v>
      </c>
      <c r="J1429" s="12">
        <v>1.6500000000000001E-2</v>
      </c>
      <c r="K1429" s="12">
        <v>7.5999999999999998E-2</v>
      </c>
      <c r="L1429" s="12">
        <v>5.1999999999999998E-2</v>
      </c>
      <c r="M1429" s="13" t="s">
        <v>8579</v>
      </c>
      <c r="N1429" s="14" t="s">
        <v>35</v>
      </c>
      <c r="O1429" s="14" t="s">
        <v>35</v>
      </c>
      <c r="P1429" s="15">
        <v>45292</v>
      </c>
      <c r="Q1429" s="16" t="s">
        <v>35</v>
      </c>
      <c r="R1429" s="17" t="s">
        <v>8760</v>
      </c>
      <c r="S1429" s="17" t="s">
        <v>35</v>
      </c>
      <c r="T1429" s="17" t="s">
        <v>35</v>
      </c>
      <c r="U1429" s="17" t="s">
        <v>35</v>
      </c>
      <c r="V1429" s="17" t="s">
        <v>35</v>
      </c>
      <c r="W1429" s="17" t="s">
        <v>35</v>
      </c>
      <c r="X1429" s="17" t="s">
        <v>35</v>
      </c>
      <c r="Y1429" s="17" t="s">
        <v>35</v>
      </c>
      <c r="Z1429" s="17" t="s">
        <v>8761</v>
      </c>
      <c r="AA1429" s="17" t="s">
        <v>35</v>
      </c>
      <c r="AB1429" s="17" t="s">
        <v>8762</v>
      </c>
      <c r="AC1429" s="17" t="s">
        <v>9539</v>
      </c>
      <c r="AD1429" s="41">
        <v>100.39</v>
      </c>
      <c r="AE1429" s="41">
        <v>105.61</v>
      </c>
      <c r="AF1429" s="48"/>
      <c r="AG1429" s="44"/>
      <c r="AH1429" s="7">
        <f t="shared" si="22"/>
        <v>0</v>
      </c>
      <c r="AI1429" s="18"/>
      <c r="AJ1429" s="18"/>
    </row>
    <row r="1430" spans="1:36" ht="26.65" customHeight="1" x14ac:dyDescent="0.25">
      <c r="A1430" s="10" t="s">
        <v>9487</v>
      </c>
      <c r="B1430" s="9" t="s">
        <v>8139</v>
      </c>
      <c r="C1430" s="9" t="s">
        <v>34</v>
      </c>
      <c r="D1430" s="9" t="s">
        <v>8140</v>
      </c>
      <c r="E1430" s="9" t="s">
        <v>122</v>
      </c>
      <c r="F1430" s="9" t="s">
        <v>36</v>
      </c>
      <c r="G1430" s="9">
        <v>1</v>
      </c>
      <c r="H1430" s="9">
        <v>84219999</v>
      </c>
      <c r="I1430" s="11" t="s">
        <v>37</v>
      </c>
      <c r="J1430" s="12">
        <v>1.6500000000000001E-2</v>
      </c>
      <c r="K1430" s="12">
        <v>7.5999999999999998E-2</v>
      </c>
      <c r="L1430" s="12">
        <v>5.1999999999999998E-2</v>
      </c>
      <c r="M1430" s="13" t="s">
        <v>35</v>
      </c>
      <c r="N1430" s="14">
        <v>0</v>
      </c>
      <c r="O1430" s="14">
        <v>0</v>
      </c>
      <c r="P1430" s="15">
        <v>45444</v>
      </c>
      <c r="Q1430" s="16" t="s">
        <v>9488</v>
      </c>
      <c r="R1430" s="17" t="s">
        <v>9489</v>
      </c>
      <c r="S1430" s="17" t="s">
        <v>35</v>
      </c>
      <c r="T1430" s="17" t="s">
        <v>35</v>
      </c>
      <c r="U1430" s="17" t="s">
        <v>35</v>
      </c>
      <c r="V1430" s="17" t="s">
        <v>35</v>
      </c>
      <c r="W1430" s="17" t="s">
        <v>35</v>
      </c>
      <c r="X1430" s="17" t="s">
        <v>35</v>
      </c>
      <c r="Y1430" s="17" t="s">
        <v>35</v>
      </c>
      <c r="Z1430" s="17" t="s">
        <v>35</v>
      </c>
      <c r="AA1430" s="17" t="s">
        <v>35</v>
      </c>
      <c r="AB1430" s="17" t="s">
        <v>9490</v>
      </c>
      <c r="AC1430" s="17" t="s">
        <v>9539</v>
      </c>
      <c r="AD1430" s="41">
        <v>98.86</v>
      </c>
      <c r="AE1430" s="41">
        <v>104</v>
      </c>
      <c r="AF1430" s="48"/>
      <c r="AG1430" s="44"/>
      <c r="AH1430" s="7">
        <f t="shared" si="22"/>
        <v>0</v>
      </c>
      <c r="AI1430" s="18"/>
      <c r="AJ1430" s="18"/>
    </row>
    <row r="1431" spans="1:36" ht="26.65" customHeight="1" x14ac:dyDescent="0.25">
      <c r="A1431" s="10" t="s">
        <v>9202</v>
      </c>
      <c r="B1431" s="9" t="s">
        <v>8139</v>
      </c>
      <c r="C1431" s="9" t="s">
        <v>34</v>
      </c>
      <c r="D1431" s="9" t="s">
        <v>8140</v>
      </c>
      <c r="E1431" s="9" t="s">
        <v>35</v>
      </c>
      <c r="F1431" s="9" t="s">
        <v>36</v>
      </c>
      <c r="G1431" s="9">
        <v>1</v>
      </c>
      <c r="H1431" s="9">
        <v>84219999</v>
      </c>
      <c r="I1431" s="11" t="s">
        <v>37</v>
      </c>
      <c r="J1431" s="12">
        <v>1.6500000000000001E-2</v>
      </c>
      <c r="K1431" s="12">
        <v>7.5999999999999998E-2</v>
      </c>
      <c r="L1431" s="12">
        <v>5.1999999999999998E-2</v>
      </c>
      <c r="M1431" s="13" t="s">
        <v>35</v>
      </c>
      <c r="N1431" s="14" t="s">
        <v>35</v>
      </c>
      <c r="O1431" s="14" t="s">
        <v>35</v>
      </c>
      <c r="P1431" s="15">
        <v>45383</v>
      </c>
      <c r="Q1431" s="16" t="s">
        <v>35</v>
      </c>
      <c r="R1431" s="17" t="s">
        <v>35</v>
      </c>
      <c r="S1431" s="17" t="s">
        <v>9203</v>
      </c>
      <c r="T1431" s="17" t="s">
        <v>35</v>
      </c>
      <c r="U1431" s="17" t="s">
        <v>35</v>
      </c>
      <c r="V1431" s="17" t="s">
        <v>35</v>
      </c>
      <c r="W1431" s="17" t="s">
        <v>35</v>
      </c>
      <c r="X1431" s="17" t="s">
        <v>35</v>
      </c>
      <c r="Y1431" s="17" t="s">
        <v>35</v>
      </c>
      <c r="Z1431" s="17" t="s">
        <v>9204</v>
      </c>
      <c r="AA1431" s="17" t="s">
        <v>35</v>
      </c>
      <c r="AB1431" s="17" t="s">
        <v>9205</v>
      </c>
      <c r="AC1431" s="17" t="s">
        <v>9539</v>
      </c>
      <c r="AD1431" s="41">
        <v>201.37</v>
      </c>
      <c r="AE1431" s="41">
        <v>211.84</v>
      </c>
      <c r="AF1431" s="48"/>
      <c r="AG1431" s="44"/>
      <c r="AH1431" s="7">
        <f t="shared" si="22"/>
        <v>0</v>
      </c>
      <c r="AI1431" s="18"/>
      <c r="AJ1431" s="18"/>
    </row>
    <row r="1432" spans="1:36" ht="26.65" customHeight="1" x14ac:dyDescent="0.25">
      <c r="A1432" s="10" t="s">
        <v>9016</v>
      </c>
      <c r="B1432" s="9" t="s">
        <v>8139</v>
      </c>
      <c r="C1432" s="9" t="s">
        <v>34</v>
      </c>
      <c r="D1432" s="9" t="s">
        <v>8140</v>
      </c>
      <c r="E1432" s="9" t="s">
        <v>35</v>
      </c>
      <c r="F1432" s="9" t="s">
        <v>36</v>
      </c>
      <c r="G1432" s="9">
        <v>1</v>
      </c>
      <c r="H1432" s="9">
        <v>84219999</v>
      </c>
      <c r="I1432" s="11" t="s">
        <v>37</v>
      </c>
      <c r="J1432" s="12">
        <v>1.6500000000000001E-2</v>
      </c>
      <c r="K1432" s="12">
        <v>7.5999999999999998E-2</v>
      </c>
      <c r="L1432" s="12">
        <v>5.1999999999999998E-2</v>
      </c>
      <c r="M1432" s="13" t="s">
        <v>35</v>
      </c>
      <c r="N1432" s="14" t="s">
        <v>35</v>
      </c>
      <c r="O1432" s="14" t="s">
        <v>35</v>
      </c>
      <c r="P1432" s="15">
        <v>45352</v>
      </c>
      <c r="Q1432" s="16" t="s">
        <v>35</v>
      </c>
      <c r="R1432" s="17" t="s">
        <v>35</v>
      </c>
      <c r="S1432" s="17" t="s">
        <v>35</v>
      </c>
      <c r="T1432" s="17" t="s">
        <v>35</v>
      </c>
      <c r="U1432" s="17" t="s">
        <v>35</v>
      </c>
      <c r="V1432" s="17" t="s">
        <v>35</v>
      </c>
      <c r="W1432" s="17" t="s">
        <v>35</v>
      </c>
      <c r="X1432" s="17" t="s">
        <v>35</v>
      </c>
      <c r="Y1432" s="17" t="s">
        <v>35</v>
      </c>
      <c r="Z1432" s="17" t="s">
        <v>35</v>
      </c>
      <c r="AA1432" s="17" t="s">
        <v>35</v>
      </c>
      <c r="AB1432" s="17" t="s">
        <v>35</v>
      </c>
      <c r="AC1432" s="17" t="s">
        <v>9539</v>
      </c>
      <c r="AD1432" s="41">
        <v>163.71</v>
      </c>
      <c r="AE1432" s="41">
        <v>172.22</v>
      </c>
      <c r="AF1432" s="48"/>
      <c r="AG1432" s="44"/>
      <c r="AH1432" s="7">
        <f t="shared" si="22"/>
        <v>0</v>
      </c>
      <c r="AI1432" s="18"/>
      <c r="AJ1432" s="18"/>
    </row>
    <row r="1433" spans="1:36" ht="26.65" customHeight="1" x14ac:dyDescent="0.25">
      <c r="A1433" s="10" t="s">
        <v>8763</v>
      </c>
      <c r="B1433" s="9" t="s">
        <v>8139</v>
      </c>
      <c r="C1433" s="9" t="s">
        <v>34</v>
      </c>
      <c r="D1433" s="9" t="s">
        <v>8140</v>
      </c>
      <c r="E1433" s="9" t="s">
        <v>35</v>
      </c>
      <c r="F1433" s="9" t="s">
        <v>36</v>
      </c>
      <c r="G1433" s="9">
        <v>1</v>
      </c>
      <c r="H1433" s="9">
        <v>84219999</v>
      </c>
      <c r="I1433" s="11" t="s">
        <v>37</v>
      </c>
      <c r="J1433" s="12">
        <v>1.6500000000000001E-2</v>
      </c>
      <c r="K1433" s="12">
        <v>7.5999999999999998E-2</v>
      </c>
      <c r="L1433" s="12">
        <v>5.1999999999999998E-2</v>
      </c>
      <c r="M1433" s="13" t="s">
        <v>8579</v>
      </c>
      <c r="N1433" s="14" t="s">
        <v>35</v>
      </c>
      <c r="O1433" s="14" t="s">
        <v>35</v>
      </c>
      <c r="P1433" s="15">
        <v>45292</v>
      </c>
      <c r="Q1433" s="16" t="s">
        <v>8764</v>
      </c>
      <c r="R1433" s="17" t="s">
        <v>8765</v>
      </c>
      <c r="S1433" s="17" t="s">
        <v>35</v>
      </c>
      <c r="T1433" s="17" t="s">
        <v>35</v>
      </c>
      <c r="U1433" s="17" t="s">
        <v>35</v>
      </c>
      <c r="V1433" s="17" t="s">
        <v>8766</v>
      </c>
      <c r="W1433" s="17" t="s">
        <v>35</v>
      </c>
      <c r="X1433" s="17" t="s">
        <v>35</v>
      </c>
      <c r="Y1433" s="17" t="s">
        <v>35</v>
      </c>
      <c r="Z1433" s="17" t="s">
        <v>8767</v>
      </c>
      <c r="AA1433" s="17" t="s">
        <v>8768</v>
      </c>
      <c r="AB1433" s="17" t="s">
        <v>8769</v>
      </c>
      <c r="AC1433" s="17" t="s">
        <v>9539</v>
      </c>
      <c r="AD1433" s="41">
        <v>153.15</v>
      </c>
      <c r="AE1433" s="41">
        <v>161.11000000000001</v>
      </c>
      <c r="AF1433" s="48"/>
      <c r="AG1433" s="44"/>
      <c r="AH1433" s="7">
        <f t="shared" si="22"/>
        <v>0</v>
      </c>
      <c r="AI1433" s="18"/>
      <c r="AJ1433" s="18"/>
    </row>
    <row r="1434" spans="1:36" ht="26.65" customHeight="1" x14ac:dyDescent="0.25">
      <c r="A1434" s="10" t="s">
        <v>9017</v>
      </c>
      <c r="B1434" s="9" t="s">
        <v>8139</v>
      </c>
      <c r="C1434" s="9" t="s">
        <v>34</v>
      </c>
      <c r="D1434" s="9" t="s">
        <v>8140</v>
      </c>
      <c r="E1434" s="9" t="s">
        <v>35</v>
      </c>
      <c r="F1434" s="9" t="s">
        <v>36</v>
      </c>
      <c r="G1434" s="9">
        <v>1</v>
      </c>
      <c r="H1434" s="9">
        <v>84219999</v>
      </c>
      <c r="I1434" s="11" t="s">
        <v>37</v>
      </c>
      <c r="J1434" s="12">
        <v>1.6500000000000001E-2</v>
      </c>
      <c r="K1434" s="12">
        <v>7.5999999999999998E-2</v>
      </c>
      <c r="L1434" s="12">
        <v>5.1999999999999998E-2</v>
      </c>
      <c r="M1434" s="13" t="s">
        <v>35</v>
      </c>
      <c r="N1434" s="14" t="s">
        <v>35</v>
      </c>
      <c r="O1434" s="14" t="s">
        <v>35</v>
      </c>
      <c r="P1434" s="15">
        <v>45352</v>
      </c>
      <c r="Q1434" s="16" t="s">
        <v>9018</v>
      </c>
      <c r="R1434" s="17" t="s">
        <v>35</v>
      </c>
      <c r="S1434" s="17" t="s">
        <v>35</v>
      </c>
      <c r="T1434" s="17" t="s">
        <v>35</v>
      </c>
      <c r="U1434" s="17" t="s">
        <v>35</v>
      </c>
      <c r="V1434" s="17" t="s">
        <v>35</v>
      </c>
      <c r="W1434" s="17" t="s">
        <v>35</v>
      </c>
      <c r="X1434" s="17" t="s">
        <v>35</v>
      </c>
      <c r="Y1434" s="17" t="s">
        <v>35</v>
      </c>
      <c r="Z1434" s="17" t="s">
        <v>35</v>
      </c>
      <c r="AA1434" s="17" t="s">
        <v>9019</v>
      </c>
      <c r="AB1434" s="17" t="s">
        <v>9020</v>
      </c>
      <c r="AC1434" s="17" t="s">
        <v>9539</v>
      </c>
      <c r="AD1434" s="41">
        <v>136.97</v>
      </c>
      <c r="AE1434" s="41">
        <v>144.09</v>
      </c>
      <c r="AF1434" s="48"/>
      <c r="AG1434" s="44"/>
      <c r="AH1434" s="7">
        <f t="shared" si="22"/>
        <v>0</v>
      </c>
      <c r="AI1434" s="18"/>
      <c r="AJ1434" s="18"/>
    </row>
    <row r="1435" spans="1:36" ht="26.65" customHeight="1" x14ac:dyDescent="0.25">
      <c r="A1435" s="10" t="s">
        <v>8415</v>
      </c>
      <c r="B1435" s="9" t="s">
        <v>8416</v>
      </c>
      <c r="C1435" s="9" t="s">
        <v>34</v>
      </c>
      <c r="D1435" s="9" t="s">
        <v>8140</v>
      </c>
      <c r="E1435" s="9" t="s">
        <v>35</v>
      </c>
      <c r="F1435" s="9" t="s">
        <v>36</v>
      </c>
      <c r="G1435" s="9">
        <v>1</v>
      </c>
      <c r="H1435" s="9">
        <v>84212990</v>
      </c>
      <c r="I1435" s="11" t="s">
        <v>37</v>
      </c>
      <c r="J1435" s="12">
        <v>1.6500000000000001E-2</v>
      </c>
      <c r="K1435" s="12">
        <v>7.5999999999999998E-2</v>
      </c>
      <c r="L1435" s="12">
        <v>0</v>
      </c>
      <c r="M1435" s="13">
        <v>0</v>
      </c>
      <c r="N1435" s="14">
        <v>0.9</v>
      </c>
      <c r="O1435" s="14">
        <v>1.08</v>
      </c>
      <c r="P1435" s="15">
        <v>44835</v>
      </c>
      <c r="Q1435" s="16" t="s">
        <v>8417</v>
      </c>
      <c r="R1435" s="17" t="s">
        <v>35</v>
      </c>
      <c r="S1435" s="17" t="s">
        <v>35</v>
      </c>
      <c r="T1435" s="17" t="s">
        <v>35</v>
      </c>
      <c r="U1435" s="17" t="s">
        <v>35</v>
      </c>
      <c r="V1435" s="17" t="s">
        <v>35</v>
      </c>
      <c r="W1435" s="17" t="s">
        <v>35</v>
      </c>
      <c r="X1435" s="17" t="s">
        <v>35</v>
      </c>
      <c r="Y1435" s="17" t="s">
        <v>35</v>
      </c>
      <c r="Z1435" s="17" t="s">
        <v>35</v>
      </c>
      <c r="AA1435" s="17" t="s">
        <v>8770</v>
      </c>
      <c r="AB1435" s="17" t="s">
        <v>8771</v>
      </c>
      <c r="AC1435" s="17" t="s">
        <v>9539</v>
      </c>
      <c r="AD1435" s="41">
        <v>76.569999999999993</v>
      </c>
      <c r="AE1435" s="41">
        <v>76.569999999999993</v>
      </c>
      <c r="AF1435" s="48"/>
      <c r="AG1435" s="44"/>
      <c r="AH1435" s="7">
        <f t="shared" si="22"/>
        <v>0</v>
      </c>
      <c r="AI1435" s="18"/>
      <c r="AJ1435" s="18"/>
    </row>
    <row r="1436" spans="1:36" ht="26.65" customHeight="1" x14ac:dyDescent="0.25">
      <c r="A1436" s="10" t="s">
        <v>8418</v>
      </c>
      <c r="B1436" s="9" t="s">
        <v>8416</v>
      </c>
      <c r="C1436" s="9" t="s">
        <v>34</v>
      </c>
      <c r="D1436" s="9" t="s">
        <v>8140</v>
      </c>
      <c r="E1436" s="9" t="s">
        <v>35</v>
      </c>
      <c r="F1436" s="9" t="s">
        <v>36</v>
      </c>
      <c r="G1436" s="9">
        <v>1</v>
      </c>
      <c r="H1436" s="9">
        <v>84212990</v>
      </c>
      <c r="I1436" s="11" t="s">
        <v>37</v>
      </c>
      <c r="J1436" s="12">
        <v>1.6500000000000001E-2</v>
      </c>
      <c r="K1436" s="12">
        <v>7.5999999999999998E-2</v>
      </c>
      <c r="L1436" s="12">
        <v>0</v>
      </c>
      <c r="M1436" s="13">
        <v>0</v>
      </c>
      <c r="N1436" s="14">
        <v>0.9</v>
      </c>
      <c r="O1436" s="14">
        <v>1.08</v>
      </c>
      <c r="P1436" s="15">
        <v>44835</v>
      </c>
      <c r="Q1436" s="16" t="s">
        <v>8419</v>
      </c>
      <c r="R1436" s="17" t="s">
        <v>35</v>
      </c>
      <c r="S1436" s="17" t="s">
        <v>35</v>
      </c>
      <c r="T1436" s="17" t="s">
        <v>35</v>
      </c>
      <c r="U1436" s="17" t="s">
        <v>35</v>
      </c>
      <c r="V1436" s="17" t="s">
        <v>35</v>
      </c>
      <c r="W1436" s="17" t="s">
        <v>35</v>
      </c>
      <c r="X1436" s="17" t="s">
        <v>35</v>
      </c>
      <c r="Y1436" s="17" t="s">
        <v>35</v>
      </c>
      <c r="Z1436" s="17" t="s">
        <v>35</v>
      </c>
      <c r="AA1436" s="17" t="s">
        <v>35</v>
      </c>
      <c r="AB1436" s="17" t="s">
        <v>35</v>
      </c>
      <c r="AC1436" s="17" t="s">
        <v>9539</v>
      </c>
      <c r="AD1436" s="41">
        <v>77.09</v>
      </c>
      <c r="AE1436" s="41">
        <v>77.09</v>
      </c>
      <c r="AF1436" s="48"/>
      <c r="AG1436" s="44"/>
      <c r="AH1436" s="7">
        <f t="shared" si="22"/>
        <v>0</v>
      </c>
      <c r="AI1436" s="18"/>
      <c r="AJ1436" s="18"/>
    </row>
    <row r="1437" spans="1:36" ht="26.65" customHeight="1" x14ac:dyDescent="0.25">
      <c r="A1437" s="10" t="s">
        <v>8420</v>
      </c>
      <c r="B1437" s="9" t="s">
        <v>8416</v>
      </c>
      <c r="C1437" s="9" t="s">
        <v>34</v>
      </c>
      <c r="D1437" s="9" t="s">
        <v>8140</v>
      </c>
      <c r="E1437" s="9" t="s">
        <v>35</v>
      </c>
      <c r="F1437" s="9" t="s">
        <v>36</v>
      </c>
      <c r="G1437" s="9">
        <v>1</v>
      </c>
      <c r="H1437" s="9">
        <v>84212990</v>
      </c>
      <c r="I1437" s="11" t="s">
        <v>37</v>
      </c>
      <c r="J1437" s="12">
        <v>1.6500000000000001E-2</v>
      </c>
      <c r="K1437" s="12">
        <v>7.5999999999999998E-2</v>
      </c>
      <c r="L1437" s="12">
        <v>0</v>
      </c>
      <c r="M1437" s="13">
        <v>0</v>
      </c>
      <c r="N1437" s="14">
        <v>0.9</v>
      </c>
      <c r="O1437" s="14">
        <v>1.08</v>
      </c>
      <c r="P1437" s="15">
        <v>44835</v>
      </c>
      <c r="Q1437" s="16" t="s">
        <v>8419</v>
      </c>
      <c r="R1437" s="17" t="s">
        <v>8421</v>
      </c>
      <c r="S1437" s="17" t="s">
        <v>35</v>
      </c>
      <c r="T1437" s="17" t="s">
        <v>35</v>
      </c>
      <c r="U1437" s="17" t="s">
        <v>35</v>
      </c>
      <c r="V1437" s="17" t="s">
        <v>35</v>
      </c>
      <c r="W1437" s="17" t="s">
        <v>35</v>
      </c>
      <c r="X1437" s="17" t="s">
        <v>35</v>
      </c>
      <c r="Y1437" s="17" t="s">
        <v>35</v>
      </c>
      <c r="Z1437" s="17" t="s">
        <v>8422</v>
      </c>
      <c r="AA1437" s="17" t="s">
        <v>35</v>
      </c>
      <c r="AB1437" s="17" t="s">
        <v>8423</v>
      </c>
      <c r="AC1437" s="17" t="s">
        <v>9539</v>
      </c>
      <c r="AD1437" s="41">
        <v>84.08</v>
      </c>
      <c r="AE1437" s="41">
        <v>84.08</v>
      </c>
      <c r="AF1437" s="48"/>
      <c r="AG1437" s="44"/>
      <c r="AH1437" s="7">
        <f t="shared" si="22"/>
        <v>0</v>
      </c>
      <c r="AI1437" s="18"/>
      <c r="AJ1437" s="18"/>
    </row>
    <row r="1438" spans="1:36" ht="26.65" customHeight="1" x14ac:dyDescent="0.25">
      <c r="A1438" s="10" t="s">
        <v>8424</v>
      </c>
      <c r="B1438" s="9" t="s">
        <v>8416</v>
      </c>
      <c r="C1438" s="9" t="s">
        <v>34</v>
      </c>
      <c r="D1438" s="9" t="s">
        <v>8140</v>
      </c>
      <c r="E1438" s="9" t="s">
        <v>35</v>
      </c>
      <c r="F1438" s="9" t="s">
        <v>36</v>
      </c>
      <c r="G1438" s="9">
        <v>1</v>
      </c>
      <c r="H1438" s="9">
        <v>84212990</v>
      </c>
      <c r="I1438" s="11" t="s">
        <v>37</v>
      </c>
      <c r="J1438" s="12">
        <v>1.6500000000000001E-2</v>
      </c>
      <c r="K1438" s="12">
        <v>7.5999999999999998E-2</v>
      </c>
      <c r="L1438" s="12">
        <v>0</v>
      </c>
      <c r="M1438" s="13">
        <v>0</v>
      </c>
      <c r="N1438" s="14">
        <v>0.9</v>
      </c>
      <c r="O1438" s="14">
        <v>1.08</v>
      </c>
      <c r="P1438" s="15">
        <v>44835</v>
      </c>
      <c r="Q1438" s="16" t="s">
        <v>35</v>
      </c>
      <c r="R1438" s="17" t="s">
        <v>35</v>
      </c>
      <c r="S1438" s="17" t="s">
        <v>35</v>
      </c>
      <c r="T1438" s="17" t="s">
        <v>35</v>
      </c>
      <c r="U1438" s="17" t="s">
        <v>35</v>
      </c>
      <c r="V1438" s="17" t="s">
        <v>35</v>
      </c>
      <c r="W1438" s="17" t="s">
        <v>35</v>
      </c>
      <c r="X1438" s="17" t="s">
        <v>35</v>
      </c>
      <c r="Y1438" s="17" t="s">
        <v>35</v>
      </c>
      <c r="Z1438" s="17" t="s">
        <v>8422</v>
      </c>
      <c r="AA1438" s="17" t="s">
        <v>8772</v>
      </c>
      <c r="AB1438" s="17" t="s">
        <v>8423</v>
      </c>
      <c r="AC1438" s="17" t="s">
        <v>9539</v>
      </c>
      <c r="AD1438" s="41">
        <v>85.98</v>
      </c>
      <c r="AE1438" s="41">
        <v>85.98</v>
      </c>
      <c r="AF1438" s="48"/>
      <c r="AG1438" s="44"/>
      <c r="AH1438" s="7">
        <f t="shared" si="22"/>
        <v>0</v>
      </c>
      <c r="AI1438" s="18"/>
      <c r="AJ1438" s="18"/>
    </row>
    <row r="1439" spans="1:36" ht="26.65" customHeight="1" x14ac:dyDescent="0.25">
      <c r="A1439" s="10" t="s">
        <v>8425</v>
      </c>
      <c r="B1439" s="9" t="s">
        <v>8416</v>
      </c>
      <c r="C1439" s="9" t="s">
        <v>34</v>
      </c>
      <c r="D1439" s="9" t="s">
        <v>8140</v>
      </c>
      <c r="E1439" s="9" t="s">
        <v>35</v>
      </c>
      <c r="F1439" s="9" t="s">
        <v>36</v>
      </c>
      <c r="G1439" s="9">
        <v>1</v>
      </c>
      <c r="H1439" s="9">
        <v>84212990</v>
      </c>
      <c r="I1439" s="11" t="s">
        <v>37</v>
      </c>
      <c r="J1439" s="12">
        <v>1.6500000000000001E-2</v>
      </c>
      <c r="K1439" s="12">
        <v>7.5999999999999998E-2</v>
      </c>
      <c r="L1439" s="12">
        <v>0</v>
      </c>
      <c r="M1439" s="13">
        <v>0</v>
      </c>
      <c r="N1439" s="14">
        <v>0.9</v>
      </c>
      <c r="O1439" s="14">
        <v>1.08</v>
      </c>
      <c r="P1439" s="15">
        <v>44835</v>
      </c>
      <c r="Q1439" s="16" t="s">
        <v>8417</v>
      </c>
      <c r="R1439" s="17" t="s">
        <v>8426</v>
      </c>
      <c r="S1439" s="17" t="s">
        <v>35</v>
      </c>
      <c r="T1439" s="17" t="s">
        <v>35</v>
      </c>
      <c r="U1439" s="17" t="s">
        <v>35</v>
      </c>
      <c r="V1439" s="17" t="s">
        <v>35</v>
      </c>
      <c r="W1439" s="17" t="s">
        <v>35</v>
      </c>
      <c r="X1439" s="17" t="s">
        <v>35</v>
      </c>
      <c r="Y1439" s="17" t="s">
        <v>35</v>
      </c>
      <c r="Z1439" s="17" t="s">
        <v>8427</v>
      </c>
      <c r="AA1439" s="17" t="s">
        <v>35</v>
      </c>
      <c r="AB1439" s="17" t="s">
        <v>8428</v>
      </c>
      <c r="AC1439" s="17" t="s">
        <v>9539</v>
      </c>
      <c r="AD1439" s="41">
        <v>88.17</v>
      </c>
      <c r="AE1439" s="41">
        <v>88.17</v>
      </c>
      <c r="AF1439" s="48"/>
      <c r="AG1439" s="44"/>
      <c r="AH1439" s="7">
        <f t="shared" si="22"/>
        <v>0</v>
      </c>
      <c r="AI1439" s="18"/>
      <c r="AJ1439" s="18"/>
    </row>
    <row r="1440" spans="1:36" ht="26.65" customHeight="1" x14ac:dyDescent="0.25">
      <c r="A1440" s="10" t="s">
        <v>8429</v>
      </c>
      <c r="B1440" s="9" t="s">
        <v>8416</v>
      </c>
      <c r="C1440" s="9" t="s">
        <v>34</v>
      </c>
      <c r="D1440" s="9" t="s">
        <v>8140</v>
      </c>
      <c r="E1440" s="9" t="s">
        <v>35</v>
      </c>
      <c r="F1440" s="9" t="s">
        <v>36</v>
      </c>
      <c r="G1440" s="9">
        <v>1</v>
      </c>
      <c r="H1440" s="9">
        <v>84212990</v>
      </c>
      <c r="I1440" s="11" t="s">
        <v>37</v>
      </c>
      <c r="J1440" s="12">
        <v>1.6500000000000001E-2</v>
      </c>
      <c r="K1440" s="12">
        <v>7.5999999999999998E-2</v>
      </c>
      <c r="L1440" s="12">
        <v>0</v>
      </c>
      <c r="M1440" s="13">
        <v>0</v>
      </c>
      <c r="N1440" s="14">
        <v>0.9</v>
      </c>
      <c r="O1440" s="14">
        <v>1.08</v>
      </c>
      <c r="P1440" s="15">
        <v>44835</v>
      </c>
      <c r="Q1440" s="16" t="s">
        <v>8430</v>
      </c>
      <c r="R1440" s="17" t="s">
        <v>8431</v>
      </c>
      <c r="S1440" s="17" t="s">
        <v>8773</v>
      </c>
      <c r="T1440" s="17" t="s">
        <v>35</v>
      </c>
      <c r="U1440" s="17" t="s">
        <v>35</v>
      </c>
      <c r="V1440" s="17" t="s">
        <v>35</v>
      </c>
      <c r="W1440" s="17" t="s">
        <v>35</v>
      </c>
      <c r="X1440" s="17" t="s">
        <v>35</v>
      </c>
      <c r="Y1440" s="17" t="s">
        <v>35</v>
      </c>
      <c r="Z1440" s="17" t="s">
        <v>8774</v>
      </c>
      <c r="AA1440" s="17" t="s">
        <v>8775</v>
      </c>
      <c r="AB1440" s="17" t="s">
        <v>8432</v>
      </c>
      <c r="AC1440" s="17" t="s">
        <v>9539</v>
      </c>
      <c r="AD1440" s="41">
        <v>82.23</v>
      </c>
      <c r="AE1440" s="41">
        <v>82.23</v>
      </c>
      <c r="AF1440" s="48"/>
      <c r="AG1440" s="44"/>
      <c r="AH1440" s="7">
        <f t="shared" si="22"/>
        <v>0</v>
      </c>
      <c r="AI1440" s="18"/>
      <c r="AJ1440" s="18"/>
    </row>
    <row r="1441" spans="1:38" ht="26.65" customHeight="1" x14ac:dyDescent="0.25">
      <c r="A1441" s="10" t="s">
        <v>8433</v>
      </c>
      <c r="B1441" s="9" t="s">
        <v>8416</v>
      </c>
      <c r="C1441" s="9" t="s">
        <v>34</v>
      </c>
      <c r="D1441" s="9" t="s">
        <v>8140</v>
      </c>
      <c r="E1441" s="9" t="s">
        <v>35</v>
      </c>
      <c r="F1441" s="9" t="s">
        <v>36</v>
      </c>
      <c r="G1441" s="9">
        <v>1</v>
      </c>
      <c r="H1441" s="9">
        <v>84212990</v>
      </c>
      <c r="I1441" s="11" t="s">
        <v>37</v>
      </c>
      <c r="J1441" s="12">
        <v>1.6500000000000001E-2</v>
      </c>
      <c r="K1441" s="12">
        <v>7.5999999999999998E-2</v>
      </c>
      <c r="L1441" s="12">
        <v>0</v>
      </c>
      <c r="M1441" s="13">
        <v>0</v>
      </c>
      <c r="N1441" s="14">
        <v>0.9</v>
      </c>
      <c r="O1441" s="14">
        <v>1.08</v>
      </c>
      <c r="P1441" s="15">
        <v>44835</v>
      </c>
      <c r="Q1441" s="16" t="s">
        <v>35</v>
      </c>
      <c r="R1441" s="17" t="s">
        <v>35</v>
      </c>
      <c r="S1441" s="17" t="s">
        <v>8776</v>
      </c>
      <c r="T1441" s="17" t="s">
        <v>35</v>
      </c>
      <c r="U1441" s="17" t="s">
        <v>35</v>
      </c>
      <c r="V1441" s="17" t="s">
        <v>35</v>
      </c>
      <c r="W1441" s="17" t="s">
        <v>35</v>
      </c>
      <c r="X1441" s="17" t="s">
        <v>35</v>
      </c>
      <c r="Y1441" s="17" t="s">
        <v>35</v>
      </c>
      <c r="Z1441" s="17" t="s">
        <v>8427</v>
      </c>
      <c r="AA1441" s="17" t="s">
        <v>8777</v>
      </c>
      <c r="AB1441" s="17" t="s">
        <v>8428</v>
      </c>
      <c r="AC1441" s="17" t="s">
        <v>9539</v>
      </c>
      <c r="AD1441" s="41">
        <v>89.7</v>
      </c>
      <c r="AE1441" s="41">
        <v>89.7</v>
      </c>
      <c r="AF1441" s="48"/>
      <c r="AG1441" s="44"/>
      <c r="AH1441" s="7">
        <f t="shared" si="22"/>
        <v>0</v>
      </c>
      <c r="AI1441" s="18"/>
      <c r="AJ1441" s="18"/>
      <c r="AL1441" s="18"/>
    </row>
    <row r="1442" spans="1:38" ht="26.65" customHeight="1" x14ac:dyDescent="0.25">
      <c r="A1442" s="10" t="s">
        <v>9747</v>
      </c>
      <c r="B1442" s="9" t="s">
        <v>8416</v>
      </c>
      <c r="C1442" s="9" t="s">
        <v>34</v>
      </c>
      <c r="D1442" s="9" t="s">
        <v>8140</v>
      </c>
      <c r="E1442" s="9" t="s">
        <v>35</v>
      </c>
      <c r="F1442" s="9" t="s">
        <v>36</v>
      </c>
      <c r="G1442" s="9">
        <v>1</v>
      </c>
      <c r="H1442" s="9">
        <v>84212990</v>
      </c>
      <c r="I1442" s="11" t="s">
        <v>37</v>
      </c>
      <c r="J1442" s="12">
        <v>1.6500000000000001E-2</v>
      </c>
      <c r="K1442" s="12">
        <v>7.5999999999999998E-2</v>
      </c>
      <c r="L1442" s="12">
        <v>0</v>
      </c>
      <c r="M1442" s="13" t="s">
        <v>35</v>
      </c>
      <c r="N1442" s="14" t="s">
        <v>35</v>
      </c>
      <c r="O1442" s="14" t="s">
        <v>35</v>
      </c>
      <c r="P1442" s="15">
        <v>45474</v>
      </c>
      <c r="Q1442" s="16" t="s">
        <v>9748</v>
      </c>
      <c r="R1442" s="17" t="s">
        <v>9749</v>
      </c>
      <c r="S1442" s="17" t="s">
        <v>9750</v>
      </c>
      <c r="T1442" s="17" t="s">
        <v>35</v>
      </c>
      <c r="U1442" s="17" t="s">
        <v>35</v>
      </c>
      <c r="V1442" s="17" t="s">
        <v>35</v>
      </c>
      <c r="W1442" s="17" t="s">
        <v>35</v>
      </c>
      <c r="X1442" s="17" t="s">
        <v>35</v>
      </c>
      <c r="Y1442" s="17" t="s">
        <v>35</v>
      </c>
      <c r="Z1442" s="17" t="s">
        <v>9751</v>
      </c>
      <c r="AA1442" s="17" t="s">
        <v>35</v>
      </c>
      <c r="AB1442" s="17" t="s">
        <v>9752</v>
      </c>
      <c r="AC1442" s="17" t="s">
        <v>9539</v>
      </c>
      <c r="AD1442" s="41">
        <v>127.1</v>
      </c>
      <c r="AE1442" s="41">
        <v>127.1</v>
      </c>
      <c r="AF1442" s="48"/>
      <c r="AG1442" s="44"/>
      <c r="AH1442" s="7">
        <f t="shared" si="22"/>
        <v>0</v>
      </c>
      <c r="AI1442" s="18"/>
      <c r="AJ1442" s="18"/>
    </row>
    <row r="1443" spans="1:38" ht="26.65" customHeight="1" x14ac:dyDescent="0.25">
      <c r="A1443" s="10" t="s">
        <v>8434</v>
      </c>
      <c r="B1443" s="9" t="s">
        <v>8416</v>
      </c>
      <c r="C1443" s="9" t="s">
        <v>34</v>
      </c>
      <c r="D1443" s="9" t="s">
        <v>8140</v>
      </c>
      <c r="E1443" s="9" t="s">
        <v>35</v>
      </c>
      <c r="F1443" s="9" t="s">
        <v>36</v>
      </c>
      <c r="G1443" s="9">
        <v>1</v>
      </c>
      <c r="H1443" s="9">
        <v>84212990</v>
      </c>
      <c r="I1443" s="11" t="s">
        <v>37</v>
      </c>
      <c r="J1443" s="12">
        <v>1.6500000000000001E-2</v>
      </c>
      <c r="K1443" s="12">
        <v>7.5999999999999998E-2</v>
      </c>
      <c r="L1443" s="12">
        <v>0</v>
      </c>
      <c r="M1443" s="13">
        <v>0</v>
      </c>
      <c r="N1443" s="14">
        <v>1.3</v>
      </c>
      <c r="O1443" s="14">
        <v>1.56</v>
      </c>
      <c r="P1443" s="15">
        <v>44835</v>
      </c>
      <c r="Q1443" s="16" t="s">
        <v>8435</v>
      </c>
      <c r="R1443" s="17" t="s">
        <v>35</v>
      </c>
      <c r="S1443" s="17" t="s">
        <v>35</v>
      </c>
      <c r="T1443" s="17" t="s">
        <v>35</v>
      </c>
      <c r="U1443" s="17" t="s">
        <v>8778</v>
      </c>
      <c r="V1443" s="17" t="s">
        <v>35</v>
      </c>
      <c r="W1443" s="17" t="s">
        <v>35</v>
      </c>
      <c r="X1443" s="17" t="s">
        <v>35</v>
      </c>
      <c r="Y1443" s="17" t="s">
        <v>35</v>
      </c>
      <c r="Z1443" s="17" t="s">
        <v>35</v>
      </c>
      <c r="AA1443" s="17" t="s">
        <v>8779</v>
      </c>
      <c r="AB1443" s="17" t="s">
        <v>8780</v>
      </c>
      <c r="AC1443" s="17" t="s">
        <v>9539</v>
      </c>
      <c r="AD1443" s="41">
        <v>90.07</v>
      </c>
      <c r="AE1443" s="41">
        <v>90.07</v>
      </c>
      <c r="AF1443" s="48"/>
      <c r="AG1443" s="44"/>
      <c r="AH1443" s="7">
        <f t="shared" si="22"/>
        <v>0</v>
      </c>
      <c r="AI1443" s="18"/>
      <c r="AJ1443" s="18"/>
    </row>
    <row r="1444" spans="1:38" ht="26.65" customHeight="1" x14ac:dyDescent="0.25">
      <c r="A1444" s="10" t="s">
        <v>8436</v>
      </c>
      <c r="B1444" s="9" t="s">
        <v>8416</v>
      </c>
      <c r="C1444" s="9" t="s">
        <v>34</v>
      </c>
      <c r="D1444" s="9" t="s">
        <v>8140</v>
      </c>
      <c r="E1444" s="9" t="s">
        <v>35</v>
      </c>
      <c r="F1444" s="9" t="s">
        <v>36</v>
      </c>
      <c r="G1444" s="9">
        <v>1</v>
      </c>
      <c r="H1444" s="9">
        <v>84212990</v>
      </c>
      <c r="I1444" s="11" t="s">
        <v>37</v>
      </c>
      <c r="J1444" s="12">
        <v>1.6500000000000001E-2</v>
      </c>
      <c r="K1444" s="12">
        <v>7.5999999999999998E-2</v>
      </c>
      <c r="L1444" s="12">
        <v>0</v>
      </c>
      <c r="M1444" s="13">
        <v>0</v>
      </c>
      <c r="N1444" s="14">
        <v>1.3</v>
      </c>
      <c r="O1444" s="14">
        <v>1.56</v>
      </c>
      <c r="P1444" s="15">
        <v>44835</v>
      </c>
      <c r="Q1444" s="16" t="s">
        <v>8437</v>
      </c>
      <c r="R1444" s="17" t="s">
        <v>35</v>
      </c>
      <c r="S1444" s="17" t="s">
        <v>35</v>
      </c>
      <c r="T1444" s="17" t="s">
        <v>35</v>
      </c>
      <c r="U1444" s="17" t="s">
        <v>35</v>
      </c>
      <c r="V1444" s="17" t="s">
        <v>35</v>
      </c>
      <c r="W1444" s="17" t="s">
        <v>35</v>
      </c>
      <c r="X1444" s="17" t="s">
        <v>35</v>
      </c>
      <c r="Y1444" s="17" t="s">
        <v>35</v>
      </c>
      <c r="Z1444" s="17" t="s">
        <v>35</v>
      </c>
      <c r="AA1444" s="17" t="s">
        <v>35</v>
      </c>
      <c r="AB1444" s="17" t="s">
        <v>8438</v>
      </c>
      <c r="AC1444" s="17" t="s">
        <v>9539</v>
      </c>
      <c r="AD1444" s="41">
        <v>112.09</v>
      </c>
      <c r="AE1444" s="41">
        <v>112.09</v>
      </c>
      <c r="AF1444" s="48"/>
      <c r="AG1444" s="44"/>
      <c r="AH1444" s="7">
        <f t="shared" si="22"/>
        <v>0</v>
      </c>
      <c r="AI1444" s="18"/>
      <c r="AJ1444" s="18"/>
    </row>
    <row r="1445" spans="1:38" ht="26.65" customHeight="1" x14ac:dyDescent="0.25">
      <c r="A1445" s="10" t="s">
        <v>8439</v>
      </c>
      <c r="B1445" s="9" t="s">
        <v>8416</v>
      </c>
      <c r="C1445" s="9" t="s">
        <v>34</v>
      </c>
      <c r="D1445" s="9" t="s">
        <v>8140</v>
      </c>
      <c r="E1445" s="9" t="s">
        <v>35</v>
      </c>
      <c r="F1445" s="9" t="s">
        <v>36</v>
      </c>
      <c r="G1445" s="9">
        <v>1</v>
      </c>
      <c r="H1445" s="9">
        <v>84212990</v>
      </c>
      <c r="I1445" s="11" t="s">
        <v>37</v>
      </c>
      <c r="J1445" s="12">
        <v>1.6500000000000001E-2</v>
      </c>
      <c r="K1445" s="12">
        <v>7.5999999999999998E-2</v>
      </c>
      <c r="L1445" s="12">
        <v>0</v>
      </c>
      <c r="M1445" s="13">
        <v>0</v>
      </c>
      <c r="N1445" s="14">
        <v>1.3</v>
      </c>
      <c r="O1445" s="14">
        <v>1.56</v>
      </c>
      <c r="P1445" s="15">
        <v>44835</v>
      </c>
      <c r="Q1445" s="16" t="s">
        <v>8437</v>
      </c>
      <c r="R1445" s="17" t="s">
        <v>8440</v>
      </c>
      <c r="S1445" s="17" t="s">
        <v>35</v>
      </c>
      <c r="T1445" s="17" t="s">
        <v>35</v>
      </c>
      <c r="U1445" s="17" t="s">
        <v>35</v>
      </c>
      <c r="V1445" s="17" t="s">
        <v>35</v>
      </c>
      <c r="W1445" s="17" t="s">
        <v>35</v>
      </c>
      <c r="X1445" s="17" t="s">
        <v>35</v>
      </c>
      <c r="Y1445" s="17" t="s">
        <v>35</v>
      </c>
      <c r="Z1445" s="17" t="s">
        <v>8441</v>
      </c>
      <c r="AA1445" s="17" t="s">
        <v>35</v>
      </c>
      <c r="AB1445" s="17" t="s">
        <v>8442</v>
      </c>
      <c r="AC1445" s="17" t="s">
        <v>9539</v>
      </c>
      <c r="AD1445" s="41">
        <v>122.05</v>
      </c>
      <c r="AE1445" s="41">
        <v>122.05</v>
      </c>
      <c r="AF1445" s="48"/>
      <c r="AG1445" s="44"/>
      <c r="AH1445" s="7">
        <f t="shared" si="22"/>
        <v>0</v>
      </c>
      <c r="AI1445" s="18"/>
      <c r="AJ1445" s="18"/>
    </row>
    <row r="1446" spans="1:38" ht="26.65" customHeight="1" x14ac:dyDescent="0.25">
      <c r="A1446" s="10" t="s">
        <v>8443</v>
      </c>
      <c r="B1446" s="9" t="s">
        <v>8416</v>
      </c>
      <c r="C1446" s="9" t="s">
        <v>34</v>
      </c>
      <c r="D1446" s="9" t="s">
        <v>8140</v>
      </c>
      <c r="E1446" s="9" t="s">
        <v>35</v>
      </c>
      <c r="F1446" s="9" t="s">
        <v>36</v>
      </c>
      <c r="G1446" s="9">
        <v>1</v>
      </c>
      <c r="H1446" s="9">
        <v>84212990</v>
      </c>
      <c r="I1446" s="11" t="s">
        <v>37</v>
      </c>
      <c r="J1446" s="12">
        <v>1.6500000000000001E-2</v>
      </c>
      <c r="K1446" s="12">
        <v>7.5999999999999998E-2</v>
      </c>
      <c r="L1446" s="12">
        <v>0</v>
      </c>
      <c r="M1446" s="13">
        <v>0</v>
      </c>
      <c r="N1446" s="14">
        <v>1.3</v>
      </c>
      <c r="O1446" s="14">
        <v>1.56</v>
      </c>
      <c r="P1446" s="15">
        <v>44835</v>
      </c>
      <c r="Q1446" s="16" t="s">
        <v>8444</v>
      </c>
      <c r="R1446" s="17" t="s">
        <v>35</v>
      </c>
      <c r="S1446" s="17" t="s">
        <v>35</v>
      </c>
      <c r="T1446" s="17" t="s">
        <v>35</v>
      </c>
      <c r="U1446" s="17" t="s">
        <v>8781</v>
      </c>
      <c r="V1446" s="17" t="s">
        <v>35</v>
      </c>
      <c r="W1446" s="17" t="s">
        <v>35</v>
      </c>
      <c r="X1446" s="17" t="s">
        <v>35</v>
      </c>
      <c r="Y1446" s="17" t="s">
        <v>35</v>
      </c>
      <c r="Z1446" s="17" t="s">
        <v>8441</v>
      </c>
      <c r="AA1446" s="17" t="s">
        <v>8782</v>
      </c>
      <c r="AB1446" s="17" t="s">
        <v>8442</v>
      </c>
      <c r="AC1446" s="17" t="s">
        <v>9539</v>
      </c>
      <c r="AD1446" s="41">
        <v>120.19</v>
      </c>
      <c r="AE1446" s="41">
        <v>120.19</v>
      </c>
      <c r="AF1446" s="48"/>
      <c r="AG1446" s="44"/>
      <c r="AH1446" s="7">
        <f t="shared" si="22"/>
        <v>0</v>
      </c>
      <c r="AI1446" s="18"/>
      <c r="AJ1446" s="18"/>
    </row>
    <row r="1447" spans="1:38" ht="26.65" customHeight="1" x14ac:dyDescent="0.25">
      <c r="A1447" s="10" t="s">
        <v>8445</v>
      </c>
      <c r="B1447" s="9" t="s">
        <v>8416</v>
      </c>
      <c r="C1447" s="9" t="s">
        <v>34</v>
      </c>
      <c r="D1447" s="9" t="s">
        <v>8140</v>
      </c>
      <c r="E1447" s="9" t="s">
        <v>35</v>
      </c>
      <c r="F1447" s="9" t="s">
        <v>36</v>
      </c>
      <c r="G1447" s="9">
        <v>1</v>
      </c>
      <c r="H1447" s="9">
        <v>84212990</v>
      </c>
      <c r="I1447" s="11" t="s">
        <v>37</v>
      </c>
      <c r="J1447" s="12">
        <v>1.6500000000000001E-2</v>
      </c>
      <c r="K1447" s="12">
        <v>7.5999999999999998E-2</v>
      </c>
      <c r="L1447" s="12">
        <v>0</v>
      </c>
      <c r="M1447" s="13">
        <v>0</v>
      </c>
      <c r="N1447" s="14">
        <v>1.3</v>
      </c>
      <c r="O1447" s="14">
        <v>1.56</v>
      </c>
      <c r="P1447" s="15">
        <v>44835</v>
      </c>
      <c r="Q1447" s="16" t="s">
        <v>8435</v>
      </c>
      <c r="R1447" s="17" t="s">
        <v>8446</v>
      </c>
      <c r="S1447" s="17" t="s">
        <v>8783</v>
      </c>
      <c r="T1447" s="17" t="s">
        <v>35</v>
      </c>
      <c r="U1447" s="17" t="s">
        <v>8784</v>
      </c>
      <c r="V1447" s="17" t="s">
        <v>35</v>
      </c>
      <c r="W1447" s="17" t="s">
        <v>35</v>
      </c>
      <c r="X1447" s="17" t="s">
        <v>35</v>
      </c>
      <c r="Y1447" s="17" t="s">
        <v>35</v>
      </c>
      <c r="Z1447" s="17" t="s">
        <v>8447</v>
      </c>
      <c r="AA1447" s="17" t="s">
        <v>8448</v>
      </c>
      <c r="AB1447" s="17" t="s">
        <v>8449</v>
      </c>
      <c r="AC1447" s="17" t="s">
        <v>9539</v>
      </c>
      <c r="AD1447" s="41">
        <v>109.38</v>
      </c>
      <c r="AE1447" s="41">
        <v>109.38</v>
      </c>
      <c r="AF1447" s="48"/>
      <c r="AG1447" s="44"/>
      <c r="AH1447" s="7">
        <f t="shared" si="22"/>
        <v>0</v>
      </c>
      <c r="AI1447" s="18"/>
      <c r="AJ1447" s="18"/>
      <c r="AL1447" s="18"/>
    </row>
    <row r="1448" spans="1:38" ht="26.65" customHeight="1" x14ac:dyDescent="0.25">
      <c r="A1448" s="10" t="s">
        <v>8450</v>
      </c>
      <c r="B1448" s="9" t="s">
        <v>8416</v>
      </c>
      <c r="C1448" s="9" t="s">
        <v>34</v>
      </c>
      <c r="D1448" s="9" t="s">
        <v>8140</v>
      </c>
      <c r="E1448" s="9" t="s">
        <v>35</v>
      </c>
      <c r="F1448" s="9" t="s">
        <v>36</v>
      </c>
      <c r="G1448" s="9">
        <v>1</v>
      </c>
      <c r="H1448" s="9">
        <v>84212990</v>
      </c>
      <c r="I1448" s="11" t="s">
        <v>37</v>
      </c>
      <c r="J1448" s="12">
        <v>1.6500000000000001E-2</v>
      </c>
      <c r="K1448" s="12">
        <v>7.5999999999999998E-2</v>
      </c>
      <c r="L1448" s="12">
        <v>0</v>
      </c>
      <c r="M1448" s="13">
        <v>0</v>
      </c>
      <c r="N1448" s="14">
        <v>1.1000000000000001</v>
      </c>
      <c r="O1448" s="14">
        <v>1.173</v>
      </c>
      <c r="P1448" s="15">
        <v>44835</v>
      </c>
      <c r="Q1448" s="16" t="s">
        <v>8451</v>
      </c>
      <c r="R1448" s="17" t="s">
        <v>8452</v>
      </c>
      <c r="S1448" s="17" t="s">
        <v>8453</v>
      </c>
      <c r="T1448" s="17" t="s">
        <v>35</v>
      </c>
      <c r="U1448" s="17" t="s">
        <v>8785</v>
      </c>
      <c r="V1448" s="17" t="s">
        <v>8454</v>
      </c>
      <c r="W1448" s="17" t="s">
        <v>8455</v>
      </c>
      <c r="X1448" s="17" t="s">
        <v>35</v>
      </c>
      <c r="Y1448" s="17" t="s">
        <v>8456</v>
      </c>
      <c r="Z1448" s="17" t="s">
        <v>8457</v>
      </c>
      <c r="AA1448" s="17" t="s">
        <v>8458</v>
      </c>
      <c r="AB1448" s="17" t="s">
        <v>8459</v>
      </c>
      <c r="AC1448" s="17" t="s">
        <v>9539</v>
      </c>
      <c r="AD1448" s="41">
        <v>113.75</v>
      </c>
      <c r="AE1448" s="41">
        <v>113.75</v>
      </c>
      <c r="AF1448" s="48"/>
      <c r="AG1448" s="44"/>
      <c r="AH1448" s="7">
        <f t="shared" si="22"/>
        <v>0</v>
      </c>
      <c r="AI1448" s="18"/>
      <c r="AJ1448" s="18"/>
    </row>
    <row r="1449" spans="1:38" ht="26.65" customHeight="1" x14ac:dyDescent="0.25">
      <c r="A1449" s="10" t="s">
        <v>8460</v>
      </c>
      <c r="B1449" s="9" t="s">
        <v>8416</v>
      </c>
      <c r="C1449" s="9" t="s">
        <v>34</v>
      </c>
      <c r="D1449" s="9" t="s">
        <v>8140</v>
      </c>
      <c r="E1449" s="9" t="s">
        <v>35</v>
      </c>
      <c r="F1449" s="9" t="s">
        <v>36</v>
      </c>
      <c r="G1449" s="9">
        <v>1</v>
      </c>
      <c r="H1449" s="9">
        <v>84212990</v>
      </c>
      <c r="I1449" s="11" t="s">
        <v>37</v>
      </c>
      <c r="J1449" s="12">
        <v>1.6500000000000001E-2</v>
      </c>
      <c r="K1449" s="12">
        <v>7.5999999999999998E-2</v>
      </c>
      <c r="L1449" s="12">
        <v>0</v>
      </c>
      <c r="M1449" s="13">
        <v>0</v>
      </c>
      <c r="N1449" s="14">
        <v>1.3</v>
      </c>
      <c r="O1449" s="14">
        <v>1.56</v>
      </c>
      <c r="P1449" s="15">
        <v>44835</v>
      </c>
      <c r="Q1449" s="16" t="s">
        <v>8444</v>
      </c>
      <c r="R1449" s="17" t="s">
        <v>8461</v>
      </c>
      <c r="S1449" s="17" t="s">
        <v>35</v>
      </c>
      <c r="T1449" s="17" t="s">
        <v>35</v>
      </c>
      <c r="U1449" s="17" t="s">
        <v>35</v>
      </c>
      <c r="V1449" s="17" t="s">
        <v>35</v>
      </c>
      <c r="W1449" s="17" t="s">
        <v>35</v>
      </c>
      <c r="X1449" s="17" t="s">
        <v>35</v>
      </c>
      <c r="Y1449" s="17" t="s">
        <v>35</v>
      </c>
      <c r="Z1449" s="17" t="s">
        <v>35</v>
      </c>
      <c r="AA1449" s="17" t="s">
        <v>35</v>
      </c>
      <c r="AB1449" s="17" t="s">
        <v>8462</v>
      </c>
      <c r="AC1449" s="17" t="s">
        <v>9539</v>
      </c>
      <c r="AD1449" s="41">
        <v>114.11</v>
      </c>
      <c r="AE1449" s="41">
        <v>114.11</v>
      </c>
      <c r="AF1449" s="48"/>
      <c r="AG1449" s="44"/>
      <c r="AH1449" s="7">
        <f t="shared" si="22"/>
        <v>0</v>
      </c>
      <c r="AI1449" s="18"/>
      <c r="AJ1449" s="18"/>
    </row>
    <row r="1450" spans="1:38" ht="26.65" customHeight="1" x14ac:dyDescent="0.25">
      <c r="A1450" s="10" t="s">
        <v>9021</v>
      </c>
      <c r="B1450" s="9" t="s">
        <v>8416</v>
      </c>
      <c r="C1450" s="9" t="s">
        <v>34</v>
      </c>
      <c r="D1450" s="9" t="s">
        <v>8140</v>
      </c>
      <c r="E1450" s="9" t="s">
        <v>35</v>
      </c>
      <c r="F1450" s="9" t="s">
        <v>36</v>
      </c>
      <c r="G1450" s="9">
        <v>1</v>
      </c>
      <c r="H1450" s="9">
        <v>84212990</v>
      </c>
      <c r="I1450" s="11" t="s">
        <v>37</v>
      </c>
      <c r="J1450" s="12">
        <v>1.6500000000000001E-2</v>
      </c>
      <c r="K1450" s="12">
        <v>7.5999999999999998E-2</v>
      </c>
      <c r="L1450" s="12">
        <v>0</v>
      </c>
      <c r="M1450" s="13" t="s">
        <v>35</v>
      </c>
      <c r="N1450" s="14" t="s">
        <v>35</v>
      </c>
      <c r="O1450" s="14" t="s">
        <v>35</v>
      </c>
      <c r="P1450" s="15">
        <v>45352</v>
      </c>
      <c r="Q1450" s="16" t="s">
        <v>35</v>
      </c>
      <c r="R1450" s="17" t="s">
        <v>35</v>
      </c>
      <c r="S1450" s="17" t="s">
        <v>35</v>
      </c>
      <c r="T1450" s="17" t="s">
        <v>35</v>
      </c>
      <c r="U1450" s="17" t="s">
        <v>35</v>
      </c>
      <c r="V1450" s="17" t="s">
        <v>35</v>
      </c>
      <c r="W1450" s="17" t="s">
        <v>35</v>
      </c>
      <c r="X1450" s="17" t="s">
        <v>35</v>
      </c>
      <c r="Y1450" s="17" t="s">
        <v>35</v>
      </c>
      <c r="Z1450" s="17" t="s">
        <v>35</v>
      </c>
      <c r="AA1450" s="17" t="s">
        <v>35</v>
      </c>
      <c r="AB1450" s="17" t="s">
        <v>35</v>
      </c>
      <c r="AC1450" s="17" t="s">
        <v>9539</v>
      </c>
      <c r="AD1450" s="41">
        <v>206.76</v>
      </c>
      <c r="AE1450" s="41">
        <v>206.76</v>
      </c>
      <c r="AF1450" s="48"/>
      <c r="AG1450" s="44"/>
      <c r="AH1450" s="7">
        <f t="shared" si="22"/>
        <v>0</v>
      </c>
      <c r="AI1450" s="18"/>
      <c r="AJ1450" s="18"/>
    </row>
    <row r="1451" spans="1:38" ht="26.65" customHeight="1" x14ac:dyDescent="0.25">
      <c r="A1451" s="10" t="s">
        <v>8463</v>
      </c>
      <c r="B1451" s="9" t="s">
        <v>8416</v>
      </c>
      <c r="C1451" s="9" t="s">
        <v>34</v>
      </c>
      <c r="D1451" s="9" t="s">
        <v>8140</v>
      </c>
      <c r="E1451" s="9" t="s">
        <v>35</v>
      </c>
      <c r="F1451" s="9" t="s">
        <v>36</v>
      </c>
      <c r="G1451" s="9">
        <v>1</v>
      </c>
      <c r="H1451" s="9">
        <v>84212990</v>
      </c>
      <c r="I1451" s="11" t="s">
        <v>37</v>
      </c>
      <c r="J1451" s="12">
        <v>1.6500000000000001E-2</v>
      </c>
      <c r="K1451" s="12">
        <v>7.5999999999999998E-2</v>
      </c>
      <c r="L1451" s="12">
        <v>0</v>
      </c>
      <c r="M1451" s="13">
        <v>0</v>
      </c>
      <c r="N1451" s="14">
        <v>2.2999999999999998</v>
      </c>
      <c r="O1451" s="14">
        <v>2.76</v>
      </c>
      <c r="P1451" s="15">
        <v>44835</v>
      </c>
      <c r="Q1451" s="16" t="s">
        <v>8464</v>
      </c>
      <c r="R1451" s="17" t="s">
        <v>8465</v>
      </c>
      <c r="S1451" s="17" t="s">
        <v>8485</v>
      </c>
      <c r="T1451" s="17" t="s">
        <v>35</v>
      </c>
      <c r="U1451" s="17" t="s">
        <v>8786</v>
      </c>
      <c r="V1451" s="17" t="s">
        <v>35</v>
      </c>
      <c r="W1451" s="17" t="s">
        <v>35</v>
      </c>
      <c r="X1451" s="17" t="s">
        <v>35</v>
      </c>
      <c r="Y1451" s="17" t="s">
        <v>35</v>
      </c>
      <c r="Z1451" s="17" t="s">
        <v>8466</v>
      </c>
      <c r="AA1451" s="17" t="s">
        <v>8467</v>
      </c>
      <c r="AB1451" s="17" t="s">
        <v>8468</v>
      </c>
      <c r="AC1451" s="17" t="s">
        <v>9539</v>
      </c>
      <c r="AD1451" s="41">
        <v>153.27000000000001</v>
      </c>
      <c r="AE1451" s="41">
        <v>153.27000000000001</v>
      </c>
      <c r="AF1451" s="48"/>
      <c r="AG1451" s="44"/>
      <c r="AH1451" s="7">
        <f t="shared" si="22"/>
        <v>0</v>
      </c>
      <c r="AI1451" s="18"/>
      <c r="AJ1451" s="18"/>
    </row>
    <row r="1452" spans="1:38" ht="26.65" customHeight="1" x14ac:dyDescent="0.25">
      <c r="A1452" s="10" t="s">
        <v>8469</v>
      </c>
      <c r="B1452" s="9" t="s">
        <v>8416</v>
      </c>
      <c r="C1452" s="9" t="s">
        <v>34</v>
      </c>
      <c r="D1452" s="9" t="s">
        <v>8140</v>
      </c>
      <c r="E1452" s="9" t="s">
        <v>35</v>
      </c>
      <c r="F1452" s="9" t="s">
        <v>36</v>
      </c>
      <c r="G1452" s="9">
        <v>1</v>
      </c>
      <c r="H1452" s="9">
        <v>84212990</v>
      </c>
      <c r="I1452" s="11" t="s">
        <v>37</v>
      </c>
      <c r="J1452" s="12">
        <v>1.6500000000000001E-2</v>
      </c>
      <c r="K1452" s="12">
        <v>7.5999999999999998E-2</v>
      </c>
      <c r="L1452" s="12">
        <v>0</v>
      </c>
      <c r="M1452" s="13">
        <v>0</v>
      </c>
      <c r="N1452" s="14">
        <v>2.2999999999999998</v>
      </c>
      <c r="O1452" s="14">
        <v>2.76</v>
      </c>
      <c r="P1452" s="15">
        <v>44835</v>
      </c>
      <c r="Q1452" s="16" t="s">
        <v>8470</v>
      </c>
      <c r="R1452" s="17" t="s">
        <v>35</v>
      </c>
      <c r="S1452" s="17" t="s">
        <v>35</v>
      </c>
      <c r="T1452" s="17" t="s">
        <v>35</v>
      </c>
      <c r="U1452" s="17" t="s">
        <v>35</v>
      </c>
      <c r="V1452" s="17" t="s">
        <v>35</v>
      </c>
      <c r="W1452" s="17" t="s">
        <v>35</v>
      </c>
      <c r="X1452" s="17" t="s">
        <v>35</v>
      </c>
      <c r="Y1452" s="17" t="s">
        <v>35</v>
      </c>
      <c r="Z1452" s="17" t="s">
        <v>35</v>
      </c>
      <c r="AA1452" s="17" t="s">
        <v>35</v>
      </c>
      <c r="AB1452" s="17" t="s">
        <v>8471</v>
      </c>
      <c r="AC1452" s="17" t="s">
        <v>9539</v>
      </c>
      <c r="AD1452" s="41">
        <v>184.6</v>
      </c>
      <c r="AE1452" s="41">
        <v>184.6</v>
      </c>
      <c r="AF1452" s="48"/>
      <c r="AG1452" s="44"/>
      <c r="AH1452" s="7">
        <f t="shared" si="22"/>
        <v>0</v>
      </c>
      <c r="AI1452" s="18"/>
      <c r="AJ1452" s="18"/>
    </row>
    <row r="1453" spans="1:38" ht="26.65" customHeight="1" x14ac:dyDescent="0.25">
      <c r="A1453" s="10" t="s">
        <v>8472</v>
      </c>
      <c r="B1453" s="9" t="s">
        <v>8416</v>
      </c>
      <c r="C1453" s="9" t="s">
        <v>34</v>
      </c>
      <c r="D1453" s="9" t="s">
        <v>8140</v>
      </c>
      <c r="E1453" s="9" t="s">
        <v>35</v>
      </c>
      <c r="F1453" s="9" t="s">
        <v>36</v>
      </c>
      <c r="G1453" s="9">
        <v>1</v>
      </c>
      <c r="H1453" s="9">
        <v>84212990</v>
      </c>
      <c r="I1453" s="11" t="s">
        <v>37</v>
      </c>
      <c r="J1453" s="12">
        <v>1.6500000000000001E-2</v>
      </c>
      <c r="K1453" s="12">
        <v>7.5999999999999998E-2</v>
      </c>
      <c r="L1453" s="12">
        <v>0</v>
      </c>
      <c r="M1453" s="13">
        <v>0</v>
      </c>
      <c r="N1453" s="14">
        <v>2.2999999999999998</v>
      </c>
      <c r="O1453" s="14">
        <v>2.76</v>
      </c>
      <c r="P1453" s="15">
        <v>44835</v>
      </c>
      <c r="Q1453" s="16" t="s">
        <v>8470</v>
      </c>
      <c r="R1453" s="17" t="s">
        <v>8473</v>
      </c>
      <c r="S1453" s="17" t="s">
        <v>35</v>
      </c>
      <c r="T1453" s="17" t="s">
        <v>35</v>
      </c>
      <c r="U1453" s="17" t="s">
        <v>35</v>
      </c>
      <c r="V1453" s="17" t="s">
        <v>35</v>
      </c>
      <c r="W1453" s="17" t="s">
        <v>35</v>
      </c>
      <c r="X1453" s="17" t="s">
        <v>35</v>
      </c>
      <c r="Y1453" s="17" t="s">
        <v>35</v>
      </c>
      <c r="Z1453" s="17" t="s">
        <v>8474</v>
      </c>
      <c r="AA1453" s="17" t="s">
        <v>35</v>
      </c>
      <c r="AB1453" s="17" t="s">
        <v>8475</v>
      </c>
      <c r="AC1453" s="17" t="s">
        <v>9539</v>
      </c>
      <c r="AD1453" s="41">
        <v>196.95</v>
      </c>
      <c r="AE1453" s="41">
        <v>196.95</v>
      </c>
      <c r="AF1453" s="48"/>
      <c r="AG1453" s="44"/>
      <c r="AH1453" s="7">
        <f t="shared" si="22"/>
        <v>0</v>
      </c>
      <c r="AI1453" s="18"/>
      <c r="AJ1453" s="18"/>
    </row>
    <row r="1454" spans="1:38" ht="26.65" customHeight="1" x14ac:dyDescent="0.25">
      <c r="A1454" s="10" t="s">
        <v>8476</v>
      </c>
      <c r="B1454" s="9" t="s">
        <v>8416</v>
      </c>
      <c r="C1454" s="9" t="s">
        <v>34</v>
      </c>
      <c r="D1454" s="9" t="s">
        <v>8140</v>
      </c>
      <c r="E1454" s="9" t="s">
        <v>35</v>
      </c>
      <c r="F1454" s="9" t="s">
        <v>36</v>
      </c>
      <c r="G1454" s="9">
        <v>1</v>
      </c>
      <c r="H1454" s="9">
        <v>84212990</v>
      </c>
      <c r="I1454" s="11" t="s">
        <v>37</v>
      </c>
      <c r="J1454" s="12">
        <v>1.6500000000000001E-2</v>
      </c>
      <c r="K1454" s="12">
        <v>7.5999999999999998E-2</v>
      </c>
      <c r="L1454" s="12">
        <v>0</v>
      </c>
      <c r="M1454" s="13">
        <v>0</v>
      </c>
      <c r="N1454" s="14">
        <v>2.2999999999999998</v>
      </c>
      <c r="O1454" s="14">
        <v>2.76</v>
      </c>
      <c r="P1454" s="15">
        <v>44835</v>
      </c>
      <c r="Q1454" s="16" t="s">
        <v>35</v>
      </c>
      <c r="R1454" s="17" t="s">
        <v>35</v>
      </c>
      <c r="S1454" s="17" t="s">
        <v>8787</v>
      </c>
      <c r="T1454" s="17" t="s">
        <v>35</v>
      </c>
      <c r="U1454" s="17" t="s">
        <v>8788</v>
      </c>
      <c r="V1454" s="17" t="s">
        <v>35</v>
      </c>
      <c r="W1454" s="17" t="s">
        <v>35</v>
      </c>
      <c r="X1454" s="17" t="s">
        <v>35</v>
      </c>
      <c r="Y1454" s="17" t="s">
        <v>35</v>
      </c>
      <c r="Z1454" s="17" t="s">
        <v>8474</v>
      </c>
      <c r="AA1454" s="17" t="s">
        <v>8789</v>
      </c>
      <c r="AB1454" s="17" t="s">
        <v>8475</v>
      </c>
      <c r="AC1454" s="17" t="s">
        <v>9539</v>
      </c>
      <c r="AD1454" s="41">
        <v>188.01</v>
      </c>
      <c r="AE1454" s="41">
        <v>188.01</v>
      </c>
      <c r="AF1454" s="48"/>
      <c r="AG1454" s="44"/>
      <c r="AH1454" s="7">
        <f t="shared" si="22"/>
        <v>0</v>
      </c>
      <c r="AI1454" s="18"/>
      <c r="AJ1454" s="18"/>
    </row>
    <row r="1455" spans="1:38" ht="26.65" customHeight="1" x14ac:dyDescent="0.25">
      <c r="A1455" s="10" t="s">
        <v>8477</v>
      </c>
      <c r="B1455" s="9" t="s">
        <v>8416</v>
      </c>
      <c r="C1455" s="9" t="s">
        <v>34</v>
      </c>
      <c r="D1455" s="9" t="s">
        <v>8140</v>
      </c>
      <c r="E1455" s="9" t="s">
        <v>35</v>
      </c>
      <c r="F1455" s="9" t="s">
        <v>36</v>
      </c>
      <c r="G1455" s="9">
        <v>1</v>
      </c>
      <c r="H1455" s="9">
        <v>84212990</v>
      </c>
      <c r="I1455" s="11" t="s">
        <v>37</v>
      </c>
      <c r="J1455" s="12">
        <v>1.6500000000000001E-2</v>
      </c>
      <c r="K1455" s="12">
        <v>7.5999999999999998E-2</v>
      </c>
      <c r="L1455" s="12">
        <v>0</v>
      </c>
      <c r="M1455" s="13">
        <v>0</v>
      </c>
      <c r="N1455" s="14">
        <v>2.2999999999999998</v>
      </c>
      <c r="O1455" s="14">
        <v>2.76</v>
      </c>
      <c r="P1455" s="15">
        <v>44835</v>
      </c>
      <c r="Q1455" s="16" t="s">
        <v>8470</v>
      </c>
      <c r="R1455" s="17" t="s">
        <v>8478</v>
      </c>
      <c r="S1455" s="17" t="s">
        <v>35</v>
      </c>
      <c r="T1455" s="17" t="s">
        <v>35</v>
      </c>
      <c r="U1455" s="17" t="s">
        <v>35</v>
      </c>
      <c r="V1455" s="17" t="s">
        <v>35</v>
      </c>
      <c r="W1455" s="17" t="s">
        <v>35</v>
      </c>
      <c r="X1455" s="17" t="s">
        <v>35</v>
      </c>
      <c r="Y1455" s="17" t="s">
        <v>35</v>
      </c>
      <c r="Z1455" s="17" t="s">
        <v>8479</v>
      </c>
      <c r="AA1455" s="17" t="s">
        <v>8480</v>
      </c>
      <c r="AB1455" s="17" t="s">
        <v>8481</v>
      </c>
      <c r="AC1455" s="17" t="s">
        <v>9539</v>
      </c>
      <c r="AD1455" s="41">
        <v>188.58</v>
      </c>
      <c r="AE1455" s="41">
        <v>188.58</v>
      </c>
      <c r="AF1455" s="48"/>
      <c r="AG1455" s="44"/>
      <c r="AH1455" s="7">
        <f t="shared" si="22"/>
        <v>0</v>
      </c>
      <c r="AI1455" s="18"/>
      <c r="AJ1455" s="18"/>
    </row>
    <row r="1456" spans="1:38" ht="26.65" customHeight="1" x14ac:dyDescent="0.25">
      <c r="A1456" s="10" t="s">
        <v>9022</v>
      </c>
      <c r="B1456" s="9" t="s">
        <v>8190</v>
      </c>
      <c r="C1456" s="9" t="s">
        <v>34</v>
      </c>
      <c r="D1456" s="9" t="s">
        <v>8140</v>
      </c>
      <c r="E1456" s="9" t="s">
        <v>35</v>
      </c>
      <c r="F1456" s="9" t="s">
        <v>36</v>
      </c>
      <c r="G1456" s="9">
        <v>1</v>
      </c>
      <c r="H1456" s="9">
        <v>84212990</v>
      </c>
      <c r="I1456" s="11" t="s">
        <v>37</v>
      </c>
      <c r="J1456" s="12">
        <v>1.6500000000000001E-2</v>
      </c>
      <c r="K1456" s="12">
        <v>7.5999999999999998E-2</v>
      </c>
      <c r="L1456" s="12">
        <v>0</v>
      </c>
      <c r="M1456" s="13" t="s">
        <v>35</v>
      </c>
      <c r="N1456" s="14" t="s">
        <v>35</v>
      </c>
      <c r="O1456" s="14" t="s">
        <v>35</v>
      </c>
      <c r="P1456" s="15">
        <v>45323</v>
      </c>
      <c r="Q1456" s="16" t="s">
        <v>9023</v>
      </c>
      <c r="R1456" s="17" t="s">
        <v>9024</v>
      </c>
      <c r="S1456" s="17" t="s">
        <v>9025</v>
      </c>
      <c r="T1456" s="17" t="s">
        <v>9026</v>
      </c>
      <c r="U1456" s="17" t="s">
        <v>35</v>
      </c>
      <c r="V1456" s="17" t="s">
        <v>9027</v>
      </c>
      <c r="W1456" s="17" t="s">
        <v>35</v>
      </c>
      <c r="X1456" s="17" t="s">
        <v>9028</v>
      </c>
      <c r="Y1456" s="17" t="s">
        <v>35</v>
      </c>
      <c r="Z1456" s="17" t="s">
        <v>9029</v>
      </c>
      <c r="AA1456" s="17" t="s">
        <v>35</v>
      </c>
      <c r="AB1456" s="17" t="s">
        <v>9030</v>
      </c>
      <c r="AC1456" s="17" t="s">
        <v>9539</v>
      </c>
      <c r="AD1456" s="41">
        <v>198.38</v>
      </c>
      <c r="AE1456" s="41">
        <v>198.38</v>
      </c>
      <c r="AF1456" s="48"/>
      <c r="AG1456" s="44"/>
      <c r="AH1456" s="7">
        <f t="shared" si="22"/>
        <v>0</v>
      </c>
      <c r="AI1456" s="18"/>
      <c r="AJ1456" s="18"/>
    </row>
    <row r="1457" spans="1:38" ht="26.65" customHeight="1" x14ac:dyDescent="0.25">
      <c r="A1457" s="10" t="s">
        <v>8482</v>
      </c>
      <c r="B1457" s="9" t="s">
        <v>8416</v>
      </c>
      <c r="C1457" s="9" t="s">
        <v>34</v>
      </c>
      <c r="D1457" s="9" t="s">
        <v>8140</v>
      </c>
      <c r="E1457" s="9" t="s">
        <v>35</v>
      </c>
      <c r="F1457" s="9" t="s">
        <v>36</v>
      </c>
      <c r="G1457" s="9">
        <v>1</v>
      </c>
      <c r="H1457" s="9">
        <v>84212990</v>
      </c>
      <c r="I1457" s="11" t="s">
        <v>37</v>
      </c>
      <c r="J1457" s="12">
        <v>1.6500000000000001E-2</v>
      </c>
      <c r="K1457" s="12">
        <v>7.5999999999999998E-2</v>
      </c>
      <c r="L1457" s="12">
        <v>0</v>
      </c>
      <c r="M1457" s="13">
        <v>0</v>
      </c>
      <c r="N1457" s="14">
        <v>1.5</v>
      </c>
      <c r="O1457" s="14">
        <v>1.609</v>
      </c>
      <c r="P1457" s="15">
        <v>44835</v>
      </c>
      <c r="Q1457" s="16" t="s">
        <v>8483</v>
      </c>
      <c r="R1457" s="17" t="s">
        <v>8484</v>
      </c>
      <c r="S1457" s="17" t="s">
        <v>8485</v>
      </c>
      <c r="T1457" s="17" t="s">
        <v>8486</v>
      </c>
      <c r="U1457" s="17" t="s">
        <v>8790</v>
      </c>
      <c r="V1457" s="17" t="s">
        <v>8487</v>
      </c>
      <c r="W1457" s="17" t="s">
        <v>8488</v>
      </c>
      <c r="X1457" s="17" t="s">
        <v>35</v>
      </c>
      <c r="Y1457" s="17" t="s">
        <v>35</v>
      </c>
      <c r="Z1457" s="17" t="s">
        <v>8466</v>
      </c>
      <c r="AA1457" s="17" t="s">
        <v>8791</v>
      </c>
      <c r="AB1457" s="17" t="s">
        <v>8489</v>
      </c>
      <c r="AC1457" s="17" t="s">
        <v>9539</v>
      </c>
      <c r="AD1457" s="41">
        <v>150.25</v>
      </c>
      <c r="AE1457" s="41">
        <v>150.25</v>
      </c>
      <c r="AF1457" s="48"/>
      <c r="AG1457" s="44"/>
      <c r="AH1457" s="7">
        <f t="shared" si="22"/>
        <v>0</v>
      </c>
      <c r="AI1457" s="18"/>
      <c r="AJ1457" s="18"/>
    </row>
    <row r="1458" spans="1:38" ht="26.65" customHeight="1" x14ac:dyDescent="0.25">
      <c r="A1458" s="10" t="s">
        <v>8490</v>
      </c>
      <c r="B1458" s="9" t="s">
        <v>8416</v>
      </c>
      <c r="C1458" s="9" t="s">
        <v>34</v>
      </c>
      <c r="D1458" s="9" t="s">
        <v>8140</v>
      </c>
      <c r="E1458" s="9" t="s">
        <v>35</v>
      </c>
      <c r="F1458" s="9" t="s">
        <v>36</v>
      </c>
      <c r="G1458" s="9">
        <v>1</v>
      </c>
      <c r="H1458" s="9">
        <v>84212990</v>
      </c>
      <c r="I1458" s="11" t="s">
        <v>37</v>
      </c>
      <c r="J1458" s="12">
        <v>1.6500000000000001E-2</v>
      </c>
      <c r="K1458" s="12">
        <v>7.5999999999999998E-2</v>
      </c>
      <c r="L1458" s="12">
        <v>0</v>
      </c>
      <c r="M1458" s="13">
        <v>0</v>
      </c>
      <c r="N1458" s="14">
        <v>2.2999999999999998</v>
      </c>
      <c r="O1458" s="14">
        <v>2.76</v>
      </c>
      <c r="P1458" s="15">
        <v>44835</v>
      </c>
      <c r="Q1458" s="16" t="s">
        <v>8491</v>
      </c>
      <c r="R1458" s="17" t="s">
        <v>8492</v>
      </c>
      <c r="S1458" s="17" t="s">
        <v>8792</v>
      </c>
      <c r="T1458" s="17" t="s">
        <v>35</v>
      </c>
      <c r="U1458" s="17" t="s">
        <v>8793</v>
      </c>
      <c r="V1458" s="17" t="s">
        <v>35</v>
      </c>
      <c r="W1458" s="17" t="s">
        <v>35</v>
      </c>
      <c r="X1458" s="17" t="s">
        <v>35</v>
      </c>
      <c r="Y1458" s="17" t="s">
        <v>35</v>
      </c>
      <c r="Z1458" s="17" t="s">
        <v>35</v>
      </c>
      <c r="AA1458" s="17" t="s">
        <v>8794</v>
      </c>
      <c r="AB1458" s="17" t="s">
        <v>8493</v>
      </c>
      <c r="AC1458" s="17" t="s">
        <v>9539</v>
      </c>
      <c r="AD1458" s="41">
        <v>198.74</v>
      </c>
      <c r="AE1458" s="41">
        <v>198.74</v>
      </c>
      <c r="AF1458" s="48"/>
      <c r="AG1458" s="44"/>
      <c r="AH1458" s="7">
        <f t="shared" si="22"/>
        <v>0</v>
      </c>
      <c r="AI1458" s="18"/>
      <c r="AJ1458" s="18"/>
    </row>
    <row r="1459" spans="1:38" ht="26.65" customHeight="1" x14ac:dyDescent="0.25">
      <c r="A1459" s="10" t="s">
        <v>9491</v>
      </c>
      <c r="B1459" s="9" t="s">
        <v>8139</v>
      </c>
      <c r="C1459" s="9" t="s">
        <v>34</v>
      </c>
      <c r="D1459" s="9" t="s">
        <v>8140</v>
      </c>
      <c r="E1459" s="9" t="s">
        <v>122</v>
      </c>
      <c r="F1459" s="9" t="s">
        <v>36</v>
      </c>
      <c r="G1459" s="9">
        <v>1</v>
      </c>
      <c r="H1459" s="9">
        <v>84219999</v>
      </c>
      <c r="I1459" s="11" t="s">
        <v>37</v>
      </c>
      <c r="J1459" s="12">
        <v>1.6500000000000001E-2</v>
      </c>
      <c r="K1459" s="12">
        <v>7.5999999999999998E-2</v>
      </c>
      <c r="L1459" s="12">
        <v>5.1999999999999998E-2</v>
      </c>
      <c r="M1459" s="13" t="s">
        <v>35</v>
      </c>
      <c r="N1459" s="14">
        <v>0</v>
      </c>
      <c r="O1459" s="14">
        <v>0</v>
      </c>
      <c r="P1459" s="15">
        <v>45444</v>
      </c>
      <c r="Q1459" s="16" t="s">
        <v>9492</v>
      </c>
      <c r="R1459" s="17" t="s">
        <v>9493</v>
      </c>
      <c r="S1459" s="17" t="s">
        <v>35</v>
      </c>
      <c r="T1459" s="17" t="s">
        <v>35</v>
      </c>
      <c r="U1459" s="17" t="s">
        <v>35</v>
      </c>
      <c r="V1459" s="17" t="s">
        <v>35</v>
      </c>
      <c r="W1459" s="17" t="s">
        <v>35</v>
      </c>
      <c r="X1459" s="17" t="s">
        <v>35</v>
      </c>
      <c r="Y1459" s="17" t="s">
        <v>35</v>
      </c>
      <c r="Z1459" s="17" t="s">
        <v>35</v>
      </c>
      <c r="AA1459" s="17" t="s">
        <v>35</v>
      </c>
      <c r="AB1459" s="17" t="s">
        <v>9494</v>
      </c>
      <c r="AC1459" s="17" t="s">
        <v>9539</v>
      </c>
      <c r="AD1459" s="41">
        <v>257.64</v>
      </c>
      <c r="AE1459" s="41">
        <v>271.04000000000002</v>
      </c>
      <c r="AF1459" s="48"/>
      <c r="AG1459" s="44"/>
      <c r="AH1459" s="7">
        <f t="shared" si="22"/>
        <v>0</v>
      </c>
      <c r="AI1459" s="18"/>
      <c r="AJ1459" s="18"/>
    </row>
    <row r="1460" spans="1:38" ht="26.65" customHeight="1" x14ac:dyDescent="0.25">
      <c r="A1460" s="10" t="s">
        <v>9495</v>
      </c>
      <c r="B1460" s="9" t="s">
        <v>8139</v>
      </c>
      <c r="C1460" s="9" t="s">
        <v>34</v>
      </c>
      <c r="D1460" s="9" t="s">
        <v>8140</v>
      </c>
      <c r="E1460" s="9" t="s">
        <v>122</v>
      </c>
      <c r="F1460" s="9" t="s">
        <v>36</v>
      </c>
      <c r="G1460" s="9">
        <v>1</v>
      </c>
      <c r="H1460" s="9">
        <v>84219999</v>
      </c>
      <c r="I1460" s="11" t="s">
        <v>37</v>
      </c>
      <c r="J1460" s="12">
        <v>1.6500000000000001E-2</v>
      </c>
      <c r="K1460" s="12">
        <v>7.5999999999999998E-2</v>
      </c>
      <c r="L1460" s="12">
        <v>5.1999999999999998E-2</v>
      </c>
      <c r="M1460" s="13" t="s">
        <v>35</v>
      </c>
      <c r="N1460" s="14">
        <v>0</v>
      </c>
      <c r="O1460" s="14">
        <v>0</v>
      </c>
      <c r="P1460" s="15">
        <v>45444</v>
      </c>
      <c r="Q1460" s="16" t="s">
        <v>9496</v>
      </c>
      <c r="R1460" s="17" t="s">
        <v>9497</v>
      </c>
      <c r="S1460" s="17" t="s">
        <v>9498</v>
      </c>
      <c r="T1460" s="17" t="s">
        <v>35</v>
      </c>
      <c r="U1460" s="17" t="s">
        <v>9499</v>
      </c>
      <c r="V1460" s="17" t="s">
        <v>35</v>
      </c>
      <c r="W1460" s="17" t="s">
        <v>35</v>
      </c>
      <c r="X1460" s="17" t="s">
        <v>35</v>
      </c>
      <c r="Y1460" s="17" t="s">
        <v>35</v>
      </c>
      <c r="Z1460" s="17" t="s">
        <v>9500</v>
      </c>
      <c r="AA1460" s="17" t="s">
        <v>9501</v>
      </c>
      <c r="AB1460" s="17" t="s">
        <v>9502</v>
      </c>
      <c r="AC1460" s="17" t="s">
        <v>9539</v>
      </c>
      <c r="AD1460" s="41">
        <v>209.15</v>
      </c>
      <c r="AE1460" s="41">
        <v>220.03</v>
      </c>
      <c r="AF1460" s="48"/>
      <c r="AG1460" s="44"/>
      <c r="AH1460" s="7">
        <f t="shared" si="22"/>
        <v>0</v>
      </c>
      <c r="AI1460" s="18"/>
      <c r="AJ1460" s="18"/>
    </row>
    <row r="1461" spans="1:38" ht="26.65" customHeight="1" x14ac:dyDescent="0.25">
      <c r="A1461" s="10" t="s">
        <v>9031</v>
      </c>
      <c r="B1461" s="9" t="s">
        <v>8139</v>
      </c>
      <c r="C1461" s="9" t="s">
        <v>34</v>
      </c>
      <c r="D1461" s="9" t="s">
        <v>8140</v>
      </c>
      <c r="E1461" s="9" t="s">
        <v>35</v>
      </c>
      <c r="F1461" s="9" t="s">
        <v>36</v>
      </c>
      <c r="G1461" s="9">
        <v>1</v>
      </c>
      <c r="H1461" s="9">
        <v>84219999</v>
      </c>
      <c r="I1461" s="11" t="s">
        <v>37</v>
      </c>
      <c r="J1461" s="12">
        <v>1.6500000000000001E-2</v>
      </c>
      <c r="K1461" s="12">
        <v>7.5999999999999998E-2</v>
      </c>
      <c r="L1461" s="12">
        <v>5.1999999999999998E-2</v>
      </c>
      <c r="M1461" s="13" t="s">
        <v>35</v>
      </c>
      <c r="N1461" s="14" t="s">
        <v>35</v>
      </c>
      <c r="O1461" s="14" t="s">
        <v>35</v>
      </c>
      <c r="P1461" s="15">
        <v>45352</v>
      </c>
      <c r="Q1461" s="16" t="s">
        <v>9032</v>
      </c>
      <c r="R1461" s="17" t="s">
        <v>35</v>
      </c>
      <c r="S1461" s="17" t="s">
        <v>35</v>
      </c>
      <c r="T1461" s="17" t="s">
        <v>35</v>
      </c>
      <c r="U1461" s="17" t="s">
        <v>35</v>
      </c>
      <c r="V1461" s="17" t="s">
        <v>35</v>
      </c>
      <c r="W1461" s="17" t="s">
        <v>35</v>
      </c>
      <c r="X1461" s="17" t="s">
        <v>35</v>
      </c>
      <c r="Y1461" s="17" t="s">
        <v>35</v>
      </c>
      <c r="Z1461" s="17" t="s">
        <v>9033</v>
      </c>
      <c r="AA1461" s="17" t="s">
        <v>9034</v>
      </c>
      <c r="AB1461" s="17" t="s">
        <v>9035</v>
      </c>
      <c r="AC1461" s="17" t="s">
        <v>9539</v>
      </c>
      <c r="AD1461" s="41">
        <v>238.72</v>
      </c>
      <c r="AE1461" s="41">
        <v>251.13</v>
      </c>
      <c r="AF1461" s="48"/>
      <c r="AG1461" s="44"/>
      <c r="AH1461" s="7">
        <f t="shared" si="22"/>
        <v>0</v>
      </c>
      <c r="AI1461" s="18"/>
      <c r="AJ1461" s="18"/>
    </row>
    <row r="1462" spans="1:38" ht="26.65" customHeight="1" x14ac:dyDescent="0.25">
      <c r="A1462" s="10" t="s">
        <v>9036</v>
      </c>
      <c r="B1462" s="9" t="s">
        <v>8190</v>
      </c>
      <c r="C1462" s="9" t="s">
        <v>34</v>
      </c>
      <c r="D1462" s="9" t="s">
        <v>8140</v>
      </c>
      <c r="E1462" s="9" t="s">
        <v>35</v>
      </c>
      <c r="F1462" s="9" t="s">
        <v>36</v>
      </c>
      <c r="G1462" s="9">
        <v>1</v>
      </c>
      <c r="H1462" s="9">
        <v>84219999</v>
      </c>
      <c r="I1462" s="11" t="s">
        <v>37</v>
      </c>
      <c r="J1462" s="12">
        <v>1.6500000000000001E-2</v>
      </c>
      <c r="K1462" s="12">
        <v>7.5999999999999998E-2</v>
      </c>
      <c r="L1462" s="12">
        <v>5.1999999999999998E-2</v>
      </c>
      <c r="M1462" s="13" t="s">
        <v>35</v>
      </c>
      <c r="N1462" s="14">
        <v>0</v>
      </c>
      <c r="O1462" s="14">
        <v>0</v>
      </c>
      <c r="P1462" s="15">
        <v>45323</v>
      </c>
      <c r="Q1462" s="16" t="s">
        <v>35</v>
      </c>
      <c r="R1462" s="17" t="s">
        <v>35</v>
      </c>
      <c r="S1462" s="17" t="s">
        <v>35</v>
      </c>
      <c r="T1462" s="17" t="s">
        <v>35</v>
      </c>
      <c r="U1462" s="17" t="s">
        <v>35</v>
      </c>
      <c r="V1462" s="17" t="s">
        <v>35</v>
      </c>
      <c r="W1462" s="17" t="s">
        <v>35</v>
      </c>
      <c r="X1462" s="17" t="s">
        <v>35</v>
      </c>
      <c r="Y1462" s="17" t="s">
        <v>35</v>
      </c>
      <c r="Z1462" s="17" t="s">
        <v>35</v>
      </c>
      <c r="AA1462" s="17" t="s">
        <v>35</v>
      </c>
      <c r="AB1462" s="17" t="s">
        <v>9037</v>
      </c>
      <c r="AC1462" s="17" t="s">
        <v>9539</v>
      </c>
      <c r="AD1462" s="41">
        <v>124.55</v>
      </c>
      <c r="AE1462" s="41">
        <v>131.03</v>
      </c>
      <c r="AF1462" s="48"/>
      <c r="AG1462" s="44"/>
      <c r="AH1462" s="7">
        <f t="shared" si="22"/>
        <v>0</v>
      </c>
      <c r="AI1462" s="18"/>
      <c r="AJ1462" s="18"/>
    </row>
    <row r="1463" spans="1:38" ht="26.65" customHeight="1" x14ac:dyDescent="0.25">
      <c r="A1463" s="10" t="s">
        <v>9038</v>
      </c>
      <c r="B1463" s="9" t="s">
        <v>8190</v>
      </c>
      <c r="C1463" s="9" t="s">
        <v>34</v>
      </c>
      <c r="D1463" s="9" t="s">
        <v>8140</v>
      </c>
      <c r="E1463" s="9" t="s">
        <v>35</v>
      </c>
      <c r="F1463" s="9" t="s">
        <v>36</v>
      </c>
      <c r="G1463" s="9">
        <v>1</v>
      </c>
      <c r="H1463" s="9">
        <v>84219999</v>
      </c>
      <c r="I1463" s="11" t="s">
        <v>37</v>
      </c>
      <c r="J1463" s="12">
        <v>1.6500000000000001E-2</v>
      </c>
      <c r="K1463" s="12">
        <v>7.5999999999999998E-2</v>
      </c>
      <c r="L1463" s="12">
        <v>5.1999999999999998E-2</v>
      </c>
      <c r="M1463" s="13" t="s">
        <v>35</v>
      </c>
      <c r="N1463" s="14">
        <v>0</v>
      </c>
      <c r="O1463" s="14">
        <v>0</v>
      </c>
      <c r="P1463" s="15">
        <v>45323</v>
      </c>
      <c r="Q1463" s="16" t="s">
        <v>35</v>
      </c>
      <c r="R1463" s="17" t="s">
        <v>35</v>
      </c>
      <c r="S1463" s="17" t="s">
        <v>35</v>
      </c>
      <c r="T1463" s="17" t="s">
        <v>35</v>
      </c>
      <c r="U1463" s="17" t="s">
        <v>35</v>
      </c>
      <c r="V1463" s="17" t="s">
        <v>35</v>
      </c>
      <c r="W1463" s="17" t="s">
        <v>35</v>
      </c>
      <c r="X1463" s="17" t="s">
        <v>35</v>
      </c>
      <c r="Y1463" s="17" t="s">
        <v>35</v>
      </c>
      <c r="Z1463" s="17" t="s">
        <v>35</v>
      </c>
      <c r="AA1463" s="17" t="s">
        <v>35</v>
      </c>
      <c r="AB1463" s="17" t="s">
        <v>9039</v>
      </c>
      <c r="AC1463" s="17" t="s">
        <v>9539</v>
      </c>
      <c r="AD1463" s="41">
        <v>117.39</v>
      </c>
      <c r="AE1463" s="41">
        <v>123.49</v>
      </c>
      <c r="AF1463" s="48"/>
      <c r="AG1463" s="44"/>
      <c r="AH1463" s="7">
        <f t="shared" si="22"/>
        <v>0</v>
      </c>
      <c r="AI1463" s="18"/>
      <c r="AJ1463" s="18"/>
    </row>
    <row r="1464" spans="1:38" ht="26.65" customHeight="1" x14ac:dyDescent="0.25">
      <c r="A1464" s="10" t="s">
        <v>10663</v>
      </c>
      <c r="B1464" s="9" t="s">
        <v>8139</v>
      </c>
      <c r="C1464" s="9" t="s">
        <v>34</v>
      </c>
      <c r="D1464" s="9" t="s">
        <v>8140</v>
      </c>
      <c r="E1464" s="9" t="s">
        <v>35</v>
      </c>
      <c r="F1464" s="9" t="s">
        <v>36</v>
      </c>
      <c r="G1464" s="9">
        <v>1</v>
      </c>
      <c r="H1464" s="9">
        <v>84219999</v>
      </c>
      <c r="I1464" s="11" t="s">
        <v>37</v>
      </c>
      <c r="J1464" s="12">
        <v>1.6500000000000001E-2</v>
      </c>
      <c r="K1464" s="12">
        <v>7.5999999999999998E-2</v>
      </c>
      <c r="L1464" s="12">
        <v>5.1999999999999998E-2</v>
      </c>
      <c r="M1464" s="13" t="s">
        <v>35</v>
      </c>
      <c r="N1464" s="14" t="s">
        <v>35</v>
      </c>
      <c r="O1464" s="14" t="s">
        <v>35</v>
      </c>
      <c r="P1464" s="15">
        <v>45597</v>
      </c>
      <c r="Q1464" s="16" t="s">
        <v>10664</v>
      </c>
      <c r="R1464" s="17" t="s">
        <v>35</v>
      </c>
      <c r="S1464" s="17" t="s">
        <v>35</v>
      </c>
      <c r="T1464" s="17" t="s">
        <v>35</v>
      </c>
      <c r="U1464" s="17" t="s">
        <v>35</v>
      </c>
      <c r="V1464" s="17" t="s">
        <v>35</v>
      </c>
      <c r="W1464" s="17" t="s">
        <v>35</v>
      </c>
      <c r="X1464" s="17" t="s">
        <v>35</v>
      </c>
      <c r="Y1464" s="17" t="s">
        <v>35</v>
      </c>
      <c r="Z1464" s="17" t="s">
        <v>35</v>
      </c>
      <c r="AA1464" s="17" t="s">
        <v>35</v>
      </c>
      <c r="AB1464" s="17" t="s">
        <v>35</v>
      </c>
      <c r="AC1464" s="17" t="s">
        <v>9539</v>
      </c>
      <c r="AD1464" s="41">
        <v>102.41</v>
      </c>
      <c r="AE1464" s="41">
        <v>107.74</v>
      </c>
      <c r="AF1464" s="48"/>
      <c r="AG1464" s="44"/>
      <c r="AH1464" s="7">
        <f t="shared" si="22"/>
        <v>0</v>
      </c>
      <c r="AI1464" s="18"/>
      <c r="AJ1464" s="18"/>
    </row>
    <row r="1465" spans="1:38" ht="26.65" customHeight="1" x14ac:dyDescent="0.25">
      <c r="A1465" s="10" t="s">
        <v>8494</v>
      </c>
      <c r="B1465" s="9" t="s">
        <v>8495</v>
      </c>
      <c r="C1465" s="9" t="s">
        <v>34</v>
      </c>
      <c r="D1465" s="9" t="s">
        <v>8140</v>
      </c>
      <c r="E1465" s="9" t="s">
        <v>35</v>
      </c>
      <c r="F1465" s="9" t="s">
        <v>36</v>
      </c>
      <c r="G1465" s="9">
        <v>1</v>
      </c>
      <c r="H1465" s="9">
        <v>84219999</v>
      </c>
      <c r="I1465" s="11" t="s">
        <v>37</v>
      </c>
      <c r="J1465" s="12">
        <v>1.6500000000000001E-2</v>
      </c>
      <c r="K1465" s="12">
        <v>7.5999999999999998E-2</v>
      </c>
      <c r="L1465" s="12">
        <v>5.1999999999999998E-2</v>
      </c>
      <c r="M1465" s="13" t="s">
        <v>8579</v>
      </c>
      <c r="N1465" s="14">
        <v>0</v>
      </c>
      <c r="O1465" s="14">
        <v>0</v>
      </c>
      <c r="P1465" s="15">
        <v>44958</v>
      </c>
      <c r="Q1465" s="16" t="s">
        <v>35</v>
      </c>
      <c r="R1465" s="17" t="s">
        <v>35</v>
      </c>
      <c r="S1465" s="17" t="s">
        <v>35</v>
      </c>
      <c r="T1465" s="17" t="s">
        <v>35</v>
      </c>
      <c r="U1465" s="17" t="s">
        <v>35</v>
      </c>
      <c r="V1465" s="17" t="s">
        <v>35</v>
      </c>
      <c r="W1465" s="17" t="s">
        <v>35</v>
      </c>
      <c r="X1465" s="17" t="s">
        <v>35</v>
      </c>
      <c r="Y1465" s="17" t="s">
        <v>35</v>
      </c>
      <c r="Z1465" s="17" t="s">
        <v>8496</v>
      </c>
      <c r="AA1465" s="17" t="s">
        <v>35</v>
      </c>
      <c r="AB1465" s="17" t="s">
        <v>8497</v>
      </c>
      <c r="AC1465" s="17" t="s">
        <v>9539</v>
      </c>
      <c r="AD1465" s="41">
        <v>51.48</v>
      </c>
      <c r="AE1465" s="41">
        <v>54.16</v>
      </c>
      <c r="AF1465" s="48"/>
      <c r="AG1465" s="44"/>
      <c r="AH1465" s="7">
        <f t="shared" si="22"/>
        <v>0</v>
      </c>
      <c r="AI1465" s="18"/>
      <c r="AJ1465" s="18"/>
      <c r="AL1465" s="18"/>
    </row>
    <row r="1466" spans="1:38" ht="26.65" customHeight="1" x14ac:dyDescent="0.25">
      <c r="A1466" s="10" t="s">
        <v>9503</v>
      </c>
      <c r="B1466" s="9" t="s">
        <v>8139</v>
      </c>
      <c r="C1466" s="9" t="s">
        <v>34</v>
      </c>
      <c r="D1466" s="9" t="s">
        <v>8140</v>
      </c>
      <c r="E1466" s="9" t="s">
        <v>122</v>
      </c>
      <c r="F1466" s="9" t="s">
        <v>36</v>
      </c>
      <c r="G1466" s="9">
        <v>1</v>
      </c>
      <c r="H1466" s="9">
        <v>84219999</v>
      </c>
      <c r="I1466" s="11" t="s">
        <v>37</v>
      </c>
      <c r="J1466" s="12">
        <v>1.6500000000000001E-2</v>
      </c>
      <c r="K1466" s="12">
        <v>7.5999999999999998E-2</v>
      </c>
      <c r="L1466" s="12">
        <v>5.1999999999999998E-2</v>
      </c>
      <c r="M1466" s="13" t="s">
        <v>35</v>
      </c>
      <c r="N1466" s="14">
        <v>0</v>
      </c>
      <c r="O1466" s="14">
        <v>0</v>
      </c>
      <c r="P1466" s="15">
        <v>45444</v>
      </c>
      <c r="Q1466" s="16" t="s">
        <v>9504</v>
      </c>
      <c r="R1466" s="17">
        <v>848101079</v>
      </c>
      <c r="S1466" s="17" t="s">
        <v>35</v>
      </c>
      <c r="T1466" s="17" t="s">
        <v>35</v>
      </c>
      <c r="U1466" s="17" t="s">
        <v>35</v>
      </c>
      <c r="V1466" s="17" t="s">
        <v>35</v>
      </c>
      <c r="W1466" s="17" t="s">
        <v>35</v>
      </c>
      <c r="X1466" s="17" t="s">
        <v>35</v>
      </c>
      <c r="Y1466" s="17" t="s">
        <v>35</v>
      </c>
      <c r="Z1466" s="17" t="s">
        <v>35</v>
      </c>
      <c r="AA1466" s="17" t="s">
        <v>35</v>
      </c>
      <c r="AB1466" s="17" t="s">
        <v>9505</v>
      </c>
      <c r="AC1466" s="17" t="s">
        <v>9539</v>
      </c>
      <c r="AD1466" s="41">
        <v>87.53</v>
      </c>
      <c r="AE1466" s="41">
        <v>92.08</v>
      </c>
      <c r="AF1466" s="48"/>
      <c r="AG1466" s="44"/>
      <c r="AH1466" s="7">
        <f t="shared" si="22"/>
        <v>0</v>
      </c>
      <c r="AI1466" s="18"/>
      <c r="AJ1466" s="18"/>
    </row>
    <row r="1467" spans="1:38" ht="26.65" customHeight="1" x14ac:dyDescent="0.25">
      <c r="A1467" s="10" t="s">
        <v>8795</v>
      </c>
      <c r="B1467" s="9" t="s">
        <v>8139</v>
      </c>
      <c r="C1467" s="9" t="s">
        <v>34</v>
      </c>
      <c r="D1467" s="9" t="s">
        <v>8140</v>
      </c>
      <c r="E1467" s="9" t="s">
        <v>35</v>
      </c>
      <c r="F1467" s="9" t="s">
        <v>36</v>
      </c>
      <c r="G1467" s="9">
        <v>1</v>
      </c>
      <c r="H1467" s="9">
        <v>84219999</v>
      </c>
      <c r="I1467" s="11" t="s">
        <v>37</v>
      </c>
      <c r="J1467" s="12">
        <v>1.6500000000000001E-2</v>
      </c>
      <c r="K1467" s="12">
        <v>7.5999999999999998E-2</v>
      </c>
      <c r="L1467" s="12">
        <v>5.1999999999999998E-2</v>
      </c>
      <c r="M1467" s="13" t="s">
        <v>8579</v>
      </c>
      <c r="N1467" s="14" t="s">
        <v>35</v>
      </c>
      <c r="O1467" s="14" t="s">
        <v>35</v>
      </c>
      <c r="P1467" s="15">
        <v>45292</v>
      </c>
      <c r="Q1467" s="16" t="s">
        <v>35</v>
      </c>
      <c r="R1467" s="17">
        <v>8915200</v>
      </c>
      <c r="S1467" s="17" t="s">
        <v>35</v>
      </c>
      <c r="T1467" s="17" t="s">
        <v>35</v>
      </c>
      <c r="U1467" s="17" t="s">
        <v>35</v>
      </c>
      <c r="V1467" s="17" t="s">
        <v>35</v>
      </c>
      <c r="W1467" s="17" t="s">
        <v>35</v>
      </c>
      <c r="X1467" s="17" t="s">
        <v>35</v>
      </c>
      <c r="Y1467" s="17" t="s">
        <v>35</v>
      </c>
      <c r="Z1467" s="17" t="s">
        <v>35</v>
      </c>
      <c r="AA1467" s="17" t="s">
        <v>35</v>
      </c>
      <c r="AB1467" s="17" t="s">
        <v>8796</v>
      </c>
      <c r="AC1467" s="17" t="s">
        <v>9539</v>
      </c>
      <c r="AD1467" s="41">
        <v>68.17</v>
      </c>
      <c r="AE1467" s="41">
        <v>71.709999999999994</v>
      </c>
      <c r="AF1467" s="48"/>
      <c r="AG1467" s="44"/>
      <c r="AH1467" s="7">
        <f t="shared" si="22"/>
        <v>0</v>
      </c>
      <c r="AI1467" s="18"/>
      <c r="AJ1467" s="18"/>
    </row>
    <row r="1468" spans="1:38" ht="26.65" customHeight="1" x14ac:dyDescent="0.25">
      <c r="A1468" s="10" t="s">
        <v>8498</v>
      </c>
      <c r="B1468" s="9" t="s">
        <v>8499</v>
      </c>
      <c r="C1468" s="9" t="s">
        <v>34</v>
      </c>
      <c r="D1468" s="9" t="s">
        <v>8140</v>
      </c>
      <c r="E1468" s="9" t="s">
        <v>35</v>
      </c>
      <c r="F1468" s="9" t="s">
        <v>36</v>
      </c>
      <c r="G1468" s="9">
        <v>1</v>
      </c>
      <c r="H1468" s="9">
        <v>84219999</v>
      </c>
      <c r="I1468" s="11" t="s">
        <v>37</v>
      </c>
      <c r="J1468" s="12">
        <v>1.6500000000000001E-2</v>
      </c>
      <c r="K1468" s="12">
        <v>7.5999999999999998E-2</v>
      </c>
      <c r="L1468" s="12">
        <v>5.1999999999999998E-2</v>
      </c>
      <c r="M1468" s="13" t="s">
        <v>8579</v>
      </c>
      <c r="N1468" s="14">
        <v>0</v>
      </c>
      <c r="O1468" s="14">
        <v>0</v>
      </c>
      <c r="P1468" s="15">
        <v>44958</v>
      </c>
      <c r="Q1468" s="16" t="s">
        <v>35</v>
      </c>
      <c r="R1468" s="17" t="s">
        <v>35</v>
      </c>
      <c r="S1468" s="17" t="s">
        <v>35</v>
      </c>
      <c r="T1468" s="17" t="s">
        <v>35</v>
      </c>
      <c r="U1468" s="17" t="s">
        <v>35</v>
      </c>
      <c r="V1468" s="17" t="s">
        <v>35</v>
      </c>
      <c r="W1468" s="17" t="s">
        <v>35</v>
      </c>
      <c r="X1468" s="17" t="s">
        <v>35</v>
      </c>
      <c r="Y1468" s="17" t="s">
        <v>35</v>
      </c>
      <c r="Z1468" s="17" t="s">
        <v>8500</v>
      </c>
      <c r="AA1468" s="17" t="s">
        <v>35</v>
      </c>
      <c r="AB1468" s="17" t="s">
        <v>8501</v>
      </c>
      <c r="AC1468" s="17" t="s">
        <v>9539</v>
      </c>
      <c r="AD1468" s="41">
        <v>83.3</v>
      </c>
      <c r="AE1468" s="41">
        <v>87.63</v>
      </c>
      <c r="AF1468" s="48"/>
      <c r="AG1468" s="44"/>
      <c r="AH1468" s="7">
        <f t="shared" si="22"/>
        <v>0</v>
      </c>
      <c r="AI1468" s="18"/>
      <c r="AJ1468" s="18"/>
      <c r="AL1468" s="18"/>
    </row>
    <row r="1469" spans="1:38" ht="26.65" customHeight="1" x14ac:dyDescent="0.25">
      <c r="A1469" s="10" t="s">
        <v>8797</v>
      </c>
      <c r="B1469" s="9" t="s">
        <v>8139</v>
      </c>
      <c r="C1469" s="9" t="s">
        <v>34</v>
      </c>
      <c r="D1469" s="9" t="s">
        <v>8140</v>
      </c>
      <c r="E1469" s="9" t="s">
        <v>35</v>
      </c>
      <c r="F1469" s="9" t="s">
        <v>36</v>
      </c>
      <c r="G1469" s="9">
        <v>1</v>
      </c>
      <c r="H1469" s="9">
        <v>84219999</v>
      </c>
      <c r="I1469" s="11" t="s">
        <v>37</v>
      </c>
      <c r="J1469" s="12">
        <v>1.6500000000000001E-2</v>
      </c>
      <c r="K1469" s="12">
        <v>7.5999999999999998E-2</v>
      </c>
      <c r="L1469" s="12">
        <v>5.1999999999999998E-2</v>
      </c>
      <c r="M1469" s="13" t="s">
        <v>8579</v>
      </c>
      <c r="N1469" s="14" t="s">
        <v>35</v>
      </c>
      <c r="O1469" s="14" t="s">
        <v>35</v>
      </c>
      <c r="P1469" s="15">
        <v>45292</v>
      </c>
      <c r="Q1469" s="16" t="s">
        <v>35</v>
      </c>
      <c r="R1469" s="17" t="s">
        <v>35</v>
      </c>
      <c r="S1469" s="17" t="s">
        <v>35</v>
      </c>
      <c r="T1469" s="17" t="s">
        <v>35</v>
      </c>
      <c r="U1469" s="17" t="s">
        <v>35</v>
      </c>
      <c r="V1469" s="17" t="s">
        <v>35</v>
      </c>
      <c r="W1469" s="17" t="s">
        <v>35</v>
      </c>
      <c r="X1469" s="17" t="s">
        <v>35</v>
      </c>
      <c r="Y1469" s="17" t="s">
        <v>35</v>
      </c>
      <c r="Z1469" s="17" t="s">
        <v>8798</v>
      </c>
      <c r="AA1469" s="17" t="s">
        <v>35</v>
      </c>
      <c r="AB1469" s="17" t="s">
        <v>8799</v>
      </c>
      <c r="AC1469" s="17" t="s">
        <v>9539</v>
      </c>
      <c r="AD1469" s="41">
        <v>59.25</v>
      </c>
      <c r="AE1469" s="41">
        <v>62.33</v>
      </c>
      <c r="AF1469" s="48"/>
      <c r="AG1469" s="44"/>
      <c r="AH1469" s="7">
        <f t="shared" si="22"/>
        <v>0</v>
      </c>
      <c r="AI1469" s="18"/>
      <c r="AJ1469" s="18"/>
    </row>
    <row r="1470" spans="1:38" ht="26.65" customHeight="1" x14ac:dyDescent="0.25">
      <c r="A1470" s="10" t="s">
        <v>9277</v>
      </c>
      <c r="B1470" s="9" t="s">
        <v>8139</v>
      </c>
      <c r="C1470" s="9" t="s">
        <v>34</v>
      </c>
      <c r="D1470" s="9" t="s">
        <v>8140</v>
      </c>
      <c r="E1470" s="9" t="s">
        <v>35</v>
      </c>
      <c r="F1470" s="9" t="s">
        <v>36</v>
      </c>
      <c r="G1470" s="9">
        <v>1</v>
      </c>
      <c r="H1470" s="9">
        <v>84219999</v>
      </c>
      <c r="I1470" s="11" t="s">
        <v>37</v>
      </c>
      <c r="J1470" s="12">
        <v>1.6500000000000001E-2</v>
      </c>
      <c r="K1470" s="12">
        <v>7.5999999999999998E-2</v>
      </c>
      <c r="L1470" s="12">
        <v>5.1999999999999998E-2</v>
      </c>
      <c r="M1470" s="13" t="s">
        <v>35</v>
      </c>
      <c r="N1470" s="14">
        <v>0</v>
      </c>
      <c r="O1470" s="14">
        <v>0</v>
      </c>
      <c r="P1470" s="15">
        <v>45413</v>
      </c>
      <c r="Q1470" s="16" t="s">
        <v>9278</v>
      </c>
      <c r="R1470" s="17" t="s">
        <v>35</v>
      </c>
      <c r="S1470" s="17" t="s">
        <v>35</v>
      </c>
      <c r="T1470" s="17" t="s">
        <v>35</v>
      </c>
      <c r="U1470" s="17" t="s">
        <v>35</v>
      </c>
      <c r="V1470" s="17" t="s">
        <v>35</v>
      </c>
      <c r="W1470" s="17" t="s">
        <v>35</v>
      </c>
      <c r="X1470" s="17" t="s">
        <v>35</v>
      </c>
      <c r="Y1470" s="17" t="s">
        <v>35</v>
      </c>
      <c r="Z1470" s="17" t="s">
        <v>35</v>
      </c>
      <c r="AA1470" s="17" t="s">
        <v>35</v>
      </c>
      <c r="AB1470" s="17" t="s">
        <v>9279</v>
      </c>
      <c r="AC1470" s="17" t="s">
        <v>9539</v>
      </c>
      <c r="AD1470" s="41">
        <v>81.93</v>
      </c>
      <c r="AE1470" s="41">
        <v>86.19</v>
      </c>
      <c r="AF1470" s="48"/>
      <c r="AG1470" s="44"/>
      <c r="AH1470" s="7">
        <f t="shared" si="22"/>
        <v>0</v>
      </c>
      <c r="AI1470" s="18"/>
      <c r="AJ1470" s="18"/>
    </row>
    <row r="1471" spans="1:38" ht="26.65" customHeight="1" x14ac:dyDescent="0.25">
      <c r="A1471" s="10" t="s">
        <v>8800</v>
      </c>
      <c r="B1471" s="9" t="s">
        <v>8139</v>
      </c>
      <c r="C1471" s="9" t="s">
        <v>34</v>
      </c>
      <c r="D1471" s="9" t="s">
        <v>8140</v>
      </c>
      <c r="E1471" s="9" t="s">
        <v>35</v>
      </c>
      <c r="F1471" s="9" t="s">
        <v>36</v>
      </c>
      <c r="G1471" s="9">
        <v>1</v>
      </c>
      <c r="H1471" s="9">
        <v>84219999</v>
      </c>
      <c r="I1471" s="11" t="s">
        <v>37</v>
      </c>
      <c r="J1471" s="12">
        <v>1.6500000000000001E-2</v>
      </c>
      <c r="K1471" s="12">
        <v>7.5999999999999998E-2</v>
      </c>
      <c r="L1471" s="12">
        <v>5.1999999999999998E-2</v>
      </c>
      <c r="M1471" s="13" t="s">
        <v>8579</v>
      </c>
      <c r="N1471" s="14" t="s">
        <v>35</v>
      </c>
      <c r="O1471" s="14" t="s">
        <v>35</v>
      </c>
      <c r="P1471" s="15">
        <v>45292</v>
      </c>
      <c r="Q1471" s="16" t="s">
        <v>35</v>
      </c>
      <c r="R1471" s="17" t="s">
        <v>35</v>
      </c>
      <c r="S1471" s="17" t="s">
        <v>8801</v>
      </c>
      <c r="T1471" s="17" t="s">
        <v>35</v>
      </c>
      <c r="U1471" s="17" t="s">
        <v>35</v>
      </c>
      <c r="V1471" s="17" t="s">
        <v>35</v>
      </c>
      <c r="W1471" s="17" t="s">
        <v>35</v>
      </c>
      <c r="X1471" s="17" t="s">
        <v>35</v>
      </c>
      <c r="Y1471" s="17" t="s">
        <v>35</v>
      </c>
      <c r="Z1471" s="17" t="s">
        <v>8802</v>
      </c>
      <c r="AA1471" s="17" t="s">
        <v>35</v>
      </c>
      <c r="AB1471" s="17" t="s">
        <v>8803</v>
      </c>
      <c r="AC1471" s="17" t="s">
        <v>9539</v>
      </c>
      <c r="AD1471" s="41">
        <v>74.53</v>
      </c>
      <c r="AE1471" s="41">
        <v>78.41</v>
      </c>
      <c r="AF1471" s="48"/>
      <c r="AG1471" s="44"/>
      <c r="AH1471" s="7">
        <f t="shared" si="22"/>
        <v>0</v>
      </c>
      <c r="AI1471" s="18"/>
      <c r="AJ1471" s="18"/>
    </row>
    <row r="1472" spans="1:38" ht="26.65" customHeight="1" x14ac:dyDescent="0.25">
      <c r="A1472" s="10" t="s">
        <v>9206</v>
      </c>
      <c r="B1472" s="9" t="s">
        <v>8139</v>
      </c>
      <c r="C1472" s="9" t="s">
        <v>34</v>
      </c>
      <c r="D1472" s="9" t="s">
        <v>8140</v>
      </c>
      <c r="E1472" s="9" t="s">
        <v>35</v>
      </c>
      <c r="F1472" s="9" t="s">
        <v>36</v>
      </c>
      <c r="G1472" s="9">
        <v>1</v>
      </c>
      <c r="H1472" s="9">
        <v>84219999</v>
      </c>
      <c r="I1472" s="11" t="s">
        <v>37</v>
      </c>
      <c r="J1472" s="12">
        <v>1.6500000000000001E-2</v>
      </c>
      <c r="K1472" s="12">
        <v>7.5999999999999998E-2</v>
      </c>
      <c r="L1472" s="12">
        <v>5.1999999999999998E-2</v>
      </c>
      <c r="M1472" s="13" t="s">
        <v>35</v>
      </c>
      <c r="N1472" s="14" t="s">
        <v>35</v>
      </c>
      <c r="O1472" s="14" t="s">
        <v>35</v>
      </c>
      <c r="P1472" s="15">
        <v>45383</v>
      </c>
      <c r="Q1472" s="16" t="s">
        <v>9207</v>
      </c>
      <c r="R1472" s="17" t="s">
        <v>35</v>
      </c>
      <c r="S1472" s="17" t="s">
        <v>35</v>
      </c>
      <c r="T1472" s="17" t="s">
        <v>35</v>
      </c>
      <c r="U1472" s="17" t="s">
        <v>35</v>
      </c>
      <c r="V1472" s="17" t="s">
        <v>35</v>
      </c>
      <c r="W1472" s="17" t="s">
        <v>35</v>
      </c>
      <c r="X1472" s="17" t="s">
        <v>35</v>
      </c>
      <c r="Y1472" s="17" t="s">
        <v>35</v>
      </c>
      <c r="Z1472" s="17" t="s">
        <v>35</v>
      </c>
      <c r="AA1472" s="17" t="s">
        <v>35</v>
      </c>
      <c r="AB1472" s="17" t="s">
        <v>35</v>
      </c>
      <c r="AC1472" s="17" t="s">
        <v>9539</v>
      </c>
      <c r="AD1472" s="41">
        <v>238.12</v>
      </c>
      <c r="AE1472" s="41">
        <v>250.5</v>
      </c>
      <c r="AF1472" s="48"/>
      <c r="AG1472" s="44"/>
      <c r="AH1472" s="7">
        <f t="shared" si="22"/>
        <v>0</v>
      </c>
      <c r="AI1472" s="18"/>
      <c r="AJ1472" s="18"/>
    </row>
    <row r="1473" spans="1:38" ht="26.65" customHeight="1" x14ac:dyDescent="0.25">
      <c r="A1473" s="10" t="s">
        <v>8502</v>
      </c>
      <c r="B1473" s="9" t="s">
        <v>8503</v>
      </c>
      <c r="C1473" s="9" t="s">
        <v>34</v>
      </c>
      <c r="D1473" s="9" t="s">
        <v>8140</v>
      </c>
      <c r="E1473" s="9" t="s">
        <v>35</v>
      </c>
      <c r="F1473" s="9" t="s">
        <v>36</v>
      </c>
      <c r="G1473" s="9">
        <v>1</v>
      </c>
      <c r="H1473" s="9">
        <v>84219999</v>
      </c>
      <c r="I1473" s="11" t="s">
        <v>37</v>
      </c>
      <c r="J1473" s="12">
        <v>1.6500000000000001E-2</v>
      </c>
      <c r="K1473" s="12">
        <v>7.5999999999999998E-2</v>
      </c>
      <c r="L1473" s="12">
        <v>5.1999999999999998E-2</v>
      </c>
      <c r="M1473" s="13">
        <v>0</v>
      </c>
      <c r="N1473" s="14">
        <v>0.752</v>
      </c>
      <c r="O1473" s="14">
        <v>0.83899999999999997</v>
      </c>
      <c r="P1473" s="15">
        <v>44958</v>
      </c>
      <c r="Q1473" s="16" t="s">
        <v>8504</v>
      </c>
      <c r="R1473" s="17" t="s">
        <v>8505</v>
      </c>
      <c r="S1473" s="17" t="s">
        <v>35</v>
      </c>
      <c r="T1473" s="17" t="s">
        <v>35</v>
      </c>
      <c r="U1473" s="17" t="s">
        <v>35</v>
      </c>
      <c r="V1473" s="17" t="s">
        <v>35</v>
      </c>
      <c r="W1473" s="17" t="s">
        <v>35</v>
      </c>
      <c r="X1473" s="17" t="s">
        <v>35</v>
      </c>
      <c r="Y1473" s="17" t="s">
        <v>35</v>
      </c>
      <c r="Z1473" s="17" t="s">
        <v>35</v>
      </c>
      <c r="AA1473" s="17" t="s">
        <v>35</v>
      </c>
      <c r="AB1473" s="17" t="s">
        <v>8506</v>
      </c>
      <c r="AC1473" s="17" t="s">
        <v>9539</v>
      </c>
      <c r="AD1473" s="41">
        <v>89.82</v>
      </c>
      <c r="AE1473" s="41">
        <v>94.49</v>
      </c>
      <c r="AF1473" s="48"/>
      <c r="AG1473" s="44"/>
      <c r="AH1473" s="7">
        <f t="shared" si="22"/>
        <v>0</v>
      </c>
      <c r="AI1473" s="18"/>
      <c r="AJ1473" s="18"/>
    </row>
    <row r="1474" spans="1:38" ht="26.65" customHeight="1" x14ac:dyDescent="0.25">
      <c r="A1474" s="10" t="s">
        <v>8804</v>
      </c>
      <c r="B1474" s="9" t="s">
        <v>8139</v>
      </c>
      <c r="C1474" s="9" t="s">
        <v>34</v>
      </c>
      <c r="D1474" s="9" t="s">
        <v>8140</v>
      </c>
      <c r="E1474" s="9" t="s">
        <v>35</v>
      </c>
      <c r="F1474" s="9" t="s">
        <v>36</v>
      </c>
      <c r="G1474" s="9">
        <v>1</v>
      </c>
      <c r="H1474" s="9">
        <v>84219999</v>
      </c>
      <c r="I1474" s="11" t="s">
        <v>37</v>
      </c>
      <c r="J1474" s="12">
        <v>1.6500000000000001E-2</v>
      </c>
      <c r="K1474" s="12">
        <v>7.5999999999999998E-2</v>
      </c>
      <c r="L1474" s="12">
        <v>5.1999999999999998E-2</v>
      </c>
      <c r="M1474" s="13" t="s">
        <v>8579</v>
      </c>
      <c r="N1474" s="14" t="s">
        <v>35</v>
      </c>
      <c r="O1474" s="14" t="s">
        <v>35</v>
      </c>
      <c r="P1474" s="15">
        <v>45292</v>
      </c>
      <c r="Q1474" s="16" t="s">
        <v>8805</v>
      </c>
      <c r="R1474" s="17" t="s">
        <v>35</v>
      </c>
      <c r="S1474" s="17" t="s">
        <v>35</v>
      </c>
      <c r="T1474" s="17" t="s">
        <v>35</v>
      </c>
      <c r="U1474" s="17" t="s">
        <v>35</v>
      </c>
      <c r="V1474" s="17" t="s">
        <v>35</v>
      </c>
      <c r="W1474" s="17" t="s">
        <v>35</v>
      </c>
      <c r="X1474" s="17" t="s">
        <v>35</v>
      </c>
      <c r="Y1474" s="17" t="s">
        <v>35</v>
      </c>
      <c r="Z1474" s="17" t="s">
        <v>8806</v>
      </c>
      <c r="AA1474" s="17" t="s">
        <v>35</v>
      </c>
      <c r="AB1474" s="17" t="s">
        <v>8807</v>
      </c>
      <c r="AC1474" s="17" t="s">
        <v>9539</v>
      </c>
      <c r="AD1474" s="41">
        <v>150.51</v>
      </c>
      <c r="AE1474" s="41">
        <v>158.34</v>
      </c>
      <c r="AF1474" s="48"/>
      <c r="AG1474" s="44"/>
      <c r="AH1474" s="7">
        <f t="shared" si="22"/>
        <v>0</v>
      </c>
      <c r="AI1474" s="18"/>
      <c r="AJ1474" s="18"/>
    </row>
    <row r="1475" spans="1:38" ht="26.65" customHeight="1" x14ac:dyDescent="0.25">
      <c r="A1475" s="10" t="s">
        <v>8507</v>
      </c>
      <c r="B1475" s="9" t="s">
        <v>8508</v>
      </c>
      <c r="C1475" s="9" t="s">
        <v>34</v>
      </c>
      <c r="D1475" s="9" t="s">
        <v>8140</v>
      </c>
      <c r="E1475" s="9" t="s">
        <v>35</v>
      </c>
      <c r="F1475" s="9" t="s">
        <v>36</v>
      </c>
      <c r="G1475" s="9">
        <v>1</v>
      </c>
      <c r="H1475" s="9">
        <v>84219999</v>
      </c>
      <c r="I1475" s="11" t="s">
        <v>37</v>
      </c>
      <c r="J1475" s="12">
        <v>1.6500000000000001E-2</v>
      </c>
      <c r="K1475" s="12">
        <v>7.5999999999999998E-2</v>
      </c>
      <c r="L1475" s="12">
        <v>5.1999999999999998E-2</v>
      </c>
      <c r="M1475" s="13" t="s">
        <v>8579</v>
      </c>
      <c r="N1475" s="14">
        <v>0</v>
      </c>
      <c r="O1475" s="14">
        <v>0</v>
      </c>
      <c r="P1475" s="15">
        <v>44958</v>
      </c>
      <c r="Q1475" s="16" t="s">
        <v>35</v>
      </c>
      <c r="R1475" s="17" t="s">
        <v>35</v>
      </c>
      <c r="S1475" s="17" t="s">
        <v>35</v>
      </c>
      <c r="T1475" s="17" t="s">
        <v>35</v>
      </c>
      <c r="U1475" s="17" t="s">
        <v>35</v>
      </c>
      <c r="V1475" s="17" t="s">
        <v>35</v>
      </c>
      <c r="W1475" s="17" t="s">
        <v>35</v>
      </c>
      <c r="X1475" s="17" t="s">
        <v>35</v>
      </c>
      <c r="Y1475" s="17" t="s">
        <v>35</v>
      </c>
      <c r="Z1475" s="17" t="s">
        <v>8509</v>
      </c>
      <c r="AA1475" s="17" t="s">
        <v>35</v>
      </c>
      <c r="AB1475" s="17" t="s">
        <v>35</v>
      </c>
      <c r="AC1475" s="17" t="s">
        <v>9539</v>
      </c>
      <c r="AD1475" s="41">
        <v>155.97</v>
      </c>
      <c r="AE1475" s="41">
        <v>164.08</v>
      </c>
      <c r="AF1475" s="48"/>
      <c r="AG1475" s="44"/>
      <c r="AH1475" s="7">
        <f t="shared" si="22"/>
        <v>0</v>
      </c>
      <c r="AI1475" s="18"/>
      <c r="AJ1475" s="18"/>
      <c r="AL1475" s="18"/>
    </row>
    <row r="1476" spans="1:38" ht="26.65" customHeight="1" x14ac:dyDescent="0.25">
      <c r="A1476" s="10" t="s">
        <v>8510</v>
      </c>
      <c r="B1476" s="9" t="s">
        <v>8139</v>
      </c>
      <c r="C1476" s="9" t="s">
        <v>34</v>
      </c>
      <c r="D1476" s="9" t="s">
        <v>8140</v>
      </c>
      <c r="E1476" s="9" t="s">
        <v>35</v>
      </c>
      <c r="F1476" s="9" t="s">
        <v>36</v>
      </c>
      <c r="G1476" s="9">
        <v>1</v>
      </c>
      <c r="H1476" s="9">
        <v>84219999</v>
      </c>
      <c r="I1476" s="11" t="s">
        <v>37</v>
      </c>
      <c r="J1476" s="12">
        <v>1.6500000000000001E-2</v>
      </c>
      <c r="K1476" s="12">
        <v>7.5999999999999998E-2</v>
      </c>
      <c r="L1476" s="12">
        <v>5.1999999999999998E-2</v>
      </c>
      <c r="M1476" s="13" t="s">
        <v>35</v>
      </c>
      <c r="N1476" s="14" t="s">
        <v>35</v>
      </c>
      <c r="O1476" s="14" t="s">
        <v>35</v>
      </c>
      <c r="P1476" s="15">
        <v>45200</v>
      </c>
      <c r="Q1476" s="16" t="s">
        <v>35</v>
      </c>
      <c r="R1476" s="17" t="s">
        <v>8511</v>
      </c>
      <c r="S1476" s="17" t="s">
        <v>8512</v>
      </c>
      <c r="T1476" s="17" t="s">
        <v>35</v>
      </c>
      <c r="U1476" s="17" t="s">
        <v>35</v>
      </c>
      <c r="V1476" s="17" t="s">
        <v>35</v>
      </c>
      <c r="W1476" s="17" t="s">
        <v>35</v>
      </c>
      <c r="X1476" s="17" t="s">
        <v>35</v>
      </c>
      <c r="Y1476" s="17" t="s">
        <v>35</v>
      </c>
      <c r="Z1476" s="17" t="s">
        <v>35</v>
      </c>
      <c r="AA1476" s="17" t="s">
        <v>35</v>
      </c>
      <c r="AB1476" s="17" t="s">
        <v>8513</v>
      </c>
      <c r="AC1476" s="17" t="s">
        <v>9539</v>
      </c>
      <c r="AD1476" s="41">
        <v>108.68</v>
      </c>
      <c r="AE1476" s="41">
        <v>114.33</v>
      </c>
      <c r="AF1476" s="48"/>
      <c r="AG1476" s="44"/>
      <c r="AH1476" s="7">
        <f t="shared" ref="AH1476:AH1535" si="23">AG1476*AE1476</f>
        <v>0</v>
      </c>
      <c r="AI1476" s="18"/>
      <c r="AJ1476" s="18"/>
      <c r="AL1476" s="18"/>
    </row>
    <row r="1477" spans="1:38" ht="26.65" customHeight="1" x14ac:dyDescent="0.25">
      <c r="A1477" s="10" t="s">
        <v>8808</v>
      </c>
      <c r="B1477" s="9" t="s">
        <v>8139</v>
      </c>
      <c r="C1477" s="9" t="s">
        <v>34</v>
      </c>
      <c r="D1477" s="9" t="s">
        <v>8140</v>
      </c>
      <c r="E1477" s="9" t="s">
        <v>35</v>
      </c>
      <c r="F1477" s="9" t="s">
        <v>36</v>
      </c>
      <c r="G1477" s="9">
        <v>1</v>
      </c>
      <c r="H1477" s="9">
        <v>84219999</v>
      </c>
      <c r="I1477" s="11" t="s">
        <v>37</v>
      </c>
      <c r="J1477" s="12">
        <v>1.6500000000000001E-2</v>
      </c>
      <c r="K1477" s="12">
        <v>7.5999999999999998E-2</v>
      </c>
      <c r="L1477" s="12">
        <v>5.1999999999999998E-2</v>
      </c>
      <c r="M1477" s="13" t="s">
        <v>8579</v>
      </c>
      <c r="N1477" s="14" t="s">
        <v>35</v>
      </c>
      <c r="O1477" s="14" t="s">
        <v>35</v>
      </c>
      <c r="P1477" s="15">
        <v>45292</v>
      </c>
      <c r="Q1477" s="16" t="s">
        <v>8809</v>
      </c>
      <c r="R1477" s="17" t="s">
        <v>35</v>
      </c>
      <c r="S1477" s="17" t="s">
        <v>35</v>
      </c>
      <c r="T1477" s="17" t="s">
        <v>35</v>
      </c>
      <c r="U1477" s="17" t="s">
        <v>35</v>
      </c>
      <c r="V1477" s="17" t="s">
        <v>35</v>
      </c>
      <c r="W1477" s="17" t="s">
        <v>35</v>
      </c>
      <c r="X1477" s="17" t="s">
        <v>35</v>
      </c>
      <c r="Y1477" s="17" t="s">
        <v>35</v>
      </c>
      <c r="Z1477" s="17" t="s">
        <v>8810</v>
      </c>
      <c r="AA1477" s="17" t="s">
        <v>35</v>
      </c>
      <c r="AB1477" s="17" t="s">
        <v>8811</v>
      </c>
      <c r="AC1477" s="17" t="s">
        <v>9539</v>
      </c>
      <c r="AD1477" s="41">
        <v>264.3</v>
      </c>
      <c r="AE1477" s="41">
        <v>278.04000000000002</v>
      </c>
      <c r="AF1477" s="48"/>
      <c r="AG1477" s="44"/>
      <c r="AH1477" s="7">
        <f t="shared" si="23"/>
        <v>0</v>
      </c>
      <c r="AI1477" s="18"/>
      <c r="AJ1477" s="18"/>
    </row>
    <row r="1478" spans="1:38" ht="26.65" customHeight="1" x14ac:dyDescent="0.25">
      <c r="A1478" s="10" t="s">
        <v>10665</v>
      </c>
      <c r="B1478" s="9" t="s">
        <v>8139</v>
      </c>
      <c r="C1478" s="9" t="s">
        <v>34</v>
      </c>
      <c r="D1478" s="9" t="s">
        <v>8140</v>
      </c>
      <c r="E1478" s="9" t="s">
        <v>35</v>
      </c>
      <c r="F1478" s="9" t="s">
        <v>36</v>
      </c>
      <c r="G1478" s="9">
        <v>1</v>
      </c>
      <c r="H1478" s="9">
        <v>84219999</v>
      </c>
      <c r="I1478" s="11" t="s">
        <v>37</v>
      </c>
      <c r="J1478" s="12">
        <v>1.6500000000000001E-2</v>
      </c>
      <c r="K1478" s="12">
        <v>7.5999999999999998E-2</v>
      </c>
      <c r="L1478" s="12">
        <v>5.1999999999999998E-2</v>
      </c>
      <c r="M1478" s="13" t="s">
        <v>35</v>
      </c>
      <c r="N1478" s="14" t="s">
        <v>35</v>
      </c>
      <c r="O1478" s="14" t="s">
        <v>35</v>
      </c>
      <c r="P1478" s="15">
        <v>45597</v>
      </c>
      <c r="Q1478" s="16" t="s">
        <v>9507</v>
      </c>
      <c r="R1478" s="17" t="s">
        <v>35</v>
      </c>
      <c r="S1478" s="17" t="s">
        <v>35</v>
      </c>
      <c r="T1478" s="17" t="s">
        <v>35</v>
      </c>
      <c r="U1478" s="17" t="s">
        <v>35</v>
      </c>
      <c r="V1478" s="17" t="s">
        <v>35</v>
      </c>
      <c r="W1478" s="17" t="s">
        <v>35</v>
      </c>
      <c r="X1478" s="17" t="s">
        <v>35</v>
      </c>
      <c r="Y1478" s="17" t="s">
        <v>35</v>
      </c>
      <c r="Z1478" s="17" t="s">
        <v>10666</v>
      </c>
      <c r="AA1478" s="17" t="s">
        <v>35</v>
      </c>
      <c r="AB1478" s="17" t="s">
        <v>9509</v>
      </c>
      <c r="AC1478" s="17" t="s">
        <v>9539</v>
      </c>
      <c r="AD1478" s="41">
        <v>121.19</v>
      </c>
      <c r="AE1478" s="41">
        <v>127.49</v>
      </c>
      <c r="AF1478" s="48"/>
      <c r="AG1478" s="44"/>
      <c r="AH1478" s="7">
        <f t="shared" si="23"/>
        <v>0</v>
      </c>
      <c r="AI1478" s="18"/>
      <c r="AJ1478" s="18"/>
    </row>
    <row r="1479" spans="1:38" ht="26.65" customHeight="1" x14ac:dyDescent="0.25">
      <c r="A1479" s="10" t="s">
        <v>9506</v>
      </c>
      <c r="B1479" s="9" t="s">
        <v>8139</v>
      </c>
      <c r="C1479" s="9" t="s">
        <v>34</v>
      </c>
      <c r="D1479" s="9" t="s">
        <v>8140</v>
      </c>
      <c r="E1479" s="9" t="s">
        <v>122</v>
      </c>
      <c r="F1479" s="9" t="s">
        <v>36</v>
      </c>
      <c r="G1479" s="9">
        <v>1</v>
      </c>
      <c r="H1479" s="9">
        <v>84219999</v>
      </c>
      <c r="I1479" s="11" t="s">
        <v>37</v>
      </c>
      <c r="J1479" s="12">
        <v>1.6500000000000001E-2</v>
      </c>
      <c r="K1479" s="12">
        <v>7.5999999999999998E-2</v>
      </c>
      <c r="L1479" s="12">
        <v>5.1999999999999998E-2</v>
      </c>
      <c r="M1479" s="13" t="s">
        <v>35</v>
      </c>
      <c r="N1479" s="14">
        <v>0</v>
      </c>
      <c r="O1479" s="14">
        <v>0</v>
      </c>
      <c r="P1479" s="15">
        <v>45444</v>
      </c>
      <c r="Q1479" s="16" t="s">
        <v>9507</v>
      </c>
      <c r="R1479" s="17" t="s">
        <v>9508</v>
      </c>
      <c r="S1479" s="17" t="s">
        <v>35</v>
      </c>
      <c r="T1479" s="17" t="s">
        <v>35</v>
      </c>
      <c r="U1479" s="17" t="s">
        <v>35</v>
      </c>
      <c r="V1479" s="17" t="s">
        <v>35</v>
      </c>
      <c r="W1479" s="17" t="s">
        <v>35</v>
      </c>
      <c r="X1479" s="17" t="s">
        <v>35</v>
      </c>
      <c r="Y1479" s="17" t="s">
        <v>35</v>
      </c>
      <c r="Z1479" s="17" t="s">
        <v>35</v>
      </c>
      <c r="AA1479" s="17" t="s">
        <v>35</v>
      </c>
      <c r="AB1479" s="17" t="s">
        <v>9509</v>
      </c>
      <c r="AC1479" s="17" t="s">
        <v>9539</v>
      </c>
      <c r="AD1479" s="41">
        <v>184.89</v>
      </c>
      <c r="AE1479" s="41">
        <v>194.5</v>
      </c>
      <c r="AF1479" s="48"/>
      <c r="AG1479" s="44"/>
      <c r="AH1479" s="7">
        <f t="shared" si="23"/>
        <v>0</v>
      </c>
      <c r="AI1479" s="18"/>
      <c r="AJ1479" s="18"/>
    </row>
    <row r="1480" spans="1:38" ht="26.65" customHeight="1" x14ac:dyDescent="0.25">
      <c r="A1480" s="10" t="s">
        <v>8514</v>
      </c>
      <c r="B1480" s="9" t="s">
        <v>8139</v>
      </c>
      <c r="C1480" s="9" t="s">
        <v>34</v>
      </c>
      <c r="D1480" s="9" t="s">
        <v>8140</v>
      </c>
      <c r="E1480" s="9" t="s">
        <v>35</v>
      </c>
      <c r="F1480" s="9" t="s">
        <v>36</v>
      </c>
      <c r="G1480" s="9">
        <v>1</v>
      </c>
      <c r="H1480" s="9">
        <v>84219999</v>
      </c>
      <c r="I1480" s="11" t="s">
        <v>37</v>
      </c>
      <c r="J1480" s="12">
        <v>1.6500000000000001E-2</v>
      </c>
      <c r="K1480" s="12">
        <v>7.5999999999999998E-2</v>
      </c>
      <c r="L1480" s="12">
        <v>5.1999999999999998E-2</v>
      </c>
      <c r="M1480" s="13" t="s">
        <v>35</v>
      </c>
      <c r="N1480" s="14">
        <v>0.94</v>
      </c>
      <c r="O1480" s="14">
        <v>1.02</v>
      </c>
      <c r="P1480" s="15">
        <v>45047</v>
      </c>
      <c r="Q1480" s="16" t="s">
        <v>8515</v>
      </c>
      <c r="R1480" s="17" t="s">
        <v>8516</v>
      </c>
      <c r="S1480" s="17" t="s">
        <v>35</v>
      </c>
      <c r="T1480" s="17" t="s">
        <v>35</v>
      </c>
      <c r="U1480" s="17" t="s">
        <v>35</v>
      </c>
      <c r="V1480" s="17" t="s">
        <v>35</v>
      </c>
      <c r="W1480" s="17" t="s">
        <v>35</v>
      </c>
      <c r="X1480" s="17" t="s">
        <v>35</v>
      </c>
      <c r="Y1480" s="17" t="s">
        <v>35</v>
      </c>
      <c r="Z1480" s="17" t="s">
        <v>8517</v>
      </c>
      <c r="AA1480" s="17" t="s">
        <v>35</v>
      </c>
      <c r="AB1480" s="17" t="s">
        <v>8518</v>
      </c>
      <c r="AC1480" s="17" t="s">
        <v>9539</v>
      </c>
      <c r="AD1480" s="41">
        <v>147.78</v>
      </c>
      <c r="AE1480" s="41">
        <v>155.46</v>
      </c>
      <c r="AF1480" s="48"/>
      <c r="AG1480" s="44"/>
      <c r="AH1480" s="7">
        <f t="shared" si="23"/>
        <v>0</v>
      </c>
      <c r="AI1480" s="18"/>
      <c r="AJ1480" s="18"/>
    </row>
    <row r="1481" spans="1:38" ht="26.65" customHeight="1" x14ac:dyDescent="0.25">
      <c r="A1481" s="10" t="s">
        <v>9208</v>
      </c>
      <c r="B1481" s="9" t="s">
        <v>8139</v>
      </c>
      <c r="C1481" s="9" t="s">
        <v>34</v>
      </c>
      <c r="D1481" s="9" t="s">
        <v>8140</v>
      </c>
      <c r="E1481" s="9" t="s">
        <v>35</v>
      </c>
      <c r="F1481" s="9" t="s">
        <v>36</v>
      </c>
      <c r="G1481" s="9">
        <v>1</v>
      </c>
      <c r="H1481" s="9">
        <v>84219999</v>
      </c>
      <c r="I1481" s="11" t="s">
        <v>37</v>
      </c>
      <c r="J1481" s="12">
        <v>1.6500000000000001E-2</v>
      </c>
      <c r="K1481" s="12">
        <v>7.5999999999999998E-2</v>
      </c>
      <c r="L1481" s="12">
        <v>5.1999999999999998E-2</v>
      </c>
      <c r="M1481" s="13" t="s">
        <v>35</v>
      </c>
      <c r="N1481" s="14" t="s">
        <v>35</v>
      </c>
      <c r="O1481" s="14" t="s">
        <v>35</v>
      </c>
      <c r="P1481" s="15">
        <v>45383</v>
      </c>
      <c r="Q1481" s="16" t="s">
        <v>35</v>
      </c>
      <c r="R1481" s="17" t="s">
        <v>35</v>
      </c>
      <c r="S1481" s="17" t="s">
        <v>35</v>
      </c>
      <c r="T1481" s="17" t="s">
        <v>35</v>
      </c>
      <c r="U1481" s="17" t="s">
        <v>35</v>
      </c>
      <c r="V1481" s="17" t="s">
        <v>35</v>
      </c>
      <c r="W1481" s="17" t="s">
        <v>35</v>
      </c>
      <c r="X1481" s="17" t="s">
        <v>35</v>
      </c>
      <c r="Y1481" s="17" t="s">
        <v>35</v>
      </c>
      <c r="Z1481" s="17" t="s">
        <v>35</v>
      </c>
      <c r="AA1481" s="17" t="s">
        <v>9209</v>
      </c>
      <c r="AB1481" s="17" t="s">
        <v>35</v>
      </c>
      <c r="AC1481" s="17" t="s">
        <v>9539</v>
      </c>
      <c r="AD1481" s="41">
        <v>116.99</v>
      </c>
      <c r="AE1481" s="41">
        <v>123.07</v>
      </c>
      <c r="AF1481" s="48"/>
      <c r="AG1481" s="44"/>
      <c r="AH1481" s="7">
        <f t="shared" si="23"/>
        <v>0</v>
      </c>
      <c r="AI1481" s="18"/>
      <c r="AJ1481" s="18"/>
    </row>
    <row r="1482" spans="1:38" ht="26.65" customHeight="1" x14ac:dyDescent="0.25">
      <c r="A1482" s="10" t="s">
        <v>9210</v>
      </c>
      <c r="B1482" s="9" t="s">
        <v>8139</v>
      </c>
      <c r="C1482" s="9" t="s">
        <v>34</v>
      </c>
      <c r="D1482" s="9" t="s">
        <v>8140</v>
      </c>
      <c r="E1482" s="9" t="s">
        <v>35</v>
      </c>
      <c r="F1482" s="9" t="s">
        <v>36</v>
      </c>
      <c r="G1482" s="9">
        <v>1</v>
      </c>
      <c r="H1482" s="9">
        <v>84219999</v>
      </c>
      <c r="I1482" s="11" t="s">
        <v>37</v>
      </c>
      <c r="J1482" s="12">
        <v>1.6500000000000001E-2</v>
      </c>
      <c r="K1482" s="12">
        <v>7.5999999999999998E-2</v>
      </c>
      <c r="L1482" s="12">
        <v>5.1999999999999998E-2</v>
      </c>
      <c r="M1482" s="13" t="s">
        <v>35</v>
      </c>
      <c r="N1482" s="14" t="s">
        <v>35</v>
      </c>
      <c r="O1482" s="14" t="s">
        <v>35</v>
      </c>
      <c r="P1482" s="15">
        <v>45383</v>
      </c>
      <c r="Q1482" s="16" t="s">
        <v>9211</v>
      </c>
      <c r="R1482" s="17" t="s">
        <v>35</v>
      </c>
      <c r="S1482" s="17" t="s">
        <v>35</v>
      </c>
      <c r="T1482" s="17" t="s">
        <v>35</v>
      </c>
      <c r="U1482" s="17" t="s">
        <v>35</v>
      </c>
      <c r="V1482" s="17" t="s">
        <v>35</v>
      </c>
      <c r="W1482" s="17" t="s">
        <v>35</v>
      </c>
      <c r="X1482" s="17" t="s">
        <v>35</v>
      </c>
      <c r="Y1482" s="17" t="s">
        <v>35</v>
      </c>
      <c r="Z1482" s="17" t="s">
        <v>35</v>
      </c>
      <c r="AA1482" s="17" t="s">
        <v>35</v>
      </c>
      <c r="AB1482" s="17" t="s">
        <v>35</v>
      </c>
      <c r="AC1482" s="17" t="s">
        <v>9539</v>
      </c>
      <c r="AD1482" s="41">
        <v>77.77</v>
      </c>
      <c r="AE1482" s="41">
        <v>81.81</v>
      </c>
      <c r="AF1482" s="48"/>
      <c r="AG1482" s="44"/>
      <c r="AH1482" s="7">
        <f t="shared" si="23"/>
        <v>0</v>
      </c>
      <c r="AI1482" s="18"/>
      <c r="AJ1482" s="18"/>
    </row>
    <row r="1483" spans="1:38" ht="26.65" customHeight="1" x14ac:dyDescent="0.25">
      <c r="A1483" s="10" t="s">
        <v>9212</v>
      </c>
      <c r="B1483" s="9" t="s">
        <v>8139</v>
      </c>
      <c r="C1483" s="9" t="s">
        <v>34</v>
      </c>
      <c r="D1483" s="9" t="s">
        <v>8140</v>
      </c>
      <c r="E1483" s="9" t="s">
        <v>35</v>
      </c>
      <c r="F1483" s="9" t="s">
        <v>36</v>
      </c>
      <c r="G1483" s="9">
        <v>1</v>
      </c>
      <c r="H1483" s="9">
        <v>84219999</v>
      </c>
      <c r="I1483" s="11" t="s">
        <v>37</v>
      </c>
      <c r="J1483" s="12">
        <v>1.6500000000000001E-2</v>
      </c>
      <c r="K1483" s="12">
        <v>7.5999999999999998E-2</v>
      </c>
      <c r="L1483" s="12">
        <v>5.1999999999999998E-2</v>
      </c>
      <c r="M1483" s="13" t="s">
        <v>35</v>
      </c>
      <c r="N1483" s="14" t="s">
        <v>35</v>
      </c>
      <c r="O1483" s="14" t="s">
        <v>35</v>
      </c>
      <c r="P1483" s="15">
        <v>45383</v>
      </c>
      <c r="Q1483" s="16" t="s">
        <v>35</v>
      </c>
      <c r="R1483" s="17" t="s">
        <v>35</v>
      </c>
      <c r="S1483" s="17" t="s">
        <v>35</v>
      </c>
      <c r="T1483" s="17" t="s">
        <v>35</v>
      </c>
      <c r="U1483" s="17" t="s">
        <v>35</v>
      </c>
      <c r="V1483" s="17" t="s">
        <v>35</v>
      </c>
      <c r="W1483" s="17" t="s">
        <v>35</v>
      </c>
      <c r="X1483" s="17" t="s">
        <v>35</v>
      </c>
      <c r="Y1483" s="17" t="s">
        <v>35</v>
      </c>
      <c r="Z1483" s="17" t="s">
        <v>35</v>
      </c>
      <c r="AA1483" s="17" t="s">
        <v>35</v>
      </c>
      <c r="AB1483" s="17" t="s">
        <v>35</v>
      </c>
      <c r="AC1483" s="17" t="s">
        <v>9539</v>
      </c>
      <c r="AD1483" s="41">
        <v>83.51</v>
      </c>
      <c r="AE1483" s="41">
        <v>87.85</v>
      </c>
      <c r="AF1483" s="48"/>
      <c r="AG1483" s="44"/>
      <c r="AH1483" s="7">
        <f t="shared" si="23"/>
        <v>0</v>
      </c>
      <c r="AI1483" s="18"/>
      <c r="AJ1483" s="18"/>
    </row>
    <row r="1484" spans="1:38" ht="26.65" customHeight="1" x14ac:dyDescent="0.25">
      <c r="A1484" s="10" t="s">
        <v>8812</v>
      </c>
      <c r="B1484" s="9" t="s">
        <v>8139</v>
      </c>
      <c r="C1484" s="9" t="s">
        <v>34</v>
      </c>
      <c r="D1484" s="9" t="s">
        <v>8140</v>
      </c>
      <c r="E1484" s="9" t="s">
        <v>35</v>
      </c>
      <c r="F1484" s="9" t="s">
        <v>36</v>
      </c>
      <c r="G1484" s="9">
        <v>1</v>
      </c>
      <c r="H1484" s="9">
        <v>84219999</v>
      </c>
      <c r="I1484" s="11" t="s">
        <v>37</v>
      </c>
      <c r="J1484" s="12">
        <v>1.6500000000000001E-2</v>
      </c>
      <c r="K1484" s="12">
        <v>7.5999999999999998E-2</v>
      </c>
      <c r="L1484" s="12">
        <v>5.1999999999999998E-2</v>
      </c>
      <c r="M1484" s="13" t="s">
        <v>8579</v>
      </c>
      <c r="N1484" s="14" t="s">
        <v>35</v>
      </c>
      <c r="O1484" s="14" t="s">
        <v>35</v>
      </c>
      <c r="P1484" s="15">
        <v>45292</v>
      </c>
      <c r="Q1484" s="16" t="s">
        <v>35</v>
      </c>
      <c r="R1484" s="17" t="s">
        <v>35</v>
      </c>
      <c r="S1484" s="17" t="s">
        <v>35</v>
      </c>
      <c r="T1484" s="17" t="s">
        <v>35</v>
      </c>
      <c r="U1484" s="17" t="s">
        <v>35</v>
      </c>
      <c r="V1484" s="17" t="s">
        <v>35</v>
      </c>
      <c r="W1484" s="17" t="s">
        <v>35</v>
      </c>
      <c r="X1484" s="17" t="s">
        <v>35</v>
      </c>
      <c r="Y1484" s="17" t="s">
        <v>35</v>
      </c>
      <c r="Z1484" s="17" t="s">
        <v>35</v>
      </c>
      <c r="AA1484" s="17" t="s">
        <v>35</v>
      </c>
      <c r="AB1484" s="17" t="s">
        <v>35</v>
      </c>
      <c r="AC1484" s="17" t="s">
        <v>9539</v>
      </c>
      <c r="AD1484" s="41">
        <v>124.13</v>
      </c>
      <c r="AE1484" s="41">
        <v>130.58000000000001</v>
      </c>
      <c r="AF1484" s="48"/>
      <c r="AG1484" s="44"/>
      <c r="AH1484" s="7">
        <f t="shared" si="23"/>
        <v>0</v>
      </c>
      <c r="AI1484" s="18"/>
      <c r="AJ1484" s="18"/>
    </row>
    <row r="1485" spans="1:38" ht="26.65" customHeight="1" x14ac:dyDescent="0.25">
      <c r="A1485" s="10" t="s">
        <v>9040</v>
      </c>
      <c r="B1485" s="9" t="s">
        <v>8139</v>
      </c>
      <c r="C1485" s="9" t="s">
        <v>34</v>
      </c>
      <c r="D1485" s="9" t="s">
        <v>8140</v>
      </c>
      <c r="E1485" s="9" t="s">
        <v>35</v>
      </c>
      <c r="F1485" s="9" t="s">
        <v>36</v>
      </c>
      <c r="G1485" s="9">
        <v>1</v>
      </c>
      <c r="H1485" s="9">
        <v>84219999</v>
      </c>
      <c r="I1485" s="11" t="s">
        <v>37</v>
      </c>
      <c r="J1485" s="12">
        <v>1.6500000000000001E-2</v>
      </c>
      <c r="K1485" s="12">
        <v>7.5999999999999998E-2</v>
      </c>
      <c r="L1485" s="12">
        <v>5.1999999999999998E-2</v>
      </c>
      <c r="M1485" s="13" t="s">
        <v>35</v>
      </c>
      <c r="N1485" s="14" t="s">
        <v>35</v>
      </c>
      <c r="O1485" s="14" t="s">
        <v>35</v>
      </c>
      <c r="P1485" s="15">
        <v>45352</v>
      </c>
      <c r="Q1485" s="16" t="s">
        <v>9041</v>
      </c>
      <c r="R1485" s="17" t="s">
        <v>35</v>
      </c>
      <c r="S1485" s="17" t="s">
        <v>35</v>
      </c>
      <c r="T1485" s="17" t="s">
        <v>35</v>
      </c>
      <c r="U1485" s="17" t="s">
        <v>35</v>
      </c>
      <c r="V1485" s="17" t="s">
        <v>35</v>
      </c>
      <c r="W1485" s="17" t="s">
        <v>35</v>
      </c>
      <c r="X1485" s="17" t="s">
        <v>35</v>
      </c>
      <c r="Y1485" s="17" t="s">
        <v>35</v>
      </c>
      <c r="Z1485" s="17" t="s">
        <v>9042</v>
      </c>
      <c r="AA1485" s="17" t="s">
        <v>9043</v>
      </c>
      <c r="AB1485" s="17" t="s">
        <v>9044</v>
      </c>
      <c r="AC1485" s="17" t="s">
        <v>9539</v>
      </c>
      <c r="AD1485" s="41">
        <v>372.78</v>
      </c>
      <c r="AE1485" s="41">
        <v>392.16</v>
      </c>
      <c r="AF1485" s="48"/>
      <c r="AG1485" s="44"/>
      <c r="AH1485" s="7">
        <f t="shared" si="23"/>
        <v>0</v>
      </c>
      <c r="AI1485" s="18"/>
      <c r="AJ1485" s="18"/>
    </row>
    <row r="1486" spans="1:38" ht="26.65" customHeight="1" x14ac:dyDescent="0.25">
      <c r="A1486" s="10" t="s">
        <v>8813</v>
      </c>
      <c r="B1486" s="9" t="s">
        <v>8139</v>
      </c>
      <c r="C1486" s="9" t="s">
        <v>34</v>
      </c>
      <c r="D1486" s="9" t="s">
        <v>8140</v>
      </c>
      <c r="E1486" s="9" t="s">
        <v>35</v>
      </c>
      <c r="F1486" s="9" t="s">
        <v>36</v>
      </c>
      <c r="G1486" s="9">
        <v>1</v>
      </c>
      <c r="H1486" s="9">
        <v>84219999</v>
      </c>
      <c r="I1486" s="11" t="s">
        <v>37</v>
      </c>
      <c r="J1486" s="12">
        <v>1.6500000000000001E-2</v>
      </c>
      <c r="K1486" s="12">
        <v>7.5999999999999998E-2</v>
      </c>
      <c r="L1486" s="12">
        <v>5.1999999999999998E-2</v>
      </c>
      <c r="M1486" s="13" t="s">
        <v>8579</v>
      </c>
      <c r="N1486" s="14" t="s">
        <v>35</v>
      </c>
      <c r="O1486" s="14" t="s">
        <v>35</v>
      </c>
      <c r="P1486" s="15">
        <v>45292</v>
      </c>
      <c r="Q1486" s="16" t="s">
        <v>8814</v>
      </c>
      <c r="R1486" s="17" t="s">
        <v>35</v>
      </c>
      <c r="S1486" s="17" t="s">
        <v>8815</v>
      </c>
      <c r="T1486" s="17" t="s">
        <v>35</v>
      </c>
      <c r="U1486" s="17" t="s">
        <v>35</v>
      </c>
      <c r="V1486" s="17" t="s">
        <v>35</v>
      </c>
      <c r="W1486" s="17" t="s">
        <v>35</v>
      </c>
      <c r="X1486" s="17" t="s">
        <v>35</v>
      </c>
      <c r="Y1486" s="17" t="s">
        <v>35</v>
      </c>
      <c r="Z1486" s="17" t="s">
        <v>8816</v>
      </c>
      <c r="AA1486" s="17" t="s">
        <v>35</v>
      </c>
      <c r="AB1486" s="17" t="s">
        <v>8817</v>
      </c>
      <c r="AC1486" s="17" t="s">
        <v>9539</v>
      </c>
      <c r="AD1486" s="41">
        <v>131.21</v>
      </c>
      <c r="AE1486" s="41">
        <v>138.03</v>
      </c>
      <c r="AF1486" s="48"/>
      <c r="AG1486" s="44"/>
      <c r="AH1486" s="7">
        <f t="shared" si="23"/>
        <v>0</v>
      </c>
      <c r="AI1486" s="18"/>
      <c r="AJ1486" s="18"/>
    </row>
    <row r="1487" spans="1:38" ht="26.65" customHeight="1" x14ac:dyDescent="0.25">
      <c r="A1487" s="10" t="s">
        <v>9045</v>
      </c>
      <c r="B1487" s="9" t="s">
        <v>8139</v>
      </c>
      <c r="C1487" s="9" t="s">
        <v>34</v>
      </c>
      <c r="D1487" s="9" t="s">
        <v>8140</v>
      </c>
      <c r="E1487" s="9" t="s">
        <v>35</v>
      </c>
      <c r="F1487" s="9" t="s">
        <v>36</v>
      </c>
      <c r="G1487" s="9">
        <v>1</v>
      </c>
      <c r="H1487" s="9">
        <v>84219999</v>
      </c>
      <c r="I1487" s="11" t="s">
        <v>37</v>
      </c>
      <c r="J1487" s="12">
        <v>1.6500000000000001E-2</v>
      </c>
      <c r="K1487" s="12">
        <v>7.5999999999999998E-2</v>
      </c>
      <c r="L1487" s="12">
        <v>5.1999999999999998E-2</v>
      </c>
      <c r="M1487" s="13" t="s">
        <v>35</v>
      </c>
      <c r="N1487" s="14" t="s">
        <v>35</v>
      </c>
      <c r="O1487" s="14" t="s">
        <v>35</v>
      </c>
      <c r="P1487" s="15">
        <v>45352</v>
      </c>
      <c r="Q1487" s="16" t="s">
        <v>35</v>
      </c>
      <c r="R1487" s="17" t="s">
        <v>35</v>
      </c>
      <c r="S1487" s="17" t="s">
        <v>35</v>
      </c>
      <c r="T1487" s="17" t="s">
        <v>35</v>
      </c>
      <c r="U1487" s="17" t="s">
        <v>35</v>
      </c>
      <c r="V1487" s="17" t="s">
        <v>35</v>
      </c>
      <c r="W1487" s="17" t="s">
        <v>35</v>
      </c>
      <c r="X1487" s="17" t="s">
        <v>35</v>
      </c>
      <c r="Y1487" s="17" t="s">
        <v>35</v>
      </c>
      <c r="Z1487" s="17" t="s">
        <v>9046</v>
      </c>
      <c r="AA1487" s="17" t="s">
        <v>35</v>
      </c>
      <c r="AB1487" s="17" t="s">
        <v>9047</v>
      </c>
      <c r="AC1487" s="17" t="s">
        <v>9539</v>
      </c>
      <c r="AD1487" s="41">
        <v>119.2</v>
      </c>
      <c r="AE1487" s="41">
        <v>125.4</v>
      </c>
      <c r="AF1487" s="48"/>
      <c r="AG1487" s="44"/>
      <c r="AH1487" s="7">
        <f t="shared" si="23"/>
        <v>0</v>
      </c>
      <c r="AI1487" s="18"/>
      <c r="AJ1487" s="18"/>
    </row>
    <row r="1488" spans="1:38" ht="26.65" customHeight="1" x14ac:dyDescent="0.25">
      <c r="A1488" s="10" t="s">
        <v>9753</v>
      </c>
      <c r="B1488" s="9" t="s">
        <v>8139</v>
      </c>
      <c r="C1488" s="9" t="s">
        <v>34</v>
      </c>
      <c r="D1488" s="9" t="s">
        <v>8140</v>
      </c>
      <c r="E1488" s="9" t="s">
        <v>35</v>
      </c>
      <c r="F1488" s="9" t="s">
        <v>36</v>
      </c>
      <c r="G1488" s="9">
        <v>1</v>
      </c>
      <c r="H1488" s="9">
        <v>84219999</v>
      </c>
      <c r="I1488" s="11" t="s">
        <v>37</v>
      </c>
      <c r="J1488" s="12">
        <v>1.6500000000000001E-2</v>
      </c>
      <c r="K1488" s="12">
        <v>7.5999999999999998E-2</v>
      </c>
      <c r="L1488" s="12">
        <v>5.1999999999999998E-2</v>
      </c>
      <c r="M1488" s="13" t="s">
        <v>35</v>
      </c>
      <c r="N1488" s="14" t="s">
        <v>35</v>
      </c>
      <c r="O1488" s="14" t="s">
        <v>35</v>
      </c>
      <c r="P1488" s="15">
        <v>45474</v>
      </c>
      <c r="Q1488" s="16" t="s">
        <v>9754</v>
      </c>
      <c r="R1488" s="17" t="s">
        <v>35</v>
      </c>
      <c r="S1488" s="17" t="s">
        <v>35</v>
      </c>
      <c r="T1488" s="17" t="s">
        <v>35</v>
      </c>
      <c r="U1488" s="17" t="s">
        <v>35</v>
      </c>
      <c r="V1488" s="17" t="s">
        <v>35</v>
      </c>
      <c r="W1488" s="17" t="s">
        <v>35</v>
      </c>
      <c r="X1488" s="17" t="s">
        <v>35</v>
      </c>
      <c r="Y1488" s="17" t="s">
        <v>35</v>
      </c>
      <c r="Z1488" s="17" t="s">
        <v>9755</v>
      </c>
      <c r="AA1488" s="17" t="s">
        <v>9756</v>
      </c>
      <c r="AB1488" s="17" t="s">
        <v>9757</v>
      </c>
      <c r="AC1488" s="17" t="s">
        <v>9539</v>
      </c>
      <c r="AD1488" s="41">
        <v>187.87</v>
      </c>
      <c r="AE1488" s="41">
        <v>197.64</v>
      </c>
      <c r="AF1488" s="48"/>
      <c r="AG1488" s="44"/>
      <c r="AH1488" s="7">
        <f t="shared" si="23"/>
        <v>0</v>
      </c>
      <c r="AI1488" s="18"/>
      <c r="AJ1488" s="18"/>
    </row>
    <row r="1489" spans="1:36" ht="26.65" customHeight="1" x14ac:dyDescent="0.25">
      <c r="A1489" s="10" t="s">
        <v>8519</v>
      </c>
      <c r="B1489" s="9" t="s">
        <v>8139</v>
      </c>
      <c r="C1489" s="9" t="s">
        <v>34</v>
      </c>
      <c r="D1489" s="9" t="s">
        <v>8140</v>
      </c>
      <c r="E1489" s="9" t="s">
        <v>35</v>
      </c>
      <c r="F1489" s="9" t="s">
        <v>36</v>
      </c>
      <c r="G1489" s="9">
        <v>1</v>
      </c>
      <c r="H1489" s="9">
        <v>84219999</v>
      </c>
      <c r="I1489" s="11" t="s">
        <v>37</v>
      </c>
      <c r="J1489" s="12">
        <v>1.6500000000000001E-2</v>
      </c>
      <c r="K1489" s="12">
        <v>7.5999999999999998E-2</v>
      </c>
      <c r="L1489" s="12">
        <v>5.1999999999999998E-2</v>
      </c>
      <c r="M1489" s="13" t="s">
        <v>35</v>
      </c>
      <c r="N1489" s="14" t="s">
        <v>35</v>
      </c>
      <c r="O1489" s="14" t="s">
        <v>35</v>
      </c>
      <c r="P1489" s="15">
        <v>45200</v>
      </c>
      <c r="Q1489" s="16" t="s">
        <v>8520</v>
      </c>
      <c r="R1489" s="17" t="s">
        <v>8521</v>
      </c>
      <c r="S1489" s="17" t="s">
        <v>35</v>
      </c>
      <c r="T1489" s="17" t="s">
        <v>35</v>
      </c>
      <c r="U1489" s="17" t="s">
        <v>35</v>
      </c>
      <c r="V1489" s="17" t="s">
        <v>35</v>
      </c>
      <c r="W1489" s="17" t="s">
        <v>35</v>
      </c>
      <c r="X1489" s="17" t="s">
        <v>35</v>
      </c>
      <c r="Y1489" s="17" t="s">
        <v>35</v>
      </c>
      <c r="Z1489" s="17" t="s">
        <v>35</v>
      </c>
      <c r="AA1489" s="17" t="s">
        <v>8522</v>
      </c>
      <c r="AB1489" s="17" t="s">
        <v>8523</v>
      </c>
      <c r="AC1489" s="17" t="s">
        <v>9539</v>
      </c>
      <c r="AD1489" s="41">
        <v>220.49</v>
      </c>
      <c r="AE1489" s="41">
        <v>231.96</v>
      </c>
      <c r="AF1489" s="48"/>
      <c r="AG1489" s="44"/>
      <c r="AH1489" s="7">
        <f t="shared" si="23"/>
        <v>0</v>
      </c>
      <c r="AI1489" s="18"/>
      <c r="AJ1489" s="18"/>
    </row>
    <row r="1490" spans="1:36" ht="26.65" customHeight="1" x14ac:dyDescent="0.25">
      <c r="A1490" s="10" t="s">
        <v>8524</v>
      </c>
      <c r="B1490" s="9" t="s">
        <v>8525</v>
      </c>
      <c r="C1490" s="9" t="s">
        <v>34</v>
      </c>
      <c r="D1490" s="9" t="s">
        <v>8140</v>
      </c>
      <c r="E1490" s="9" t="s">
        <v>35</v>
      </c>
      <c r="F1490" s="9" t="s">
        <v>2072</v>
      </c>
      <c r="G1490" s="9">
        <v>1</v>
      </c>
      <c r="H1490" s="9">
        <v>84219999</v>
      </c>
      <c r="I1490" s="11" t="s">
        <v>2073</v>
      </c>
      <c r="J1490" s="12">
        <v>1.6500000000000001E-2</v>
      </c>
      <c r="K1490" s="12">
        <v>7.5999999999999998E-2</v>
      </c>
      <c r="L1490" s="12">
        <v>0</v>
      </c>
      <c r="M1490" s="13" t="s">
        <v>8579</v>
      </c>
      <c r="N1490" s="14">
        <v>0</v>
      </c>
      <c r="O1490" s="14">
        <v>0</v>
      </c>
      <c r="P1490" s="15">
        <v>44958</v>
      </c>
      <c r="Q1490" s="16" t="s">
        <v>8526</v>
      </c>
      <c r="R1490" s="17" t="s">
        <v>8527</v>
      </c>
      <c r="S1490" s="17" t="s">
        <v>35</v>
      </c>
      <c r="T1490" s="17" t="s">
        <v>35</v>
      </c>
      <c r="U1490" s="17" t="s">
        <v>35</v>
      </c>
      <c r="V1490" s="17" t="s">
        <v>35</v>
      </c>
      <c r="W1490" s="17" t="s">
        <v>35</v>
      </c>
      <c r="X1490" s="17" t="s">
        <v>35</v>
      </c>
      <c r="Y1490" s="17" t="s">
        <v>35</v>
      </c>
      <c r="Z1490" s="17" t="s">
        <v>8528</v>
      </c>
      <c r="AA1490" s="17" t="s">
        <v>8529</v>
      </c>
      <c r="AB1490" s="17" t="s">
        <v>8530</v>
      </c>
      <c r="AC1490" s="17" t="s">
        <v>9539</v>
      </c>
      <c r="AD1490" s="41">
        <v>171.06</v>
      </c>
      <c r="AE1490" s="41">
        <v>171.06</v>
      </c>
      <c r="AF1490" s="48"/>
      <c r="AG1490" s="44"/>
      <c r="AH1490" s="7">
        <f t="shared" si="23"/>
        <v>0</v>
      </c>
      <c r="AI1490" s="18"/>
      <c r="AJ1490" s="18"/>
    </row>
    <row r="1491" spans="1:36" ht="26.65" customHeight="1" x14ac:dyDescent="0.25">
      <c r="A1491" s="10" t="s">
        <v>8818</v>
      </c>
      <c r="B1491" s="9" t="s">
        <v>8139</v>
      </c>
      <c r="C1491" s="9" t="s">
        <v>34</v>
      </c>
      <c r="D1491" s="9" t="s">
        <v>8140</v>
      </c>
      <c r="E1491" s="9" t="s">
        <v>35</v>
      </c>
      <c r="F1491" s="9" t="s">
        <v>36</v>
      </c>
      <c r="G1491" s="9">
        <v>1</v>
      </c>
      <c r="H1491" s="9">
        <v>84219999</v>
      </c>
      <c r="I1491" s="11" t="s">
        <v>37</v>
      </c>
      <c r="J1491" s="12">
        <v>1.6500000000000001E-2</v>
      </c>
      <c r="K1491" s="12">
        <v>7.5999999999999998E-2</v>
      </c>
      <c r="L1491" s="12">
        <v>5.1999999999999998E-2</v>
      </c>
      <c r="M1491" s="13" t="s">
        <v>8579</v>
      </c>
      <c r="N1491" s="14" t="s">
        <v>35</v>
      </c>
      <c r="O1491" s="14" t="s">
        <v>35</v>
      </c>
      <c r="P1491" s="15">
        <v>45292</v>
      </c>
      <c r="Q1491" s="16" t="s">
        <v>35</v>
      </c>
      <c r="R1491" s="17" t="s">
        <v>35</v>
      </c>
      <c r="S1491" s="17" t="s">
        <v>35</v>
      </c>
      <c r="T1491" s="17" t="s">
        <v>35</v>
      </c>
      <c r="U1491" s="17" t="s">
        <v>8819</v>
      </c>
      <c r="V1491" s="17" t="s">
        <v>35</v>
      </c>
      <c r="W1491" s="17" t="s">
        <v>35</v>
      </c>
      <c r="X1491" s="17" t="s">
        <v>35</v>
      </c>
      <c r="Y1491" s="17" t="s">
        <v>35</v>
      </c>
      <c r="Z1491" s="17" t="s">
        <v>8820</v>
      </c>
      <c r="AA1491" s="17" t="s">
        <v>35</v>
      </c>
      <c r="AB1491" s="17" t="s">
        <v>8821</v>
      </c>
      <c r="AC1491" s="17" t="s">
        <v>9539</v>
      </c>
      <c r="AD1491" s="41">
        <v>414.63</v>
      </c>
      <c r="AE1491" s="41">
        <v>436.19</v>
      </c>
      <c r="AF1491" s="48"/>
      <c r="AG1491" s="44"/>
      <c r="AH1491" s="7">
        <f t="shared" si="23"/>
        <v>0</v>
      </c>
      <c r="AI1491" s="18"/>
      <c r="AJ1491" s="18"/>
    </row>
    <row r="1492" spans="1:36" ht="26.65" customHeight="1" x14ac:dyDescent="0.25">
      <c r="A1492" s="10" t="s">
        <v>8822</v>
      </c>
      <c r="B1492" s="9" t="s">
        <v>8139</v>
      </c>
      <c r="C1492" s="9" t="s">
        <v>34</v>
      </c>
      <c r="D1492" s="9" t="s">
        <v>8140</v>
      </c>
      <c r="E1492" s="9" t="s">
        <v>35</v>
      </c>
      <c r="F1492" s="9" t="s">
        <v>36</v>
      </c>
      <c r="G1492" s="9">
        <v>1</v>
      </c>
      <c r="H1492" s="9">
        <v>84219999</v>
      </c>
      <c r="I1492" s="11" t="s">
        <v>37</v>
      </c>
      <c r="J1492" s="12">
        <v>1.6500000000000001E-2</v>
      </c>
      <c r="K1492" s="12">
        <v>7.5999999999999998E-2</v>
      </c>
      <c r="L1492" s="12">
        <v>5.1999999999999998E-2</v>
      </c>
      <c r="M1492" s="13" t="s">
        <v>8579</v>
      </c>
      <c r="N1492" s="14" t="s">
        <v>35</v>
      </c>
      <c r="O1492" s="14" t="s">
        <v>35</v>
      </c>
      <c r="P1492" s="15">
        <v>45292</v>
      </c>
      <c r="Q1492" s="16" t="s">
        <v>35</v>
      </c>
      <c r="R1492" s="17" t="s">
        <v>35</v>
      </c>
      <c r="S1492" s="17" t="s">
        <v>35</v>
      </c>
      <c r="T1492" s="17" t="s">
        <v>35</v>
      </c>
      <c r="U1492" s="17" t="s">
        <v>35</v>
      </c>
      <c r="V1492" s="17" t="s">
        <v>35</v>
      </c>
      <c r="W1492" s="17" t="s">
        <v>35</v>
      </c>
      <c r="X1492" s="17" t="s">
        <v>35</v>
      </c>
      <c r="Y1492" s="17" t="s">
        <v>35</v>
      </c>
      <c r="Z1492" s="17" t="s">
        <v>8823</v>
      </c>
      <c r="AA1492" s="17" t="s">
        <v>8824</v>
      </c>
      <c r="AB1492" s="17" t="s">
        <v>35</v>
      </c>
      <c r="AC1492" s="17" t="s">
        <v>9539</v>
      </c>
      <c r="AD1492" s="41">
        <v>761.85</v>
      </c>
      <c r="AE1492" s="41">
        <v>801.47</v>
      </c>
      <c r="AF1492" s="48"/>
      <c r="AG1492" s="44"/>
      <c r="AH1492" s="7">
        <f t="shared" si="23"/>
        <v>0</v>
      </c>
      <c r="AI1492" s="18"/>
      <c r="AJ1492" s="18"/>
    </row>
    <row r="1493" spans="1:36" ht="26.65" customHeight="1" x14ac:dyDescent="0.25">
      <c r="A1493" s="10" t="s">
        <v>8825</v>
      </c>
      <c r="B1493" s="9" t="s">
        <v>8139</v>
      </c>
      <c r="C1493" s="9" t="s">
        <v>34</v>
      </c>
      <c r="D1493" s="9" t="s">
        <v>8140</v>
      </c>
      <c r="E1493" s="9" t="s">
        <v>35</v>
      </c>
      <c r="F1493" s="9" t="s">
        <v>36</v>
      </c>
      <c r="G1493" s="9">
        <v>1</v>
      </c>
      <c r="H1493" s="9">
        <v>84219999</v>
      </c>
      <c r="I1493" s="11" t="s">
        <v>37</v>
      </c>
      <c r="J1493" s="12">
        <v>1.6500000000000001E-2</v>
      </c>
      <c r="K1493" s="12">
        <v>7.5999999999999998E-2</v>
      </c>
      <c r="L1493" s="12">
        <v>5.1999999999999998E-2</v>
      </c>
      <c r="M1493" s="13" t="s">
        <v>8579</v>
      </c>
      <c r="N1493" s="14" t="s">
        <v>35</v>
      </c>
      <c r="O1493" s="14" t="s">
        <v>35</v>
      </c>
      <c r="P1493" s="15">
        <v>45292</v>
      </c>
      <c r="Q1493" s="16" t="s">
        <v>35</v>
      </c>
      <c r="R1493" s="17" t="s">
        <v>35</v>
      </c>
      <c r="S1493" s="17" t="s">
        <v>35</v>
      </c>
      <c r="T1493" s="17" t="s">
        <v>35</v>
      </c>
      <c r="U1493" s="17" t="s">
        <v>35</v>
      </c>
      <c r="V1493" s="17" t="s">
        <v>35</v>
      </c>
      <c r="W1493" s="17" t="s">
        <v>35</v>
      </c>
      <c r="X1493" s="17" t="s">
        <v>35</v>
      </c>
      <c r="Y1493" s="17" t="s">
        <v>35</v>
      </c>
      <c r="Z1493" s="17" t="s">
        <v>35</v>
      </c>
      <c r="AA1493" s="17" t="s">
        <v>8826</v>
      </c>
      <c r="AB1493" s="17" t="s">
        <v>35</v>
      </c>
      <c r="AC1493" s="17" t="s">
        <v>9539</v>
      </c>
      <c r="AD1493" s="41">
        <v>761.85</v>
      </c>
      <c r="AE1493" s="41">
        <v>801.47</v>
      </c>
      <c r="AF1493" s="48"/>
      <c r="AG1493" s="44"/>
      <c r="AH1493" s="7">
        <f t="shared" si="23"/>
        <v>0</v>
      </c>
      <c r="AI1493" s="18"/>
      <c r="AJ1493" s="18"/>
    </row>
    <row r="1494" spans="1:36" ht="26.65" customHeight="1" x14ac:dyDescent="0.25">
      <c r="A1494" s="10" t="s">
        <v>8827</v>
      </c>
      <c r="B1494" s="9" t="s">
        <v>8139</v>
      </c>
      <c r="C1494" s="9" t="s">
        <v>34</v>
      </c>
      <c r="D1494" s="9" t="s">
        <v>8140</v>
      </c>
      <c r="E1494" s="9" t="s">
        <v>35</v>
      </c>
      <c r="F1494" s="9" t="s">
        <v>36</v>
      </c>
      <c r="G1494" s="9">
        <v>1</v>
      </c>
      <c r="H1494" s="9">
        <v>84219999</v>
      </c>
      <c r="I1494" s="11" t="s">
        <v>37</v>
      </c>
      <c r="J1494" s="12">
        <v>1.6500000000000001E-2</v>
      </c>
      <c r="K1494" s="12">
        <v>7.5999999999999998E-2</v>
      </c>
      <c r="L1494" s="12">
        <v>5.1999999999999998E-2</v>
      </c>
      <c r="M1494" s="13" t="s">
        <v>8579</v>
      </c>
      <c r="N1494" s="14" t="s">
        <v>35</v>
      </c>
      <c r="O1494" s="14" t="s">
        <v>35</v>
      </c>
      <c r="P1494" s="15">
        <v>45292</v>
      </c>
      <c r="Q1494" s="16" t="s">
        <v>35</v>
      </c>
      <c r="R1494" s="17" t="s">
        <v>35</v>
      </c>
      <c r="S1494" s="17" t="s">
        <v>35</v>
      </c>
      <c r="T1494" s="17" t="s">
        <v>35</v>
      </c>
      <c r="U1494" s="17" t="s">
        <v>35</v>
      </c>
      <c r="V1494" s="17" t="s">
        <v>35</v>
      </c>
      <c r="W1494" s="17" t="s">
        <v>35</v>
      </c>
      <c r="X1494" s="17" t="s">
        <v>35</v>
      </c>
      <c r="Y1494" s="17" t="s">
        <v>35</v>
      </c>
      <c r="Z1494" s="17" t="s">
        <v>35</v>
      </c>
      <c r="AA1494" s="17" t="s">
        <v>35</v>
      </c>
      <c r="AB1494" s="17" t="s">
        <v>35</v>
      </c>
      <c r="AC1494" s="17" t="s">
        <v>9539</v>
      </c>
      <c r="AD1494" s="41">
        <v>501.06</v>
      </c>
      <c r="AE1494" s="41">
        <v>527.12</v>
      </c>
      <c r="AF1494" s="48"/>
      <c r="AG1494" s="44"/>
      <c r="AH1494" s="7">
        <f t="shared" si="23"/>
        <v>0</v>
      </c>
      <c r="AI1494" s="18"/>
      <c r="AJ1494" s="18"/>
    </row>
    <row r="1495" spans="1:36" ht="26.65" customHeight="1" x14ac:dyDescent="0.25">
      <c r="A1495" s="10" t="s">
        <v>8828</v>
      </c>
      <c r="B1495" s="9" t="s">
        <v>8139</v>
      </c>
      <c r="C1495" s="9" t="s">
        <v>34</v>
      </c>
      <c r="D1495" s="9" t="s">
        <v>8140</v>
      </c>
      <c r="E1495" s="9" t="s">
        <v>35</v>
      </c>
      <c r="F1495" s="9" t="s">
        <v>36</v>
      </c>
      <c r="G1495" s="9">
        <v>1</v>
      </c>
      <c r="H1495" s="9">
        <v>84219999</v>
      </c>
      <c r="I1495" s="11" t="s">
        <v>37</v>
      </c>
      <c r="J1495" s="12">
        <v>1.6500000000000001E-2</v>
      </c>
      <c r="K1495" s="12">
        <v>7.5999999999999998E-2</v>
      </c>
      <c r="L1495" s="12">
        <v>5.1999999999999998E-2</v>
      </c>
      <c r="M1495" s="13" t="s">
        <v>8579</v>
      </c>
      <c r="N1495" s="14" t="s">
        <v>35</v>
      </c>
      <c r="O1495" s="14" t="s">
        <v>35</v>
      </c>
      <c r="P1495" s="15">
        <v>45292</v>
      </c>
      <c r="Q1495" s="16" t="s">
        <v>35</v>
      </c>
      <c r="R1495" s="17" t="s">
        <v>35</v>
      </c>
      <c r="S1495" s="17" t="s">
        <v>35</v>
      </c>
      <c r="T1495" s="17" t="s">
        <v>35</v>
      </c>
      <c r="U1495" s="17" t="s">
        <v>35</v>
      </c>
      <c r="V1495" s="17" t="s">
        <v>35</v>
      </c>
      <c r="W1495" s="17" t="s">
        <v>35</v>
      </c>
      <c r="X1495" s="17" t="s">
        <v>35</v>
      </c>
      <c r="Y1495" s="17" t="s">
        <v>35</v>
      </c>
      <c r="Z1495" s="17" t="s">
        <v>35</v>
      </c>
      <c r="AA1495" s="17" t="s">
        <v>35</v>
      </c>
      <c r="AB1495" s="17" t="s">
        <v>35</v>
      </c>
      <c r="AC1495" s="17" t="s">
        <v>9539</v>
      </c>
      <c r="AD1495" s="41">
        <v>483.64</v>
      </c>
      <c r="AE1495" s="41">
        <v>508.79</v>
      </c>
      <c r="AF1495" s="48"/>
      <c r="AG1495" s="44"/>
      <c r="AH1495" s="7">
        <f t="shared" si="23"/>
        <v>0</v>
      </c>
      <c r="AI1495" s="18"/>
      <c r="AJ1495" s="18"/>
    </row>
    <row r="1496" spans="1:36" ht="26.65" customHeight="1" x14ac:dyDescent="0.25">
      <c r="A1496" s="10" t="s">
        <v>8531</v>
      </c>
      <c r="B1496" s="9" t="s">
        <v>8532</v>
      </c>
      <c r="C1496" s="9" t="s">
        <v>34</v>
      </c>
      <c r="D1496" s="9" t="s">
        <v>8140</v>
      </c>
      <c r="E1496" s="9" t="s">
        <v>35</v>
      </c>
      <c r="F1496" s="9" t="s">
        <v>36</v>
      </c>
      <c r="G1496" s="9">
        <v>1</v>
      </c>
      <c r="H1496" s="9">
        <v>84219999</v>
      </c>
      <c r="I1496" s="11" t="s">
        <v>37</v>
      </c>
      <c r="J1496" s="12">
        <v>1.6500000000000001E-2</v>
      </c>
      <c r="K1496" s="12">
        <v>7.5999999999999998E-2</v>
      </c>
      <c r="L1496" s="12">
        <v>5.1999999999999998E-2</v>
      </c>
      <c r="M1496" s="13" t="s">
        <v>8579</v>
      </c>
      <c r="N1496" s="14">
        <v>0</v>
      </c>
      <c r="O1496" s="14">
        <v>0</v>
      </c>
      <c r="P1496" s="15">
        <v>44958</v>
      </c>
      <c r="Q1496" s="16" t="s">
        <v>35</v>
      </c>
      <c r="R1496" s="17" t="s">
        <v>35</v>
      </c>
      <c r="S1496" s="17" t="s">
        <v>35</v>
      </c>
      <c r="T1496" s="17" t="s">
        <v>35</v>
      </c>
      <c r="U1496" s="17" t="s">
        <v>35</v>
      </c>
      <c r="V1496" s="17" t="s">
        <v>35</v>
      </c>
      <c r="W1496" s="17" t="s">
        <v>35</v>
      </c>
      <c r="X1496" s="17" t="s">
        <v>35</v>
      </c>
      <c r="Y1496" s="17" t="s">
        <v>35</v>
      </c>
      <c r="Z1496" s="17" t="s">
        <v>8533</v>
      </c>
      <c r="AA1496" s="17" t="s">
        <v>8534</v>
      </c>
      <c r="AB1496" s="17" t="s">
        <v>8535</v>
      </c>
      <c r="AC1496" s="17" t="s">
        <v>9539</v>
      </c>
      <c r="AD1496" s="41">
        <v>173.24</v>
      </c>
      <c r="AE1496" s="41">
        <v>182.25</v>
      </c>
      <c r="AF1496" s="48"/>
      <c r="AG1496" s="44"/>
      <c r="AH1496" s="7">
        <f t="shared" si="23"/>
        <v>0</v>
      </c>
      <c r="AI1496" s="18"/>
      <c r="AJ1496" s="18"/>
    </row>
    <row r="1497" spans="1:36" ht="26.65" customHeight="1" x14ac:dyDescent="0.25">
      <c r="A1497" s="10" t="s">
        <v>8829</v>
      </c>
      <c r="B1497" s="9" t="s">
        <v>8139</v>
      </c>
      <c r="C1497" s="9" t="s">
        <v>34</v>
      </c>
      <c r="D1497" s="9" t="s">
        <v>8140</v>
      </c>
      <c r="E1497" s="9" t="s">
        <v>35</v>
      </c>
      <c r="F1497" s="9" t="s">
        <v>36</v>
      </c>
      <c r="G1497" s="9">
        <v>1</v>
      </c>
      <c r="H1497" s="9">
        <v>84219999</v>
      </c>
      <c r="I1497" s="11" t="s">
        <v>37</v>
      </c>
      <c r="J1497" s="12">
        <v>1.6500000000000001E-2</v>
      </c>
      <c r="K1497" s="12">
        <v>7.5999999999999998E-2</v>
      </c>
      <c r="L1497" s="12">
        <v>5.1999999999999998E-2</v>
      </c>
      <c r="M1497" s="13" t="s">
        <v>8579</v>
      </c>
      <c r="N1497" s="14" t="s">
        <v>35</v>
      </c>
      <c r="O1497" s="14" t="s">
        <v>35</v>
      </c>
      <c r="P1497" s="15">
        <v>45292</v>
      </c>
      <c r="Q1497" s="16" t="s">
        <v>35</v>
      </c>
      <c r="R1497" s="17" t="s">
        <v>35</v>
      </c>
      <c r="S1497" s="17" t="s">
        <v>8830</v>
      </c>
      <c r="T1497" s="17" t="s">
        <v>35</v>
      </c>
      <c r="U1497" s="17" t="s">
        <v>35</v>
      </c>
      <c r="V1497" s="17" t="s">
        <v>35</v>
      </c>
      <c r="W1497" s="17" t="s">
        <v>35</v>
      </c>
      <c r="X1497" s="17" t="s">
        <v>35</v>
      </c>
      <c r="Y1497" s="17" t="s">
        <v>35</v>
      </c>
      <c r="Z1497" s="17" t="s">
        <v>2650</v>
      </c>
      <c r="AA1497" s="17" t="s">
        <v>8831</v>
      </c>
      <c r="AB1497" s="17" t="s">
        <v>2651</v>
      </c>
      <c r="AC1497" s="17" t="s">
        <v>9539</v>
      </c>
      <c r="AD1497" s="41">
        <v>145.33000000000001</v>
      </c>
      <c r="AE1497" s="41">
        <v>152.88999999999999</v>
      </c>
      <c r="AF1497" s="48"/>
      <c r="AG1497" s="44"/>
      <c r="AH1497" s="7">
        <f t="shared" si="23"/>
        <v>0</v>
      </c>
      <c r="AI1497" s="18"/>
      <c r="AJ1497" s="18"/>
    </row>
    <row r="1498" spans="1:36" ht="26.65" customHeight="1" x14ac:dyDescent="0.25">
      <c r="A1498" s="10" t="s">
        <v>9510</v>
      </c>
      <c r="B1498" s="9" t="s">
        <v>8139</v>
      </c>
      <c r="C1498" s="9" t="s">
        <v>34</v>
      </c>
      <c r="D1498" s="9" t="s">
        <v>8140</v>
      </c>
      <c r="E1498" s="9" t="s">
        <v>122</v>
      </c>
      <c r="F1498" s="9" t="s">
        <v>36</v>
      </c>
      <c r="G1498" s="9">
        <v>1</v>
      </c>
      <c r="H1498" s="9">
        <v>84219999</v>
      </c>
      <c r="I1498" s="11" t="s">
        <v>37</v>
      </c>
      <c r="J1498" s="12">
        <v>1.6500000000000001E-2</v>
      </c>
      <c r="K1498" s="12">
        <v>7.5999999999999998E-2</v>
      </c>
      <c r="L1498" s="12">
        <v>5.1999999999999998E-2</v>
      </c>
      <c r="M1498" s="13" t="s">
        <v>35</v>
      </c>
      <c r="N1498" s="14">
        <v>0</v>
      </c>
      <c r="O1498" s="14">
        <v>0</v>
      </c>
      <c r="P1498" s="15">
        <v>45444</v>
      </c>
      <c r="Q1498" s="16" t="s">
        <v>9511</v>
      </c>
      <c r="R1498" s="17" t="s">
        <v>9512</v>
      </c>
      <c r="S1498" s="17" t="s">
        <v>35</v>
      </c>
      <c r="T1498" s="17" t="s">
        <v>35</v>
      </c>
      <c r="U1498" s="17" t="s">
        <v>35</v>
      </c>
      <c r="V1498" s="17" t="s">
        <v>35</v>
      </c>
      <c r="W1498" s="17" t="s">
        <v>35</v>
      </c>
      <c r="X1498" s="17" t="s">
        <v>35</v>
      </c>
      <c r="Y1498" s="17" t="s">
        <v>35</v>
      </c>
      <c r="Z1498" s="17" t="s">
        <v>35</v>
      </c>
      <c r="AA1498" s="17" t="s">
        <v>35</v>
      </c>
      <c r="AB1498" s="17" t="s">
        <v>35</v>
      </c>
      <c r="AC1498" s="17" t="s">
        <v>9539</v>
      </c>
      <c r="AD1498" s="41">
        <v>185.15</v>
      </c>
      <c r="AE1498" s="41">
        <v>194.78</v>
      </c>
      <c r="AF1498" s="48"/>
      <c r="AG1498" s="44"/>
      <c r="AH1498" s="7">
        <f t="shared" si="23"/>
        <v>0</v>
      </c>
      <c r="AI1498" s="18"/>
      <c r="AJ1498" s="18"/>
    </row>
    <row r="1499" spans="1:36" ht="26.65" customHeight="1" x14ac:dyDescent="0.25">
      <c r="A1499" s="10" t="s">
        <v>8832</v>
      </c>
      <c r="B1499" s="9" t="s">
        <v>8139</v>
      </c>
      <c r="C1499" s="9" t="s">
        <v>34</v>
      </c>
      <c r="D1499" s="9" t="s">
        <v>8140</v>
      </c>
      <c r="E1499" s="9" t="s">
        <v>35</v>
      </c>
      <c r="F1499" s="9" t="s">
        <v>36</v>
      </c>
      <c r="G1499" s="9">
        <v>1</v>
      </c>
      <c r="H1499" s="9">
        <v>84219999</v>
      </c>
      <c r="I1499" s="11" t="s">
        <v>37</v>
      </c>
      <c r="J1499" s="12">
        <v>1.6500000000000001E-2</v>
      </c>
      <c r="K1499" s="12">
        <v>7.5999999999999998E-2</v>
      </c>
      <c r="L1499" s="12">
        <v>5.1999999999999998E-2</v>
      </c>
      <c r="M1499" s="13" t="s">
        <v>8579</v>
      </c>
      <c r="N1499" s="14" t="s">
        <v>35</v>
      </c>
      <c r="O1499" s="14" t="s">
        <v>35</v>
      </c>
      <c r="P1499" s="15">
        <v>45292</v>
      </c>
      <c r="Q1499" s="16" t="s">
        <v>35</v>
      </c>
      <c r="R1499" s="17" t="s">
        <v>35</v>
      </c>
      <c r="S1499" s="17" t="s">
        <v>8833</v>
      </c>
      <c r="T1499" s="17" t="s">
        <v>35</v>
      </c>
      <c r="U1499" s="17" t="s">
        <v>35</v>
      </c>
      <c r="V1499" s="17" t="s">
        <v>35</v>
      </c>
      <c r="W1499" s="17" t="s">
        <v>35</v>
      </c>
      <c r="X1499" s="17" t="s">
        <v>35</v>
      </c>
      <c r="Y1499" s="17" t="s">
        <v>35</v>
      </c>
      <c r="Z1499" s="17" t="s">
        <v>8834</v>
      </c>
      <c r="AA1499" s="17" t="s">
        <v>8835</v>
      </c>
      <c r="AB1499" s="17" t="s">
        <v>8836</v>
      </c>
      <c r="AC1499" s="17" t="s">
        <v>9539</v>
      </c>
      <c r="AD1499" s="41">
        <v>427.24</v>
      </c>
      <c r="AE1499" s="41">
        <v>449.46</v>
      </c>
      <c r="AF1499" s="48"/>
      <c r="AG1499" s="44"/>
      <c r="AH1499" s="7">
        <f t="shared" si="23"/>
        <v>0</v>
      </c>
      <c r="AI1499" s="18"/>
      <c r="AJ1499" s="18"/>
    </row>
    <row r="1500" spans="1:36" ht="26.65" customHeight="1" x14ac:dyDescent="0.25">
      <c r="A1500" s="10" t="s">
        <v>8837</v>
      </c>
      <c r="B1500" s="9" t="s">
        <v>8139</v>
      </c>
      <c r="C1500" s="9" t="s">
        <v>34</v>
      </c>
      <c r="D1500" s="9" t="s">
        <v>8140</v>
      </c>
      <c r="E1500" s="9" t="s">
        <v>35</v>
      </c>
      <c r="F1500" s="9" t="s">
        <v>36</v>
      </c>
      <c r="G1500" s="9">
        <v>1</v>
      </c>
      <c r="H1500" s="9">
        <v>84219999</v>
      </c>
      <c r="I1500" s="11" t="s">
        <v>37</v>
      </c>
      <c r="J1500" s="12">
        <v>1.6500000000000001E-2</v>
      </c>
      <c r="K1500" s="12">
        <v>7.5999999999999998E-2</v>
      </c>
      <c r="L1500" s="12">
        <v>5.1999999999999998E-2</v>
      </c>
      <c r="M1500" s="13" t="s">
        <v>8579</v>
      </c>
      <c r="N1500" s="14" t="s">
        <v>35</v>
      </c>
      <c r="O1500" s="14" t="s">
        <v>35</v>
      </c>
      <c r="P1500" s="15">
        <v>45292</v>
      </c>
      <c r="Q1500" s="16" t="s">
        <v>8838</v>
      </c>
      <c r="R1500" s="17" t="s">
        <v>8839</v>
      </c>
      <c r="S1500" s="17" t="s">
        <v>8840</v>
      </c>
      <c r="T1500" s="17" t="s">
        <v>35</v>
      </c>
      <c r="U1500" s="17" t="s">
        <v>35</v>
      </c>
      <c r="V1500" s="17" t="s">
        <v>35</v>
      </c>
      <c r="W1500" s="17" t="s">
        <v>35</v>
      </c>
      <c r="X1500" s="17" t="s">
        <v>35</v>
      </c>
      <c r="Y1500" s="17" t="s">
        <v>35</v>
      </c>
      <c r="Z1500" s="17" t="s">
        <v>8841</v>
      </c>
      <c r="AA1500" s="17" t="s">
        <v>35</v>
      </c>
      <c r="AB1500" s="17" t="s">
        <v>8842</v>
      </c>
      <c r="AC1500" s="17" t="s">
        <v>9539</v>
      </c>
      <c r="AD1500" s="41">
        <v>85.01</v>
      </c>
      <c r="AE1500" s="41">
        <v>89.43</v>
      </c>
      <c r="AF1500" s="48"/>
      <c r="AG1500" s="44"/>
      <c r="AH1500" s="7">
        <f t="shared" si="23"/>
        <v>0</v>
      </c>
      <c r="AI1500" s="18"/>
      <c r="AJ1500" s="18"/>
    </row>
    <row r="1501" spans="1:36" ht="26.65" customHeight="1" x14ac:dyDescent="0.25">
      <c r="A1501" s="10" t="s">
        <v>9213</v>
      </c>
      <c r="B1501" s="9" t="s">
        <v>8139</v>
      </c>
      <c r="C1501" s="9" t="s">
        <v>34</v>
      </c>
      <c r="D1501" s="9" t="s">
        <v>8140</v>
      </c>
      <c r="E1501" s="9" t="s">
        <v>35</v>
      </c>
      <c r="F1501" s="9" t="s">
        <v>36</v>
      </c>
      <c r="G1501" s="9">
        <v>1</v>
      </c>
      <c r="H1501" s="9">
        <v>84219999</v>
      </c>
      <c r="I1501" s="11" t="s">
        <v>37</v>
      </c>
      <c r="J1501" s="12">
        <v>1.6500000000000001E-2</v>
      </c>
      <c r="K1501" s="12">
        <v>7.5999999999999998E-2</v>
      </c>
      <c r="L1501" s="12">
        <v>5.1999999999999998E-2</v>
      </c>
      <c r="M1501" s="13" t="s">
        <v>35</v>
      </c>
      <c r="N1501" s="14" t="s">
        <v>35</v>
      </c>
      <c r="O1501" s="14" t="s">
        <v>35</v>
      </c>
      <c r="P1501" s="15">
        <v>45383</v>
      </c>
      <c r="Q1501" s="16" t="s">
        <v>9214</v>
      </c>
      <c r="R1501" s="17" t="s">
        <v>35</v>
      </c>
      <c r="S1501" s="17" t="s">
        <v>35</v>
      </c>
      <c r="T1501" s="17" t="s">
        <v>35</v>
      </c>
      <c r="U1501" s="17" t="s">
        <v>35</v>
      </c>
      <c r="V1501" s="17" t="s">
        <v>35</v>
      </c>
      <c r="W1501" s="17" t="s">
        <v>35</v>
      </c>
      <c r="X1501" s="17" t="s">
        <v>35</v>
      </c>
      <c r="Y1501" s="17" t="s">
        <v>35</v>
      </c>
      <c r="Z1501" s="17" t="s">
        <v>35</v>
      </c>
      <c r="AA1501" s="17" t="s">
        <v>9215</v>
      </c>
      <c r="AB1501" s="17" t="s">
        <v>9216</v>
      </c>
      <c r="AC1501" s="17" t="s">
        <v>9539</v>
      </c>
      <c r="AD1501" s="41">
        <v>164.18</v>
      </c>
      <c r="AE1501" s="41">
        <v>172.72</v>
      </c>
      <c r="AF1501" s="48"/>
      <c r="AG1501" s="44"/>
      <c r="AH1501" s="7">
        <f t="shared" si="23"/>
        <v>0</v>
      </c>
      <c r="AI1501" s="18"/>
      <c r="AJ1501" s="18"/>
    </row>
    <row r="1502" spans="1:36" ht="26.65" customHeight="1" x14ac:dyDescent="0.25">
      <c r="A1502" s="10" t="s">
        <v>8843</v>
      </c>
      <c r="B1502" s="9" t="s">
        <v>8139</v>
      </c>
      <c r="C1502" s="9" t="s">
        <v>34</v>
      </c>
      <c r="D1502" s="9" t="s">
        <v>8140</v>
      </c>
      <c r="E1502" s="9" t="s">
        <v>35</v>
      </c>
      <c r="F1502" s="9" t="s">
        <v>36</v>
      </c>
      <c r="G1502" s="9">
        <v>1</v>
      </c>
      <c r="H1502" s="9">
        <v>84219999</v>
      </c>
      <c r="I1502" s="11" t="s">
        <v>37</v>
      </c>
      <c r="J1502" s="12">
        <v>1.6500000000000001E-2</v>
      </c>
      <c r="K1502" s="12">
        <v>7.5999999999999998E-2</v>
      </c>
      <c r="L1502" s="12">
        <v>5.1999999999999998E-2</v>
      </c>
      <c r="M1502" s="13" t="s">
        <v>8579</v>
      </c>
      <c r="N1502" s="14" t="s">
        <v>35</v>
      </c>
      <c r="O1502" s="14" t="s">
        <v>35</v>
      </c>
      <c r="P1502" s="15">
        <v>45292</v>
      </c>
      <c r="Q1502" s="16" t="s">
        <v>2624</v>
      </c>
      <c r="R1502" s="17" t="s">
        <v>2625</v>
      </c>
      <c r="S1502" s="17" t="s">
        <v>35</v>
      </c>
      <c r="T1502" s="17" t="s">
        <v>2627</v>
      </c>
      <c r="U1502" s="17" t="s">
        <v>35</v>
      </c>
      <c r="V1502" s="17" t="s">
        <v>2628</v>
      </c>
      <c r="W1502" s="17" t="s">
        <v>35</v>
      </c>
      <c r="X1502" s="17" t="s">
        <v>35</v>
      </c>
      <c r="Y1502" s="17" t="s">
        <v>35</v>
      </c>
      <c r="Z1502" s="17" t="s">
        <v>2629</v>
      </c>
      <c r="AA1502" s="17" t="s">
        <v>35</v>
      </c>
      <c r="AB1502" s="17" t="s">
        <v>2630</v>
      </c>
      <c r="AC1502" s="17" t="s">
        <v>9539</v>
      </c>
      <c r="AD1502" s="41">
        <v>189.6</v>
      </c>
      <c r="AE1502" s="41">
        <v>199.46</v>
      </c>
      <c r="AF1502" s="48"/>
      <c r="AG1502" s="44"/>
      <c r="AH1502" s="7">
        <f t="shared" si="23"/>
        <v>0</v>
      </c>
      <c r="AI1502" s="18"/>
      <c r="AJ1502" s="18"/>
    </row>
    <row r="1503" spans="1:36" ht="26.65" customHeight="1" x14ac:dyDescent="0.25">
      <c r="A1503" s="10" t="s">
        <v>9048</v>
      </c>
      <c r="B1503" s="9" t="s">
        <v>8190</v>
      </c>
      <c r="C1503" s="9" t="s">
        <v>34</v>
      </c>
      <c r="D1503" s="9" t="s">
        <v>8140</v>
      </c>
      <c r="E1503" s="9" t="s">
        <v>35</v>
      </c>
      <c r="F1503" s="9" t="s">
        <v>36</v>
      </c>
      <c r="G1503" s="9">
        <v>1</v>
      </c>
      <c r="H1503" s="9">
        <v>84219999</v>
      </c>
      <c r="I1503" s="11" t="s">
        <v>37</v>
      </c>
      <c r="J1503" s="12">
        <v>1.6500000000000001E-2</v>
      </c>
      <c r="K1503" s="12">
        <v>7.5999999999999998E-2</v>
      </c>
      <c r="L1503" s="12">
        <v>5.1999999999999998E-2</v>
      </c>
      <c r="M1503" s="13" t="s">
        <v>35</v>
      </c>
      <c r="N1503" s="14">
        <v>0</v>
      </c>
      <c r="O1503" s="14">
        <v>0</v>
      </c>
      <c r="P1503" s="15">
        <v>45323</v>
      </c>
      <c r="Q1503" s="16" t="s">
        <v>35</v>
      </c>
      <c r="R1503" s="17" t="s">
        <v>35</v>
      </c>
      <c r="S1503" s="17" t="s">
        <v>35</v>
      </c>
      <c r="T1503" s="17" t="s">
        <v>35</v>
      </c>
      <c r="U1503" s="17" t="s">
        <v>35</v>
      </c>
      <c r="V1503" s="17" t="s">
        <v>35</v>
      </c>
      <c r="W1503" s="17" t="s">
        <v>35</v>
      </c>
      <c r="X1503" s="17" t="s">
        <v>35</v>
      </c>
      <c r="Y1503" s="17" t="s">
        <v>35</v>
      </c>
      <c r="Z1503" s="17" t="s">
        <v>35</v>
      </c>
      <c r="AA1503" s="17" t="s">
        <v>35</v>
      </c>
      <c r="AB1503" s="17" t="s">
        <v>35</v>
      </c>
      <c r="AC1503" s="17" t="s">
        <v>9539</v>
      </c>
      <c r="AD1503" s="41">
        <v>92.7</v>
      </c>
      <c r="AE1503" s="41">
        <v>97.52</v>
      </c>
      <c r="AF1503" s="48"/>
      <c r="AG1503" s="44"/>
      <c r="AH1503" s="7">
        <f t="shared" si="23"/>
        <v>0</v>
      </c>
      <c r="AI1503" s="18"/>
      <c r="AJ1503" s="18"/>
    </row>
    <row r="1504" spans="1:36" ht="26.65" customHeight="1" x14ac:dyDescent="0.25">
      <c r="A1504" s="10" t="s">
        <v>9049</v>
      </c>
      <c r="B1504" s="9" t="s">
        <v>8139</v>
      </c>
      <c r="C1504" s="9" t="s">
        <v>34</v>
      </c>
      <c r="D1504" s="9" t="s">
        <v>8140</v>
      </c>
      <c r="E1504" s="9" t="s">
        <v>35</v>
      </c>
      <c r="F1504" s="9" t="s">
        <v>36</v>
      </c>
      <c r="G1504" s="9">
        <v>1</v>
      </c>
      <c r="H1504" s="9">
        <v>84219999</v>
      </c>
      <c r="I1504" s="11" t="s">
        <v>37</v>
      </c>
      <c r="J1504" s="12">
        <v>1.6500000000000001E-2</v>
      </c>
      <c r="K1504" s="12">
        <v>7.5999999999999998E-2</v>
      </c>
      <c r="L1504" s="12">
        <v>5.1999999999999998E-2</v>
      </c>
      <c r="M1504" s="13" t="s">
        <v>35</v>
      </c>
      <c r="N1504" s="14" t="s">
        <v>35</v>
      </c>
      <c r="O1504" s="14" t="s">
        <v>35</v>
      </c>
      <c r="P1504" s="15">
        <v>45352</v>
      </c>
      <c r="Q1504" s="16" t="s">
        <v>9050</v>
      </c>
      <c r="R1504" s="17" t="s">
        <v>9049</v>
      </c>
      <c r="S1504" s="17" t="s">
        <v>35</v>
      </c>
      <c r="T1504" s="17" t="s">
        <v>35</v>
      </c>
      <c r="U1504" s="17" t="s">
        <v>35</v>
      </c>
      <c r="V1504" s="17" t="s">
        <v>35</v>
      </c>
      <c r="W1504" s="17" t="s">
        <v>35</v>
      </c>
      <c r="X1504" s="17" t="s">
        <v>35</v>
      </c>
      <c r="Y1504" s="17" t="s">
        <v>35</v>
      </c>
      <c r="Z1504" s="17" t="s">
        <v>35</v>
      </c>
      <c r="AA1504" s="17" t="s">
        <v>35</v>
      </c>
      <c r="AB1504" s="17" t="s">
        <v>35</v>
      </c>
      <c r="AC1504" s="17" t="s">
        <v>9539</v>
      </c>
      <c r="AD1504" s="41">
        <v>142.72999999999999</v>
      </c>
      <c r="AE1504" s="41">
        <v>150.15</v>
      </c>
      <c r="AF1504" s="48"/>
      <c r="AG1504" s="44"/>
      <c r="AH1504" s="7">
        <f t="shared" si="23"/>
        <v>0</v>
      </c>
      <c r="AI1504" s="18"/>
      <c r="AJ1504" s="18"/>
    </row>
    <row r="1505" spans="1:38" ht="26.65" customHeight="1" x14ac:dyDescent="0.25">
      <c r="A1505" s="10" t="s">
        <v>10667</v>
      </c>
      <c r="B1505" s="9" t="s">
        <v>8139</v>
      </c>
      <c r="C1505" s="9" t="s">
        <v>34</v>
      </c>
      <c r="D1505" s="9" t="s">
        <v>8140</v>
      </c>
      <c r="E1505" s="9" t="s">
        <v>35</v>
      </c>
      <c r="F1505" s="9" t="s">
        <v>36</v>
      </c>
      <c r="G1505" s="9">
        <v>1</v>
      </c>
      <c r="H1505" s="9">
        <v>84219999</v>
      </c>
      <c r="I1505" s="11" t="s">
        <v>37</v>
      </c>
      <c r="J1505" s="12">
        <v>1.6500000000000001E-2</v>
      </c>
      <c r="K1505" s="12">
        <v>7.5999999999999998E-2</v>
      </c>
      <c r="L1505" s="12">
        <v>5.1999999999999998E-2</v>
      </c>
      <c r="M1505" s="13" t="s">
        <v>35</v>
      </c>
      <c r="N1505" s="14" t="s">
        <v>35</v>
      </c>
      <c r="O1505" s="14" t="s">
        <v>35</v>
      </c>
      <c r="P1505" s="15">
        <v>45597</v>
      </c>
      <c r="Q1505" s="16" t="s">
        <v>10668</v>
      </c>
      <c r="R1505" s="17" t="s">
        <v>35</v>
      </c>
      <c r="S1505" s="17" t="s">
        <v>35</v>
      </c>
      <c r="T1505" s="17" t="s">
        <v>35</v>
      </c>
      <c r="U1505" s="17" t="s">
        <v>35</v>
      </c>
      <c r="V1505" s="17" t="s">
        <v>35</v>
      </c>
      <c r="W1505" s="17" t="s">
        <v>35</v>
      </c>
      <c r="X1505" s="17" t="s">
        <v>35</v>
      </c>
      <c r="Y1505" s="17" t="s">
        <v>35</v>
      </c>
      <c r="Z1505" s="17" t="s">
        <v>35</v>
      </c>
      <c r="AA1505" s="17" t="s">
        <v>35</v>
      </c>
      <c r="AB1505" s="17" t="s">
        <v>10669</v>
      </c>
      <c r="AC1505" s="17" t="s">
        <v>9539</v>
      </c>
      <c r="AD1505" s="41">
        <v>152.16</v>
      </c>
      <c r="AE1505" s="41">
        <v>160.07</v>
      </c>
      <c r="AF1505" s="48"/>
      <c r="AG1505" s="44"/>
      <c r="AH1505" s="7">
        <f t="shared" si="23"/>
        <v>0</v>
      </c>
      <c r="AI1505" s="18"/>
      <c r="AJ1505" s="18"/>
    </row>
    <row r="1506" spans="1:38" ht="26.65" customHeight="1" x14ac:dyDescent="0.25">
      <c r="A1506" s="10" t="s">
        <v>8536</v>
      </c>
      <c r="B1506" s="9" t="s">
        <v>8537</v>
      </c>
      <c r="C1506" s="9" t="s">
        <v>34</v>
      </c>
      <c r="D1506" s="9" t="s">
        <v>8140</v>
      </c>
      <c r="E1506" s="9" t="s">
        <v>35</v>
      </c>
      <c r="F1506" s="9" t="s">
        <v>36</v>
      </c>
      <c r="G1506" s="9">
        <v>1</v>
      </c>
      <c r="H1506" s="9">
        <v>84212990</v>
      </c>
      <c r="I1506" s="11" t="s">
        <v>37</v>
      </c>
      <c r="J1506" s="12">
        <v>1.6500000000000001E-2</v>
      </c>
      <c r="K1506" s="12">
        <v>7.5999999999999998E-2</v>
      </c>
      <c r="L1506" s="12">
        <v>0</v>
      </c>
      <c r="M1506" s="13" t="s">
        <v>8579</v>
      </c>
      <c r="N1506" s="14">
        <v>0.7</v>
      </c>
      <c r="O1506" s="14">
        <v>1.03</v>
      </c>
      <c r="P1506" s="15">
        <v>44958</v>
      </c>
      <c r="Q1506" s="16" t="s">
        <v>35</v>
      </c>
      <c r="R1506" s="17" t="s">
        <v>35</v>
      </c>
      <c r="S1506" s="17" t="s">
        <v>35</v>
      </c>
      <c r="T1506" s="17" t="s">
        <v>35</v>
      </c>
      <c r="U1506" s="17" t="s">
        <v>35</v>
      </c>
      <c r="V1506" s="17" t="s">
        <v>35</v>
      </c>
      <c r="W1506" s="17" t="s">
        <v>35</v>
      </c>
      <c r="X1506" s="17" t="s">
        <v>35</v>
      </c>
      <c r="Y1506" s="17" t="s">
        <v>35</v>
      </c>
      <c r="Z1506" s="17" t="s">
        <v>8538</v>
      </c>
      <c r="AA1506" s="17" t="s">
        <v>8539</v>
      </c>
      <c r="AB1506" s="17" t="s">
        <v>8540</v>
      </c>
      <c r="AC1506" s="17" t="s">
        <v>9539</v>
      </c>
      <c r="AD1506" s="41">
        <v>52.34</v>
      </c>
      <c r="AE1506" s="41">
        <v>52.34</v>
      </c>
      <c r="AF1506" s="48"/>
      <c r="AG1506" s="44"/>
      <c r="AH1506" s="7">
        <f t="shared" si="23"/>
        <v>0</v>
      </c>
      <c r="AI1506" s="18"/>
      <c r="AJ1506" s="18"/>
      <c r="AL1506" s="18"/>
    </row>
    <row r="1507" spans="1:38" ht="26.65" customHeight="1" x14ac:dyDescent="0.25">
      <c r="A1507" s="10" t="s">
        <v>8541</v>
      </c>
      <c r="B1507" s="9" t="s">
        <v>8542</v>
      </c>
      <c r="C1507" s="9" t="s">
        <v>34</v>
      </c>
      <c r="D1507" s="9" t="s">
        <v>8140</v>
      </c>
      <c r="E1507" s="9" t="s">
        <v>35</v>
      </c>
      <c r="F1507" s="9" t="s">
        <v>36</v>
      </c>
      <c r="G1507" s="9">
        <v>1</v>
      </c>
      <c r="H1507" s="9">
        <v>84212990</v>
      </c>
      <c r="I1507" s="11" t="s">
        <v>37</v>
      </c>
      <c r="J1507" s="12">
        <v>1.6500000000000001E-2</v>
      </c>
      <c r="K1507" s="12">
        <v>7.5999999999999998E-2</v>
      </c>
      <c r="L1507" s="12">
        <v>0</v>
      </c>
      <c r="M1507" s="13" t="s">
        <v>8579</v>
      </c>
      <c r="N1507" s="14">
        <v>0.7</v>
      </c>
      <c r="O1507" s="14">
        <v>1.03</v>
      </c>
      <c r="P1507" s="15">
        <v>44986</v>
      </c>
      <c r="Q1507" s="16" t="s">
        <v>8543</v>
      </c>
      <c r="R1507" s="17" t="s">
        <v>8544</v>
      </c>
      <c r="S1507" s="17" t="s">
        <v>8545</v>
      </c>
      <c r="T1507" s="17" t="s">
        <v>8546</v>
      </c>
      <c r="U1507" s="17" t="s">
        <v>35</v>
      </c>
      <c r="V1507" s="17" t="s">
        <v>35</v>
      </c>
      <c r="W1507" s="17" t="s">
        <v>35</v>
      </c>
      <c r="X1507" s="17" t="s">
        <v>35</v>
      </c>
      <c r="Y1507" s="17" t="s">
        <v>35</v>
      </c>
      <c r="Z1507" s="17" t="s">
        <v>38</v>
      </c>
      <c r="AA1507" s="17">
        <v>926501</v>
      </c>
      <c r="AB1507" s="17" t="s">
        <v>40</v>
      </c>
      <c r="AC1507" s="17" t="s">
        <v>9539</v>
      </c>
      <c r="AD1507" s="41">
        <v>73.17</v>
      </c>
      <c r="AE1507" s="41">
        <v>73.17</v>
      </c>
      <c r="AF1507" s="48"/>
      <c r="AG1507" s="44"/>
      <c r="AH1507" s="7">
        <f t="shared" si="23"/>
        <v>0</v>
      </c>
      <c r="AI1507" s="18"/>
      <c r="AJ1507" s="18"/>
      <c r="AL1507" s="18"/>
    </row>
    <row r="1508" spans="1:38" ht="26.65" customHeight="1" x14ac:dyDescent="0.25">
      <c r="A1508" s="10" t="s">
        <v>8547</v>
      </c>
      <c r="B1508" s="9" t="s">
        <v>8548</v>
      </c>
      <c r="C1508" s="9" t="s">
        <v>34</v>
      </c>
      <c r="D1508" s="9" t="s">
        <v>8140</v>
      </c>
      <c r="E1508" s="9" t="s">
        <v>35</v>
      </c>
      <c r="F1508" s="9" t="s">
        <v>36</v>
      </c>
      <c r="G1508" s="9">
        <v>1</v>
      </c>
      <c r="H1508" s="9">
        <v>84212990</v>
      </c>
      <c r="I1508" s="11" t="s">
        <v>37</v>
      </c>
      <c r="J1508" s="12">
        <v>1.6500000000000001E-2</v>
      </c>
      <c r="K1508" s="12">
        <v>7.5999999999999998E-2</v>
      </c>
      <c r="L1508" s="12">
        <v>0</v>
      </c>
      <c r="M1508" s="13" t="s">
        <v>8579</v>
      </c>
      <c r="N1508" s="14">
        <v>0.7</v>
      </c>
      <c r="O1508" s="14">
        <v>1.03</v>
      </c>
      <c r="P1508" s="15">
        <v>44958</v>
      </c>
      <c r="Q1508" s="16" t="s">
        <v>35</v>
      </c>
      <c r="R1508" s="17" t="s">
        <v>35</v>
      </c>
      <c r="S1508" s="17" t="s">
        <v>35</v>
      </c>
      <c r="T1508" s="17" t="s">
        <v>35</v>
      </c>
      <c r="U1508" s="17" t="s">
        <v>35</v>
      </c>
      <c r="V1508" s="17" t="s">
        <v>35</v>
      </c>
      <c r="W1508" s="17" t="s">
        <v>35</v>
      </c>
      <c r="X1508" s="17" t="s">
        <v>35</v>
      </c>
      <c r="Y1508" s="17" t="s">
        <v>35</v>
      </c>
      <c r="Z1508" s="17" t="s">
        <v>8549</v>
      </c>
      <c r="AA1508" s="17" t="s">
        <v>35</v>
      </c>
      <c r="AB1508" s="17" t="s">
        <v>8550</v>
      </c>
      <c r="AC1508" s="17" t="s">
        <v>9539</v>
      </c>
      <c r="AD1508" s="41">
        <v>91.51</v>
      </c>
      <c r="AE1508" s="41">
        <v>91.51</v>
      </c>
      <c r="AF1508" s="48"/>
      <c r="AG1508" s="44"/>
      <c r="AH1508" s="7">
        <f t="shared" si="23"/>
        <v>0</v>
      </c>
      <c r="AI1508" s="18"/>
      <c r="AJ1508" s="18"/>
    </row>
    <row r="1509" spans="1:38" ht="26.65" customHeight="1" x14ac:dyDescent="0.25">
      <c r="A1509" s="10" t="s">
        <v>8551</v>
      </c>
      <c r="B1509" s="9" t="s">
        <v>8552</v>
      </c>
      <c r="C1509" s="9" t="s">
        <v>34</v>
      </c>
      <c r="D1509" s="9" t="s">
        <v>8140</v>
      </c>
      <c r="E1509" s="9" t="s">
        <v>35</v>
      </c>
      <c r="F1509" s="9" t="s">
        <v>36</v>
      </c>
      <c r="G1509" s="9">
        <v>1</v>
      </c>
      <c r="H1509" s="9">
        <v>84212990</v>
      </c>
      <c r="I1509" s="11" t="s">
        <v>37</v>
      </c>
      <c r="J1509" s="12">
        <v>1.6500000000000001E-2</v>
      </c>
      <c r="K1509" s="12">
        <v>7.5999999999999998E-2</v>
      </c>
      <c r="L1509" s="12">
        <v>0</v>
      </c>
      <c r="M1509" s="13" t="s">
        <v>8579</v>
      </c>
      <c r="N1509" s="14">
        <v>0.87</v>
      </c>
      <c r="O1509" s="14">
        <v>0</v>
      </c>
      <c r="P1509" s="15">
        <v>44958</v>
      </c>
      <c r="Q1509" s="16" t="s">
        <v>35</v>
      </c>
      <c r="R1509" s="17" t="s">
        <v>35</v>
      </c>
      <c r="S1509" s="17" t="s">
        <v>35</v>
      </c>
      <c r="T1509" s="17" t="s">
        <v>35</v>
      </c>
      <c r="U1509" s="17" t="s">
        <v>35</v>
      </c>
      <c r="V1509" s="17" t="s">
        <v>35</v>
      </c>
      <c r="W1509" s="17" t="s">
        <v>35</v>
      </c>
      <c r="X1509" s="17" t="s">
        <v>35</v>
      </c>
      <c r="Y1509" s="17" t="s">
        <v>35</v>
      </c>
      <c r="Z1509" s="17" t="s">
        <v>8553</v>
      </c>
      <c r="AA1509" s="17" t="s">
        <v>8554</v>
      </c>
      <c r="AB1509" s="17" t="s">
        <v>8555</v>
      </c>
      <c r="AC1509" s="17" t="s">
        <v>9539</v>
      </c>
      <c r="AD1509" s="41">
        <v>138.85</v>
      </c>
      <c r="AE1509" s="41">
        <v>138.85</v>
      </c>
      <c r="AF1509" s="48"/>
      <c r="AG1509" s="44"/>
      <c r="AH1509" s="7">
        <f t="shared" si="23"/>
        <v>0</v>
      </c>
      <c r="AI1509" s="18"/>
      <c r="AJ1509" s="18"/>
      <c r="AL1509" s="18"/>
    </row>
    <row r="1510" spans="1:38" ht="26.65" customHeight="1" x14ac:dyDescent="0.25">
      <c r="A1510" s="10" t="s">
        <v>8556</v>
      </c>
      <c r="B1510" s="9" t="s">
        <v>8166</v>
      </c>
      <c r="C1510" s="9" t="s">
        <v>34</v>
      </c>
      <c r="D1510" s="9" t="s">
        <v>8140</v>
      </c>
      <c r="E1510" s="9" t="s">
        <v>35</v>
      </c>
      <c r="F1510" s="9" t="s">
        <v>36</v>
      </c>
      <c r="G1510" s="9">
        <v>1</v>
      </c>
      <c r="H1510" s="9">
        <v>84212990</v>
      </c>
      <c r="I1510" s="11" t="s">
        <v>37</v>
      </c>
      <c r="J1510" s="12">
        <v>1.6500000000000001E-2</v>
      </c>
      <c r="K1510" s="12">
        <v>7.5999999999999998E-2</v>
      </c>
      <c r="L1510" s="12">
        <v>0</v>
      </c>
      <c r="M1510" s="13" t="s">
        <v>8579</v>
      </c>
      <c r="N1510" s="14">
        <v>0</v>
      </c>
      <c r="O1510" s="14">
        <v>0</v>
      </c>
      <c r="P1510" s="15">
        <v>45108</v>
      </c>
      <c r="Q1510" s="16" t="s">
        <v>8844</v>
      </c>
      <c r="R1510" s="17" t="s">
        <v>8557</v>
      </c>
      <c r="S1510" s="17" t="s">
        <v>8558</v>
      </c>
      <c r="T1510" s="17" t="s">
        <v>8559</v>
      </c>
      <c r="U1510" s="17" t="s">
        <v>8560</v>
      </c>
      <c r="V1510" s="17" t="s">
        <v>8561</v>
      </c>
      <c r="W1510" s="17" t="s">
        <v>8562</v>
      </c>
      <c r="X1510" s="17" t="s">
        <v>8845</v>
      </c>
      <c r="Y1510" s="17" t="s">
        <v>8563</v>
      </c>
      <c r="Z1510" s="17" t="s">
        <v>8564</v>
      </c>
      <c r="AA1510" s="17" t="s">
        <v>8565</v>
      </c>
      <c r="AB1510" s="17" t="s">
        <v>8566</v>
      </c>
      <c r="AC1510" s="17" t="s">
        <v>9539</v>
      </c>
      <c r="AD1510" s="41">
        <v>73.59</v>
      </c>
      <c r="AE1510" s="41">
        <v>73.59</v>
      </c>
      <c r="AF1510" s="48"/>
      <c r="AG1510" s="44"/>
      <c r="AH1510" s="7">
        <f t="shared" si="23"/>
        <v>0</v>
      </c>
      <c r="AI1510" s="18"/>
      <c r="AJ1510" s="18"/>
    </row>
    <row r="1511" spans="1:38" ht="26.65" customHeight="1" x14ac:dyDescent="0.25">
      <c r="A1511" s="10" t="s">
        <v>8567</v>
      </c>
      <c r="B1511" s="9" t="s">
        <v>8139</v>
      </c>
      <c r="C1511" s="9" t="s">
        <v>34</v>
      </c>
      <c r="D1511" s="9" t="s">
        <v>8140</v>
      </c>
      <c r="E1511" s="9" t="s">
        <v>35</v>
      </c>
      <c r="F1511" s="9" t="s">
        <v>36</v>
      </c>
      <c r="G1511" s="9">
        <v>1</v>
      </c>
      <c r="H1511" s="9">
        <v>84219999</v>
      </c>
      <c r="I1511" s="11" t="s">
        <v>37</v>
      </c>
      <c r="J1511" s="12">
        <v>1.6500000000000001E-2</v>
      </c>
      <c r="K1511" s="12">
        <v>7.5999999999999998E-2</v>
      </c>
      <c r="L1511" s="12">
        <v>5.1999999999999998E-2</v>
      </c>
      <c r="M1511" s="13" t="s">
        <v>35</v>
      </c>
      <c r="N1511" s="14" t="s">
        <v>35</v>
      </c>
      <c r="O1511" s="14" t="s">
        <v>35</v>
      </c>
      <c r="P1511" s="15">
        <v>45200</v>
      </c>
      <c r="Q1511" s="16" t="s">
        <v>35</v>
      </c>
      <c r="R1511" s="17" t="s">
        <v>35</v>
      </c>
      <c r="S1511" s="17" t="s">
        <v>35</v>
      </c>
      <c r="T1511" s="17" t="s">
        <v>35</v>
      </c>
      <c r="U1511" s="17" t="s">
        <v>35</v>
      </c>
      <c r="V1511" s="17" t="s">
        <v>35</v>
      </c>
      <c r="W1511" s="17" t="s">
        <v>35</v>
      </c>
      <c r="X1511" s="17" t="s">
        <v>35</v>
      </c>
      <c r="Y1511" s="17" t="s">
        <v>35</v>
      </c>
      <c r="Z1511" s="17" t="s">
        <v>8553</v>
      </c>
      <c r="AA1511" s="17" t="s">
        <v>35</v>
      </c>
      <c r="AB1511" s="17" t="s">
        <v>8555</v>
      </c>
      <c r="AC1511" s="17" t="s">
        <v>9539</v>
      </c>
      <c r="AD1511" s="41">
        <v>101.68</v>
      </c>
      <c r="AE1511" s="41">
        <v>106.97</v>
      </c>
      <c r="AF1511" s="48"/>
      <c r="AG1511" s="44"/>
      <c r="AH1511" s="7">
        <f t="shared" si="23"/>
        <v>0</v>
      </c>
      <c r="AI1511" s="18"/>
      <c r="AJ1511" s="18"/>
    </row>
    <row r="1512" spans="1:38" ht="26.65" customHeight="1" x14ac:dyDescent="0.25">
      <c r="A1512" s="10" t="s">
        <v>8568</v>
      </c>
      <c r="B1512" s="9" t="s">
        <v>8569</v>
      </c>
      <c r="C1512" s="9" t="s">
        <v>34</v>
      </c>
      <c r="D1512" s="9" t="s">
        <v>8140</v>
      </c>
      <c r="E1512" s="9" t="s">
        <v>35</v>
      </c>
      <c r="F1512" s="9" t="s">
        <v>36</v>
      </c>
      <c r="G1512" s="9">
        <v>1</v>
      </c>
      <c r="H1512" s="9">
        <v>84212990</v>
      </c>
      <c r="I1512" s="11" t="s">
        <v>37</v>
      </c>
      <c r="J1512" s="12">
        <v>1.6500000000000001E-2</v>
      </c>
      <c r="K1512" s="12">
        <v>7.5999999999999998E-2</v>
      </c>
      <c r="L1512" s="12">
        <v>0</v>
      </c>
      <c r="M1512" s="13" t="s">
        <v>8579</v>
      </c>
      <c r="N1512" s="14">
        <v>1.4</v>
      </c>
      <c r="O1512" s="14">
        <v>1.73</v>
      </c>
      <c r="P1512" s="15">
        <v>44958</v>
      </c>
      <c r="Q1512" s="16" t="s">
        <v>35</v>
      </c>
      <c r="R1512" s="17" t="s">
        <v>35</v>
      </c>
      <c r="S1512" s="17" t="s">
        <v>35</v>
      </c>
      <c r="T1512" s="17" t="s">
        <v>35</v>
      </c>
      <c r="U1512" s="17" t="s">
        <v>35</v>
      </c>
      <c r="V1512" s="17" t="s">
        <v>35</v>
      </c>
      <c r="W1512" s="17" t="s">
        <v>35</v>
      </c>
      <c r="X1512" s="17" t="s">
        <v>35</v>
      </c>
      <c r="Y1512" s="17" t="s">
        <v>35</v>
      </c>
      <c r="Z1512" s="17" t="s">
        <v>8570</v>
      </c>
      <c r="AA1512" s="17" t="s">
        <v>35</v>
      </c>
      <c r="AB1512" s="17" t="s">
        <v>8571</v>
      </c>
      <c r="AC1512" s="17" t="s">
        <v>9539</v>
      </c>
      <c r="AD1512" s="41">
        <v>108.17</v>
      </c>
      <c r="AE1512" s="41">
        <v>108.17</v>
      </c>
      <c r="AF1512" s="48"/>
      <c r="AG1512" s="44"/>
      <c r="AH1512" s="7">
        <f t="shared" si="23"/>
        <v>0</v>
      </c>
      <c r="AI1512" s="18"/>
      <c r="AJ1512" s="18"/>
      <c r="AL1512" s="18"/>
    </row>
    <row r="1513" spans="1:38" ht="26.65" customHeight="1" x14ac:dyDescent="0.25">
      <c r="A1513" s="10" t="s">
        <v>8572</v>
      </c>
      <c r="B1513" s="9" t="s">
        <v>8573</v>
      </c>
      <c r="C1513" s="9" t="s">
        <v>34</v>
      </c>
      <c r="D1513" s="9" t="s">
        <v>8140</v>
      </c>
      <c r="E1513" s="9" t="s">
        <v>35</v>
      </c>
      <c r="F1513" s="9" t="s">
        <v>36</v>
      </c>
      <c r="G1513" s="9">
        <v>1</v>
      </c>
      <c r="H1513" s="9">
        <v>84212990</v>
      </c>
      <c r="I1513" s="11" t="s">
        <v>37</v>
      </c>
      <c r="J1513" s="12">
        <v>1.6500000000000001E-2</v>
      </c>
      <c r="K1513" s="12">
        <v>7.5999999999999998E-2</v>
      </c>
      <c r="L1513" s="12">
        <v>0</v>
      </c>
      <c r="M1513" s="13" t="s">
        <v>8579</v>
      </c>
      <c r="N1513" s="14">
        <v>0</v>
      </c>
      <c r="O1513" s="14">
        <v>0</v>
      </c>
      <c r="P1513" s="15">
        <v>44986</v>
      </c>
      <c r="Q1513" s="16" t="s">
        <v>35</v>
      </c>
      <c r="R1513" s="17" t="s">
        <v>8574</v>
      </c>
      <c r="S1513" s="17" t="s">
        <v>35</v>
      </c>
      <c r="T1513" s="17" t="s">
        <v>35</v>
      </c>
      <c r="U1513" s="17" t="s">
        <v>35</v>
      </c>
      <c r="V1513" s="17" t="s">
        <v>35</v>
      </c>
      <c r="W1513" s="17" t="s">
        <v>35</v>
      </c>
      <c r="X1513" s="17" t="s">
        <v>35</v>
      </c>
      <c r="Y1513" s="17" t="s">
        <v>35</v>
      </c>
      <c r="Z1513" s="17" t="s">
        <v>8575</v>
      </c>
      <c r="AA1513" s="17" t="s">
        <v>8576</v>
      </c>
      <c r="AB1513" s="17" t="s">
        <v>8577</v>
      </c>
      <c r="AC1513" s="17" t="s">
        <v>9539</v>
      </c>
      <c r="AD1513" s="41">
        <v>88.97</v>
      </c>
      <c r="AE1513" s="41">
        <v>88.97</v>
      </c>
      <c r="AF1513" s="48"/>
      <c r="AG1513" s="44"/>
      <c r="AH1513" s="7">
        <f t="shared" si="23"/>
        <v>0</v>
      </c>
      <c r="AI1513" s="18"/>
      <c r="AJ1513" s="18"/>
    </row>
    <row r="1514" spans="1:38" ht="26.65" customHeight="1" x14ac:dyDescent="0.25">
      <c r="A1514" s="10" t="s">
        <v>8846</v>
      </c>
      <c r="B1514" s="9" t="s">
        <v>8139</v>
      </c>
      <c r="C1514" s="9" t="s">
        <v>34</v>
      </c>
      <c r="D1514" s="9" t="s">
        <v>8140</v>
      </c>
      <c r="E1514" s="9" t="s">
        <v>35</v>
      </c>
      <c r="F1514" s="9" t="s">
        <v>36</v>
      </c>
      <c r="G1514" s="9">
        <v>1</v>
      </c>
      <c r="H1514" s="9">
        <v>84219999</v>
      </c>
      <c r="I1514" s="11" t="s">
        <v>37</v>
      </c>
      <c r="J1514" s="12">
        <v>1.6500000000000001E-2</v>
      </c>
      <c r="K1514" s="12">
        <v>7.5999999999999998E-2</v>
      </c>
      <c r="L1514" s="12">
        <v>5.1999999999999998E-2</v>
      </c>
      <c r="M1514" s="13" t="s">
        <v>8579</v>
      </c>
      <c r="N1514" s="14" t="s">
        <v>35</v>
      </c>
      <c r="O1514" s="14" t="s">
        <v>35</v>
      </c>
      <c r="P1514" s="15">
        <v>45292</v>
      </c>
      <c r="Q1514" s="16" t="s">
        <v>35</v>
      </c>
      <c r="R1514" s="17" t="s">
        <v>35</v>
      </c>
      <c r="S1514" s="17" t="s">
        <v>8847</v>
      </c>
      <c r="T1514" s="17" t="s">
        <v>35</v>
      </c>
      <c r="U1514" s="17" t="s">
        <v>35</v>
      </c>
      <c r="V1514" s="17" t="s">
        <v>35</v>
      </c>
      <c r="W1514" s="17" t="s">
        <v>35</v>
      </c>
      <c r="X1514" s="17" t="s">
        <v>35</v>
      </c>
      <c r="Y1514" s="17" t="s">
        <v>35</v>
      </c>
      <c r="Z1514" s="17" t="s">
        <v>8848</v>
      </c>
      <c r="AA1514" s="17" t="s">
        <v>35</v>
      </c>
      <c r="AB1514" s="17" t="s">
        <v>8849</v>
      </c>
      <c r="AC1514" s="17" t="s">
        <v>9539</v>
      </c>
      <c r="AD1514" s="41">
        <v>57.24</v>
      </c>
      <c r="AE1514" s="41">
        <v>60.22</v>
      </c>
      <c r="AF1514" s="48"/>
      <c r="AG1514" s="44"/>
      <c r="AH1514" s="7">
        <f t="shared" si="23"/>
        <v>0</v>
      </c>
      <c r="AI1514" s="18"/>
      <c r="AJ1514" s="18"/>
    </row>
    <row r="1515" spans="1:38" ht="26.65" customHeight="1" x14ac:dyDescent="0.25">
      <c r="A1515" s="10" t="s">
        <v>9051</v>
      </c>
      <c r="B1515" s="9" t="s">
        <v>8139</v>
      </c>
      <c r="C1515" s="9" t="s">
        <v>34</v>
      </c>
      <c r="D1515" s="9" t="s">
        <v>8140</v>
      </c>
      <c r="E1515" s="9" t="s">
        <v>35</v>
      </c>
      <c r="F1515" s="9" t="s">
        <v>36</v>
      </c>
      <c r="G1515" s="9">
        <v>1</v>
      </c>
      <c r="H1515" s="9">
        <v>84219999</v>
      </c>
      <c r="I1515" s="11" t="s">
        <v>37</v>
      </c>
      <c r="J1515" s="12">
        <v>1.6500000000000001E-2</v>
      </c>
      <c r="K1515" s="12">
        <v>7.5999999999999998E-2</v>
      </c>
      <c r="L1515" s="12">
        <v>5.1999999999999998E-2</v>
      </c>
      <c r="M1515" s="13" t="s">
        <v>35</v>
      </c>
      <c r="N1515" s="14" t="s">
        <v>35</v>
      </c>
      <c r="O1515" s="14" t="s">
        <v>35</v>
      </c>
      <c r="P1515" s="15">
        <v>45352</v>
      </c>
      <c r="Q1515" s="16" t="s">
        <v>9052</v>
      </c>
      <c r="R1515" s="17" t="s">
        <v>35</v>
      </c>
      <c r="S1515" s="17" t="s">
        <v>35</v>
      </c>
      <c r="T1515" s="17" t="s">
        <v>35</v>
      </c>
      <c r="U1515" s="17" t="s">
        <v>35</v>
      </c>
      <c r="V1515" s="17" t="s">
        <v>35</v>
      </c>
      <c r="W1515" s="17" t="s">
        <v>35</v>
      </c>
      <c r="X1515" s="17" t="s">
        <v>35</v>
      </c>
      <c r="Y1515" s="17" t="s">
        <v>35</v>
      </c>
      <c r="Z1515" s="17" t="s">
        <v>9053</v>
      </c>
      <c r="AA1515" s="17" t="s">
        <v>35</v>
      </c>
      <c r="AB1515" s="17" t="s">
        <v>9054</v>
      </c>
      <c r="AC1515" s="17" t="s">
        <v>9539</v>
      </c>
      <c r="AD1515" s="41">
        <v>110.39</v>
      </c>
      <c r="AE1515" s="41">
        <v>116.13</v>
      </c>
      <c r="AF1515" s="48"/>
      <c r="AG1515" s="44"/>
      <c r="AH1515" s="7">
        <f t="shared" si="23"/>
        <v>0</v>
      </c>
      <c r="AI1515" s="18"/>
      <c r="AJ1515" s="18"/>
    </row>
    <row r="1516" spans="1:38" ht="26.65" customHeight="1" x14ac:dyDescent="0.25">
      <c r="A1516" s="10" t="s">
        <v>9217</v>
      </c>
      <c r="B1516" s="9" t="s">
        <v>8139</v>
      </c>
      <c r="C1516" s="9" t="s">
        <v>34</v>
      </c>
      <c r="D1516" s="9" t="s">
        <v>8140</v>
      </c>
      <c r="E1516" s="9" t="s">
        <v>35</v>
      </c>
      <c r="F1516" s="9" t="s">
        <v>36</v>
      </c>
      <c r="G1516" s="9">
        <v>1</v>
      </c>
      <c r="H1516" s="9">
        <v>84219999</v>
      </c>
      <c r="I1516" s="11" t="s">
        <v>37</v>
      </c>
      <c r="J1516" s="12">
        <v>1.6500000000000001E-2</v>
      </c>
      <c r="K1516" s="12">
        <v>7.5999999999999998E-2</v>
      </c>
      <c r="L1516" s="12">
        <v>5.1999999999999998E-2</v>
      </c>
      <c r="M1516" s="13" t="s">
        <v>35</v>
      </c>
      <c r="N1516" s="14" t="s">
        <v>35</v>
      </c>
      <c r="O1516" s="14" t="s">
        <v>35</v>
      </c>
      <c r="P1516" s="15">
        <v>45383</v>
      </c>
      <c r="Q1516" s="16" t="s">
        <v>35</v>
      </c>
      <c r="R1516" s="17" t="s">
        <v>35</v>
      </c>
      <c r="S1516" s="17" t="s">
        <v>35</v>
      </c>
      <c r="T1516" s="17" t="s">
        <v>9218</v>
      </c>
      <c r="U1516" s="17" t="s">
        <v>35</v>
      </c>
      <c r="V1516" s="17" t="s">
        <v>35</v>
      </c>
      <c r="W1516" s="17" t="s">
        <v>35</v>
      </c>
      <c r="X1516" s="17" t="s">
        <v>35</v>
      </c>
      <c r="Y1516" s="17" t="s">
        <v>35</v>
      </c>
      <c r="Z1516" s="17" t="s">
        <v>9053</v>
      </c>
      <c r="AA1516" s="17" t="s">
        <v>35</v>
      </c>
      <c r="AB1516" s="17" t="s">
        <v>9054</v>
      </c>
      <c r="AC1516" s="17" t="s">
        <v>9539</v>
      </c>
      <c r="AD1516" s="41">
        <v>111.29</v>
      </c>
      <c r="AE1516" s="41">
        <v>117.08</v>
      </c>
      <c r="AF1516" s="48"/>
      <c r="AG1516" s="44"/>
      <c r="AH1516" s="7">
        <f t="shared" si="23"/>
        <v>0</v>
      </c>
      <c r="AI1516" s="18"/>
      <c r="AJ1516" s="18"/>
    </row>
    <row r="1517" spans="1:38" ht="26.65" customHeight="1" x14ac:dyDescent="0.25">
      <c r="A1517" s="10" t="s">
        <v>9219</v>
      </c>
      <c r="B1517" s="9" t="s">
        <v>8139</v>
      </c>
      <c r="C1517" s="9" t="s">
        <v>34</v>
      </c>
      <c r="D1517" s="9" t="s">
        <v>8140</v>
      </c>
      <c r="E1517" s="9" t="s">
        <v>35</v>
      </c>
      <c r="F1517" s="9" t="s">
        <v>36</v>
      </c>
      <c r="G1517" s="9">
        <v>1</v>
      </c>
      <c r="H1517" s="9">
        <v>84219999</v>
      </c>
      <c r="I1517" s="11" t="s">
        <v>37</v>
      </c>
      <c r="J1517" s="12">
        <v>1.6500000000000001E-2</v>
      </c>
      <c r="K1517" s="12">
        <v>7.5999999999999998E-2</v>
      </c>
      <c r="L1517" s="12">
        <v>5.1999999999999998E-2</v>
      </c>
      <c r="M1517" s="13" t="s">
        <v>35</v>
      </c>
      <c r="N1517" s="14" t="s">
        <v>35</v>
      </c>
      <c r="O1517" s="14" t="s">
        <v>35</v>
      </c>
      <c r="P1517" s="15">
        <v>45383</v>
      </c>
      <c r="Q1517" s="16" t="s">
        <v>35</v>
      </c>
      <c r="R1517" s="17" t="s">
        <v>35</v>
      </c>
      <c r="S1517" s="17" t="s">
        <v>35</v>
      </c>
      <c r="T1517" s="17" t="s">
        <v>35</v>
      </c>
      <c r="U1517" s="17" t="s">
        <v>35</v>
      </c>
      <c r="V1517" s="17" t="s">
        <v>35</v>
      </c>
      <c r="W1517" s="17" t="s">
        <v>35</v>
      </c>
      <c r="X1517" s="17" t="s">
        <v>35</v>
      </c>
      <c r="Y1517" s="17" t="s">
        <v>35</v>
      </c>
      <c r="Z1517" s="17" t="s">
        <v>35</v>
      </c>
      <c r="AA1517" s="17" t="s">
        <v>9220</v>
      </c>
      <c r="AB1517" s="17" t="s">
        <v>35</v>
      </c>
      <c r="AC1517" s="17" t="s">
        <v>9539</v>
      </c>
      <c r="AD1517" s="41">
        <v>229.6</v>
      </c>
      <c r="AE1517" s="41">
        <v>241.54</v>
      </c>
      <c r="AF1517" s="48"/>
      <c r="AG1517" s="44"/>
      <c r="AH1517" s="7">
        <f t="shared" si="23"/>
        <v>0</v>
      </c>
      <c r="AI1517" s="18"/>
      <c r="AJ1517" s="18"/>
    </row>
    <row r="1518" spans="1:38" ht="26.65" customHeight="1" x14ac:dyDescent="0.25">
      <c r="A1518" s="10" t="s">
        <v>9221</v>
      </c>
      <c r="B1518" s="9" t="s">
        <v>8139</v>
      </c>
      <c r="C1518" s="9" t="s">
        <v>34</v>
      </c>
      <c r="D1518" s="9" t="s">
        <v>8140</v>
      </c>
      <c r="E1518" s="9" t="s">
        <v>35</v>
      </c>
      <c r="F1518" s="9" t="s">
        <v>36</v>
      </c>
      <c r="G1518" s="9">
        <v>1</v>
      </c>
      <c r="H1518" s="9">
        <v>84219999</v>
      </c>
      <c r="I1518" s="11" t="s">
        <v>37</v>
      </c>
      <c r="J1518" s="12">
        <v>1.6500000000000001E-2</v>
      </c>
      <c r="K1518" s="12">
        <v>7.5999999999999998E-2</v>
      </c>
      <c r="L1518" s="12">
        <v>5.1999999999999998E-2</v>
      </c>
      <c r="M1518" s="13" t="s">
        <v>35</v>
      </c>
      <c r="N1518" s="14" t="s">
        <v>35</v>
      </c>
      <c r="O1518" s="14" t="s">
        <v>35</v>
      </c>
      <c r="P1518" s="15">
        <v>45383</v>
      </c>
      <c r="Q1518" s="16" t="s">
        <v>9222</v>
      </c>
      <c r="R1518" s="17" t="s">
        <v>35</v>
      </c>
      <c r="S1518" s="17" t="s">
        <v>9223</v>
      </c>
      <c r="T1518" s="17" t="s">
        <v>9224</v>
      </c>
      <c r="U1518" s="17" t="s">
        <v>35</v>
      </c>
      <c r="V1518" s="17" t="s">
        <v>35</v>
      </c>
      <c r="W1518" s="17" t="s">
        <v>35</v>
      </c>
      <c r="X1518" s="17" t="s">
        <v>35</v>
      </c>
      <c r="Y1518" s="17" t="s">
        <v>35</v>
      </c>
      <c r="Z1518" s="17" t="s">
        <v>9225</v>
      </c>
      <c r="AA1518" s="17" t="s">
        <v>9226</v>
      </c>
      <c r="AB1518" s="17" t="s">
        <v>8523</v>
      </c>
      <c r="AC1518" s="17" t="s">
        <v>9539</v>
      </c>
      <c r="AD1518" s="41">
        <v>180.62</v>
      </c>
      <c r="AE1518" s="41">
        <v>190.01</v>
      </c>
      <c r="AF1518" s="48"/>
      <c r="AG1518" s="44"/>
      <c r="AH1518" s="7">
        <f t="shared" si="23"/>
        <v>0</v>
      </c>
      <c r="AI1518" s="18"/>
      <c r="AJ1518" s="18"/>
    </row>
    <row r="1519" spans="1:38" ht="26.65" customHeight="1" x14ac:dyDescent="0.25">
      <c r="A1519" s="10" t="s">
        <v>9227</v>
      </c>
      <c r="B1519" s="9" t="s">
        <v>8139</v>
      </c>
      <c r="C1519" s="9" t="s">
        <v>34</v>
      </c>
      <c r="D1519" s="9" t="s">
        <v>8140</v>
      </c>
      <c r="E1519" s="9" t="s">
        <v>35</v>
      </c>
      <c r="F1519" s="9" t="s">
        <v>36</v>
      </c>
      <c r="G1519" s="9">
        <v>1</v>
      </c>
      <c r="H1519" s="9">
        <v>84219999</v>
      </c>
      <c r="I1519" s="11" t="s">
        <v>37</v>
      </c>
      <c r="J1519" s="12">
        <v>1.6500000000000001E-2</v>
      </c>
      <c r="K1519" s="12">
        <v>7.5999999999999998E-2</v>
      </c>
      <c r="L1519" s="12">
        <v>5.1999999999999998E-2</v>
      </c>
      <c r="M1519" s="13" t="s">
        <v>35</v>
      </c>
      <c r="N1519" s="14" t="s">
        <v>35</v>
      </c>
      <c r="O1519" s="14" t="s">
        <v>35</v>
      </c>
      <c r="P1519" s="15">
        <v>45383</v>
      </c>
      <c r="Q1519" s="16" t="s">
        <v>9228</v>
      </c>
      <c r="R1519" s="17" t="s">
        <v>35</v>
      </c>
      <c r="S1519" s="17" t="s">
        <v>9229</v>
      </c>
      <c r="T1519" s="17" t="s">
        <v>35</v>
      </c>
      <c r="U1519" s="17" t="s">
        <v>35</v>
      </c>
      <c r="V1519" s="17" t="s">
        <v>35</v>
      </c>
      <c r="W1519" s="17" t="s">
        <v>35</v>
      </c>
      <c r="X1519" s="17" t="s">
        <v>35</v>
      </c>
      <c r="Y1519" s="17" t="s">
        <v>35</v>
      </c>
      <c r="Z1519" s="17" t="s">
        <v>35</v>
      </c>
      <c r="AA1519" s="17" t="s">
        <v>9230</v>
      </c>
      <c r="AB1519" s="17" t="s">
        <v>9231</v>
      </c>
      <c r="AC1519" s="17" t="s">
        <v>9539</v>
      </c>
      <c r="AD1519" s="41">
        <v>232.16</v>
      </c>
      <c r="AE1519" s="41">
        <v>244.23</v>
      </c>
      <c r="AF1519" s="48"/>
      <c r="AG1519" s="44"/>
      <c r="AH1519" s="7">
        <f t="shared" si="23"/>
        <v>0</v>
      </c>
      <c r="AI1519" s="18"/>
      <c r="AJ1519" s="18"/>
    </row>
    <row r="1520" spans="1:38" ht="26.65" customHeight="1" x14ac:dyDescent="0.25">
      <c r="A1520" s="10" t="s">
        <v>9232</v>
      </c>
      <c r="B1520" s="9" t="s">
        <v>8139</v>
      </c>
      <c r="C1520" s="9" t="s">
        <v>34</v>
      </c>
      <c r="D1520" s="9" t="s">
        <v>8140</v>
      </c>
      <c r="E1520" s="9" t="s">
        <v>35</v>
      </c>
      <c r="F1520" s="9" t="s">
        <v>36</v>
      </c>
      <c r="G1520" s="9">
        <v>1</v>
      </c>
      <c r="H1520" s="9">
        <v>84219999</v>
      </c>
      <c r="I1520" s="11" t="s">
        <v>37</v>
      </c>
      <c r="J1520" s="12">
        <v>1.6500000000000001E-2</v>
      </c>
      <c r="K1520" s="12">
        <v>7.5999999999999998E-2</v>
      </c>
      <c r="L1520" s="12">
        <v>5.1999999999999998E-2</v>
      </c>
      <c r="M1520" s="13" t="s">
        <v>35</v>
      </c>
      <c r="N1520" s="14" t="s">
        <v>35</v>
      </c>
      <c r="O1520" s="14" t="s">
        <v>35</v>
      </c>
      <c r="P1520" s="15">
        <v>45383</v>
      </c>
      <c r="Q1520" s="16" t="s">
        <v>9233</v>
      </c>
      <c r="R1520" s="17" t="s">
        <v>35</v>
      </c>
      <c r="S1520" s="17" t="s">
        <v>35</v>
      </c>
      <c r="T1520" s="17" t="s">
        <v>35</v>
      </c>
      <c r="U1520" s="17" t="s">
        <v>35</v>
      </c>
      <c r="V1520" s="17" t="s">
        <v>35</v>
      </c>
      <c r="W1520" s="17" t="s">
        <v>35</v>
      </c>
      <c r="X1520" s="17" t="s">
        <v>35</v>
      </c>
      <c r="Y1520" s="17" t="s">
        <v>35</v>
      </c>
      <c r="Z1520" s="17" t="s">
        <v>35</v>
      </c>
      <c r="AA1520" s="17" t="s">
        <v>9234</v>
      </c>
      <c r="AB1520" s="17" t="s">
        <v>35</v>
      </c>
      <c r="AC1520" s="17" t="s">
        <v>9539</v>
      </c>
      <c r="AD1520" s="41">
        <v>307.75</v>
      </c>
      <c r="AE1520" s="41">
        <v>323.75</v>
      </c>
      <c r="AF1520" s="48"/>
      <c r="AG1520" s="44"/>
      <c r="AH1520" s="7">
        <f t="shared" si="23"/>
        <v>0</v>
      </c>
      <c r="AI1520" s="18"/>
      <c r="AJ1520" s="18"/>
    </row>
    <row r="1521" spans="1:36" ht="26.65" customHeight="1" x14ac:dyDescent="0.25">
      <c r="A1521" s="10" t="s">
        <v>8850</v>
      </c>
      <c r="B1521" s="9" t="s">
        <v>8139</v>
      </c>
      <c r="C1521" s="9" t="s">
        <v>34</v>
      </c>
      <c r="D1521" s="9" t="s">
        <v>8140</v>
      </c>
      <c r="E1521" s="9" t="s">
        <v>35</v>
      </c>
      <c r="F1521" s="9" t="s">
        <v>36</v>
      </c>
      <c r="G1521" s="9">
        <v>1</v>
      </c>
      <c r="H1521" s="9">
        <v>84219999</v>
      </c>
      <c r="I1521" s="11" t="s">
        <v>37</v>
      </c>
      <c r="J1521" s="12">
        <v>1.6500000000000001E-2</v>
      </c>
      <c r="K1521" s="12">
        <v>7.5999999999999998E-2</v>
      </c>
      <c r="L1521" s="12">
        <v>5.1999999999999998E-2</v>
      </c>
      <c r="M1521" s="13" t="s">
        <v>8579</v>
      </c>
      <c r="N1521" s="14" t="s">
        <v>35</v>
      </c>
      <c r="O1521" s="14" t="s">
        <v>35</v>
      </c>
      <c r="P1521" s="15">
        <v>45292</v>
      </c>
      <c r="Q1521" s="16" t="s">
        <v>35</v>
      </c>
      <c r="R1521" s="17" t="s">
        <v>35</v>
      </c>
      <c r="S1521" s="17" t="s">
        <v>35</v>
      </c>
      <c r="T1521" s="17" t="s">
        <v>35</v>
      </c>
      <c r="U1521" s="17" t="s">
        <v>35</v>
      </c>
      <c r="V1521" s="17" t="s">
        <v>35</v>
      </c>
      <c r="W1521" s="17" t="s">
        <v>35</v>
      </c>
      <c r="X1521" s="17" t="s">
        <v>35</v>
      </c>
      <c r="Y1521" s="17" t="s">
        <v>35</v>
      </c>
      <c r="Z1521" s="17" t="s">
        <v>35</v>
      </c>
      <c r="AA1521" s="17" t="s">
        <v>8851</v>
      </c>
      <c r="AB1521" s="17" t="s">
        <v>35</v>
      </c>
      <c r="AC1521" s="17" t="s">
        <v>9539</v>
      </c>
      <c r="AD1521" s="41">
        <v>568.16</v>
      </c>
      <c r="AE1521" s="41">
        <v>597.70000000000005</v>
      </c>
      <c r="AF1521" s="48"/>
      <c r="AG1521" s="44"/>
      <c r="AH1521" s="7">
        <f t="shared" si="23"/>
        <v>0</v>
      </c>
      <c r="AI1521" s="18"/>
      <c r="AJ1521" s="18"/>
    </row>
    <row r="1522" spans="1:36" ht="26.65" customHeight="1" x14ac:dyDescent="0.25">
      <c r="A1522" s="10" t="s">
        <v>8852</v>
      </c>
      <c r="B1522" s="9" t="s">
        <v>903</v>
      </c>
      <c r="C1522" s="9" t="s">
        <v>43</v>
      </c>
      <c r="D1522" s="9" t="s">
        <v>59</v>
      </c>
      <c r="E1522" s="9" t="s">
        <v>8853</v>
      </c>
      <c r="F1522" s="9" t="s">
        <v>36</v>
      </c>
      <c r="G1522" s="9">
        <v>4</v>
      </c>
      <c r="H1522" s="9">
        <v>84212300</v>
      </c>
      <c r="I1522" s="11" t="s">
        <v>37</v>
      </c>
      <c r="J1522" s="12">
        <v>2.3E-2</v>
      </c>
      <c r="K1522" s="12">
        <v>0.108</v>
      </c>
      <c r="L1522" s="12">
        <v>5.1999999999999998E-2</v>
      </c>
      <c r="M1522" s="13" t="s">
        <v>8579</v>
      </c>
      <c r="N1522" s="14" t="s">
        <v>35</v>
      </c>
      <c r="O1522" s="14" t="s">
        <v>35</v>
      </c>
      <c r="P1522" s="15">
        <v>45292</v>
      </c>
      <c r="Q1522" s="16" t="s">
        <v>8854</v>
      </c>
      <c r="R1522" s="17" t="s">
        <v>8855</v>
      </c>
      <c r="S1522" s="17" t="s">
        <v>8856</v>
      </c>
      <c r="T1522" s="17" t="s">
        <v>35</v>
      </c>
      <c r="U1522" s="17" t="s">
        <v>35</v>
      </c>
      <c r="V1522" s="17" t="s">
        <v>8857</v>
      </c>
      <c r="W1522" s="17" t="s">
        <v>35</v>
      </c>
      <c r="X1522" s="17" t="s">
        <v>8858</v>
      </c>
      <c r="Y1522" s="17" t="s">
        <v>8859</v>
      </c>
      <c r="Z1522" s="17" t="s">
        <v>35</v>
      </c>
      <c r="AA1522" s="17" t="s">
        <v>35</v>
      </c>
      <c r="AB1522" s="17" t="s">
        <v>35</v>
      </c>
      <c r="AC1522" s="17" t="s">
        <v>9539</v>
      </c>
      <c r="AD1522" s="42">
        <v>18.63</v>
      </c>
      <c r="AE1522" s="42">
        <v>19.600000000000001</v>
      </c>
      <c r="AF1522" s="48"/>
      <c r="AG1522" s="44"/>
      <c r="AH1522" s="7">
        <f t="shared" si="23"/>
        <v>0</v>
      </c>
      <c r="AI1522" s="18"/>
      <c r="AJ1522" s="18"/>
    </row>
    <row r="1523" spans="1:36" ht="26.65" customHeight="1" x14ac:dyDescent="0.25">
      <c r="A1523" s="10" t="s">
        <v>8860</v>
      </c>
      <c r="B1523" s="9" t="s">
        <v>7676</v>
      </c>
      <c r="C1523" s="9" t="s">
        <v>43</v>
      </c>
      <c r="D1523" s="9" t="s">
        <v>5141</v>
      </c>
      <c r="E1523" s="9" t="s">
        <v>8853</v>
      </c>
      <c r="F1523" s="9" t="s">
        <v>36</v>
      </c>
      <c r="G1523" s="9">
        <v>4</v>
      </c>
      <c r="H1523" s="9">
        <v>84213990</v>
      </c>
      <c r="I1523" s="11" t="s">
        <v>37</v>
      </c>
      <c r="J1523" s="12">
        <v>1.6500000000000001E-2</v>
      </c>
      <c r="K1523" s="12">
        <v>7.5999999999999998E-2</v>
      </c>
      <c r="L1523" s="12">
        <v>0</v>
      </c>
      <c r="M1523" s="13" t="s">
        <v>8579</v>
      </c>
      <c r="N1523" s="14" t="s">
        <v>35</v>
      </c>
      <c r="O1523" s="14" t="s">
        <v>35</v>
      </c>
      <c r="P1523" s="15">
        <v>45292</v>
      </c>
      <c r="Q1523" s="16" t="s">
        <v>8861</v>
      </c>
      <c r="R1523" s="17" t="s">
        <v>8862</v>
      </c>
      <c r="S1523" s="17" t="s">
        <v>35</v>
      </c>
      <c r="T1523" s="17" t="s">
        <v>35</v>
      </c>
      <c r="U1523" s="17" t="s">
        <v>35</v>
      </c>
      <c r="V1523" s="17" t="s">
        <v>8863</v>
      </c>
      <c r="W1523" s="17" t="s">
        <v>35</v>
      </c>
      <c r="X1523" s="17" t="s">
        <v>35</v>
      </c>
      <c r="Y1523" s="17" t="s">
        <v>8864</v>
      </c>
      <c r="Z1523" s="17" t="s">
        <v>35</v>
      </c>
      <c r="AA1523" s="17" t="s">
        <v>35</v>
      </c>
      <c r="AB1523" s="17" t="s">
        <v>35</v>
      </c>
      <c r="AC1523" s="17" t="s">
        <v>9539</v>
      </c>
      <c r="AD1523" s="42">
        <v>19.59</v>
      </c>
      <c r="AE1523" s="42">
        <v>19.59</v>
      </c>
      <c r="AF1523" s="48"/>
      <c r="AG1523" s="44"/>
      <c r="AH1523" s="7">
        <f t="shared" si="23"/>
        <v>0</v>
      </c>
      <c r="AI1523" s="18"/>
      <c r="AJ1523" s="18"/>
    </row>
    <row r="1524" spans="1:36" ht="26.65" customHeight="1" x14ac:dyDescent="0.25">
      <c r="A1524" s="10" t="s">
        <v>9513</v>
      </c>
      <c r="B1524" s="9" t="s">
        <v>7676</v>
      </c>
      <c r="C1524" s="9" t="s">
        <v>43</v>
      </c>
      <c r="D1524" s="9" t="s">
        <v>5141</v>
      </c>
      <c r="E1524" s="9" t="s">
        <v>8853</v>
      </c>
      <c r="F1524" s="9" t="s">
        <v>36</v>
      </c>
      <c r="G1524" s="9">
        <v>1</v>
      </c>
      <c r="H1524" s="9">
        <v>84213990</v>
      </c>
      <c r="I1524" s="11" t="s">
        <v>37</v>
      </c>
      <c r="J1524" s="12">
        <v>1.6500000000000001E-2</v>
      </c>
      <c r="K1524" s="12">
        <v>7.5999999999999998E-2</v>
      </c>
      <c r="L1524" s="12">
        <v>0</v>
      </c>
      <c r="M1524" s="13" t="s">
        <v>35</v>
      </c>
      <c r="N1524" s="14">
        <v>0</v>
      </c>
      <c r="O1524" s="14">
        <v>0</v>
      </c>
      <c r="P1524" s="15">
        <v>45444</v>
      </c>
      <c r="Q1524" s="16" t="s">
        <v>9514</v>
      </c>
      <c r="R1524" s="17" t="s">
        <v>9515</v>
      </c>
      <c r="S1524" s="17" t="s">
        <v>35</v>
      </c>
      <c r="T1524" s="17" t="s">
        <v>35</v>
      </c>
      <c r="U1524" s="17" t="s">
        <v>35</v>
      </c>
      <c r="V1524" s="17" t="s">
        <v>35</v>
      </c>
      <c r="W1524" s="17" t="s">
        <v>35</v>
      </c>
      <c r="X1524" s="17" t="s">
        <v>35</v>
      </c>
      <c r="Y1524" s="17" t="s">
        <v>9516</v>
      </c>
      <c r="Z1524" s="17" t="s">
        <v>35</v>
      </c>
      <c r="AA1524" s="17" t="s">
        <v>35</v>
      </c>
      <c r="AB1524" s="17" t="s">
        <v>35</v>
      </c>
      <c r="AC1524" s="17" t="s">
        <v>9539</v>
      </c>
      <c r="AD1524" s="42">
        <v>18.96</v>
      </c>
      <c r="AE1524" s="42">
        <v>18.96</v>
      </c>
      <c r="AF1524" s="48"/>
      <c r="AG1524" s="44"/>
      <c r="AH1524" s="7">
        <f t="shared" si="23"/>
        <v>0</v>
      </c>
      <c r="AI1524" s="18"/>
      <c r="AJ1524" s="18"/>
    </row>
    <row r="1525" spans="1:36" ht="26.65" customHeight="1" x14ac:dyDescent="0.25">
      <c r="A1525" s="10" t="s">
        <v>9517</v>
      </c>
      <c r="B1525" s="9" t="s">
        <v>7676</v>
      </c>
      <c r="C1525" s="9" t="s">
        <v>43</v>
      </c>
      <c r="D1525" s="9" t="s">
        <v>5141</v>
      </c>
      <c r="E1525" s="9" t="s">
        <v>8853</v>
      </c>
      <c r="F1525" s="9" t="s">
        <v>36</v>
      </c>
      <c r="G1525" s="9">
        <v>1</v>
      </c>
      <c r="H1525" s="9">
        <v>84213990</v>
      </c>
      <c r="I1525" s="11" t="s">
        <v>37</v>
      </c>
      <c r="J1525" s="12">
        <v>1.6500000000000001E-2</v>
      </c>
      <c r="K1525" s="12">
        <v>7.5999999999999998E-2</v>
      </c>
      <c r="L1525" s="12">
        <v>0</v>
      </c>
      <c r="M1525" s="13" t="s">
        <v>35</v>
      </c>
      <c r="N1525" s="14">
        <v>0</v>
      </c>
      <c r="O1525" s="14">
        <v>0</v>
      </c>
      <c r="P1525" s="15">
        <v>45444</v>
      </c>
      <c r="Q1525" s="16" t="s">
        <v>9518</v>
      </c>
      <c r="R1525" s="17" t="s">
        <v>9519</v>
      </c>
      <c r="S1525" s="17" t="s">
        <v>35</v>
      </c>
      <c r="T1525" s="17" t="s">
        <v>35</v>
      </c>
      <c r="U1525" s="17" t="s">
        <v>35</v>
      </c>
      <c r="V1525" s="17" t="s">
        <v>35</v>
      </c>
      <c r="W1525" s="17" t="s">
        <v>35</v>
      </c>
      <c r="X1525" s="17" t="s">
        <v>35</v>
      </c>
      <c r="Y1525" s="17" t="s">
        <v>9520</v>
      </c>
      <c r="Z1525" s="17" t="s">
        <v>35</v>
      </c>
      <c r="AA1525" s="17" t="s">
        <v>35</v>
      </c>
      <c r="AB1525" s="17" t="s">
        <v>35</v>
      </c>
      <c r="AC1525" s="17" t="s">
        <v>9539</v>
      </c>
      <c r="AD1525" s="42">
        <v>19.55</v>
      </c>
      <c r="AE1525" s="42">
        <v>19.55</v>
      </c>
      <c r="AF1525" s="48"/>
      <c r="AG1525" s="44"/>
      <c r="AH1525" s="7">
        <f t="shared" si="23"/>
        <v>0</v>
      </c>
      <c r="AI1525" s="18"/>
      <c r="AJ1525" s="18"/>
    </row>
    <row r="1526" spans="1:36" ht="26.65" customHeight="1" x14ac:dyDescent="0.25">
      <c r="A1526" s="10" t="s">
        <v>9521</v>
      </c>
      <c r="B1526" s="9" t="s">
        <v>7676</v>
      </c>
      <c r="C1526" s="9" t="s">
        <v>43</v>
      </c>
      <c r="D1526" s="9" t="s">
        <v>5141</v>
      </c>
      <c r="E1526" s="9" t="s">
        <v>8853</v>
      </c>
      <c r="F1526" s="9" t="s">
        <v>36</v>
      </c>
      <c r="G1526" s="9">
        <v>1</v>
      </c>
      <c r="H1526" s="9">
        <v>84213990</v>
      </c>
      <c r="I1526" s="11" t="s">
        <v>37</v>
      </c>
      <c r="J1526" s="12">
        <v>1.6500000000000001E-2</v>
      </c>
      <c r="K1526" s="12">
        <v>7.5999999999999998E-2</v>
      </c>
      <c r="L1526" s="12">
        <v>0</v>
      </c>
      <c r="M1526" s="13" t="s">
        <v>35</v>
      </c>
      <c r="N1526" s="14">
        <v>0</v>
      </c>
      <c r="O1526" s="14">
        <v>0</v>
      </c>
      <c r="P1526" s="15">
        <v>45444</v>
      </c>
      <c r="Q1526" s="16" t="s">
        <v>9522</v>
      </c>
      <c r="R1526" s="17" t="s">
        <v>9523</v>
      </c>
      <c r="S1526" s="17" t="s">
        <v>35</v>
      </c>
      <c r="T1526" s="17" t="s">
        <v>35</v>
      </c>
      <c r="U1526" s="17" t="s">
        <v>35</v>
      </c>
      <c r="V1526" s="17" t="s">
        <v>35</v>
      </c>
      <c r="W1526" s="17" t="s">
        <v>35</v>
      </c>
      <c r="X1526" s="17" t="s">
        <v>35</v>
      </c>
      <c r="Y1526" s="17" t="s">
        <v>35</v>
      </c>
      <c r="Z1526" s="17" t="s">
        <v>35</v>
      </c>
      <c r="AA1526" s="17" t="s">
        <v>35</v>
      </c>
      <c r="AB1526" s="17" t="s">
        <v>35</v>
      </c>
      <c r="AC1526" s="17" t="s">
        <v>9539</v>
      </c>
      <c r="AD1526" s="42">
        <v>20.59</v>
      </c>
      <c r="AE1526" s="42">
        <v>20.59</v>
      </c>
      <c r="AF1526" s="48"/>
      <c r="AG1526" s="44"/>
      <c r="AH1526" s="7">
        <f t="shared" si="23"/>
        <v>0</v>
      </c>
      <c r="AI1526" s="18"/>
      <c r="AJ1526" s="18"/>
    </row>
    <row r="1527" spans="1:36" ht="26.65" customHeight="1" x14ac:dyDescent="0.25">
      <c r="A1527" s="10" t="s">
        <v>8865</v>
      </c>
      <c r="B1527" s="9" t="s">
        <v>3056</v>
      </c>
      <c r="C1527" s="9" t="s">
        <v>43</v>
      </c>
      <c r="D1527" s="9" t="s">
        <v>3306</v>
      </c>
      <c r="E1527" s="9" t="s">
        <v>8853</v>
      </c>
      <c r="F1527" s="9" t="s">
        <v>36</v>
      </c>
      <c r="G1527" s="9">
        <v>4</v>
      </c>
      <c r="H1527" s="9">
        <v>84219999</v>
      </c>
      <c r="I1527" s="11" t="s">
        <v>37</v>
      </c>
      <c r="J1527" s="12">
        <v>1.6500000000000001E-2</v>
      </c>
      <c r="K1527" s="12">
        <v>7.5999999999999998E-2</v>
      </c>
      <c r="L1527" s="12">
        <v>5.1999999999999998E-2</v>
      </c>
      <c r="M1527" s="13" t="s">
        <v>8579</v>
      </c>
      <c r="N1527" s="14" t="s">
        <v>35</v>
      </c>
      <c r="O1527" s="14" t="s">
        <v>35</v>
      </c>
      <c r="P1527" s="15">
        <v>45292</v>
      </c>
      <c r="Q1527" s="16" t="s">
        <v>8866</v>
      </c>
      <c r="R1527" s="17">
        <v>26241944</v>
      </c>
      <c r="S1527" s="17" t="s">
        <v>8867</v>
      </c>
      <c r="T1527" s="17" t="s">
        <v>35</v>
      </c>
      <c r="U1527" s="17" t="s">
        <v>8868</v>
      </c>
      <c r="V1527" s="17" t="s">
        <v>8869</v>
      </c>
      <c r="W1527" s="17" t="s">
        <v>8870</v>
      </c>
      <c r="X1527" s="17" t="s">
        <v>35</v>
      </c>
      <c r="Y1527" s="17" t="s">
        <v>8871</v>
      </c>
      <c r="Z1527" s="17" t="s">
        <v>35</v>
      </c>
      <c r="AA1527" s="17" t="s">
        <v>35</v>
      </c>
      <c r="AB1527" s="17" t="s">
        <v>35</v>
      </c>
      <c r="AC1527" s="17" t="s">
        <v>9539</v>
      </c>
      <c r="AD1527" s="42">
        <v>18.170000000000002</v>
      </c>
      <c r="AE1527" s="42">
        <v>19.11</v>
      </c>
      <c r="AF1527" s="48"/>
      <c r="AG1527" s="44"/>
      <c r="AH1527" s="7">
        <f t="shared" si="23"/>
        <v>0</v>
      </c>
      <c r="AI1527" s="18"/>
      <c r="AJ1527" s="18"/>
    </row>
    <row r="1528" spans="1:36" ht="26.65" customHeight="1" x14ac:dyDescent="0.25">
      <c r="A1528" s="10" t="s">
        <v>8872</v>
      </c>
      <c r="B1528" s="9" t="s">
        <v>3030</v>
      </c>
      <c r="C1528" s="9" t="s">
        <v>43</v>
      </c>
      <c r="D1528" s="9" t="s">
        <v>3306</v>
      </c>
      <c r="E1528" s="9" t="s">
        <v>8853</v>
      </c>
      <c r="F1528" s="9" t="s">
        <v>36</v>
      </c>
      <c r="G1528" s="9">
        <v>4</v>
      </c>
      <c r="H1528" s="9">
        <v>84219999</v>
      </c>
      <c r="I1528" s="11" t="s">
        <v>37</v>
      </c>
      <c r="J1528" s="12">
        <v>1.6500000000000001E-2</v>
      </c>
      <c r="K1528" s="12">
        <v>7.5999999999999998E-2</v>
      </c>
      <c r="L1528" s="12">
        <v>5.1999999999999998E-2</v>
      </c>
      <c r="M1528" s="13" t="s">
        <v>8579</v>
      </c>
      <c r="N1528" s="14" t="s">
        <v>35</v>
      </c>
      <c r="O1528" s="14" t="s">
        <v>35</v>
      </c>
      <c r="P1528" s="15">
        <v>45292</v>
      </c>
      <c r="Q1528" s="16" t="s">
        <v>8873</v>
      </c>
      <c r="R1528" s="17" t="s">
        <v>8874</v>
      </c>
      <c r="S1528" s="17" t="s">
        <v>8875</v>
      </c>
      <c r="T1528" s="17" t="s">
        <v>35</v>
      </c>
      <c r="U1528" s="17" t="s">
        <v>35</v>
      </c>
      <c r="V1528" s="17" t="s">
        <v>35</v>
      </c>
      <c r="W1528" s="17" t="s">
        <v>35</v>
      </c>
      <c r="X1528" s="17" t="s">
        <v>35</v>
      </c>
      <c r="Y1528" s="17" t="s">
        <v>8876</v>
      </c>
      <c r="Z1528" s="17" t="s">
        <v>35</v>
      </c>
      <c r="AA1528" s="17" t="s">
        <v>35</v>
      </c>
      <c r="AB1528" s="17" t="s">
        <v>35</v>
      </c>
      <c r="AC1528" s="17" t="s">
        <v>9539</v>
      </c>
      <c r="AD1528" s="42">
        <v>33.090000000000003</v>
      </c>
      <c r="AE1528" s="42">
        <v>34.81</v>
      </c>
      <c r="AF1528" s="48"/>
      <c r="AG1528" s="44"/>
      <c r="AH1528" s="7">
        <f t="shared" si="23"/>
        <v>0</v>
      </c>
      <c r="AI1528" s="18"/>
      <c r="AJ1528" s="18"/>
    </row>
    <row r="1529" spans="1:36" ht="26.65" customHeight="1" x14ac:dyDescent="0.25">
      <c r="A1529" s="10" t="s">
        <v>8877</v>
      </c>
      <c r="B1529" s="9" t="s">
        <v>3030</v>
      </c>
      <c r="C1529" s="9" t="s">
        <v>43</v>
      </c>
      <c r="D1529" s="9" t="s">
        <v>3306</v>
      </c>
      <c r="E1529" s="9" t="s">
        <v>8853</v>
      </c>
      <c r="F1529" s="9" t="s">
        <v>36</v>
      </c>
      <c r="G1529" s="9">
        <v>4</v>
      </c>
      <c r="H1529" s="9">
        <v>84219999</v>
      </c>
      <c r="I1529" s="11" t="s">
        <v>37</v>
      </c>
      <c r="J1529" s="12">
        <v>1.6500000000000001E-2</v>
      </c>
      <c r="K1529" s="12">
        <v>7.5999999999999998E-2</v>
      </c>
      <c r="L1529" s="12">
        <v>5.1999999999999998E-2</v>
      </c>
      <c r="M1529" s="13" t="s">
        <v>8579</v>
      </c>
      <c r="N1529" s="14" t="s">
        <v>35</v>
      </c>
      <c r="O1529" s="14" t="s">
        <v>35</v>
      </c>
      <c r="P1529" s="15">
        <v>45292</v>
      </c>
      <c r="Q1529" s="16" t="s">
        <v>8878</v>
      </c>
      <c r="R1529" s="17" t="s">
        <v>8879</v>
      </c>
      <c r="S1529" s="17" t="s">
        <v>35</v>
      </c>
      <c r="T1529" s="17" t="s">
        <v>35</v>
      </c>
      <c r="U1529" s="17" t="s">
        <v>35</v>
      </c>
      <c r="V1529" s="17" t="s">
        <v>8880</v>
      </c>
      <c r="W1529" s="17" t="s">
        <v>35</v>
      </c>
      <c r="X1529" s="17" t="s">
        <v>35</v>
      </c>
      <c r="Y1529" s="17" t="s">
        <v>8881</v>
      </c>
      <c r="Z1529" s="17" t="s">
        <v>35</v>
      </c>
      <c r="AA1529" s="17" t="s">
        <v>35</v>
      </c>
      <c r="AB1529" s="17" t="s">
        <v>35</v>
      </c>
      <c r="AC1529" s="17" t="s">
        <v>9539</v>
      </c>
      <c r="AD1529" s="42">
        <v>36</v>
      </c>
      <c r="AE1529" s="42">
        <v>37.869999999999997</v>
      </c>
      <c r="AF1529" s="48"/>
      <c r="AG1529" s="44"/>
      <c r="AH1529" s="7">
        <f t="shared" si="23"/>
        <v>0</v>
      </c>
      <c r="AI1529" s="18"/>
      <c r="AJ1529" s="18"/>
    </row>
    <row r="1530" spans="1:36" ht="26.65" customHeight="1" x14ac:dyDescent="0.25">
      <c r="A1530" s="10" t="s">
        <v>9524</v>
      </c>
      <c r="B1530" s="9" t="s">
        <v>7676</v>
      </c>
      <c r="C1530" s="9" t="s">
        <v>43</v>
      </c>
      <c r="D1530" s="9" t="s">
        <v>5141</v>
      </c>
      <c r="E1530" s="9" t="s">
        <v>8853</v>
      </c>
      <c r="F1530" s="9" t="s">
        <v>36</v>
      </c>
      <c r="G1530" s="9">
        <v>1</v>
      </c>
      <c r="H1530" s="9">
        <v>84213990</v>
      </c>
      <c r="I1530" s="11" t="s">
        <v>37</v>
      </c>
      <c r="J1530" s="12">
        <v>1.6500000000000001E-2</v>
      </c>
      <c r="K1530" s="12">
        <v>7.5999999999999998E-2</v>
      </c>
      <c r="L1530" s="12">
        <v>0</v>
      </c>
      <c r="M1530" s="13" t="s">
        <v>35</v>
      </c>
      <c r="N1530" s="14">
        <v>0</v>
      </c>
      <c r="O1530" s="14">
        <v>0</v>
      </c>
      <c r="P1530" s="15">
        <v>45444</v>
      </c>
      <c r="Q1530" s="16" t="s">
        <v>9514</v>
      </c>
      <c r="R1530" s="17" t="s">
        <v>9525</v>
      </c>
      <c r="S1530" s="17" t="s">
        <v>35</v>
      </c>
      <c r="T1530" s="17" t="s">
        <v>35</v>
      </c>
      <c r="U1530" s="17" t="s">
        <v>35</v>
      </c>
      <c r="V1530" s="17" t="s">
        <v>35</v>
      </c>
      <c r="W1530" s="17" t="s">
        <v>35</v>
      </c>
      <c r="X1530" s="17" t="s">
        <v>35</v>
      </c>
      <c r="Y1530" s="17" t="s">
        <v>9526</v>
      </c>
      <c r="Z1530" s="17" t="s">
        <v>35</v>
      </c>
      <c r="AA1530" s="17" t="s">
        <v>35</v>
      </c>
      <c r="AB1530" s="17" t="s">
        <v>35</v>
      </c>
      <c r="AC1530" s="17" t="s">
        <v>9539</v>
      </c>
      <c r="AD1530" s="42">
        <v>34.35</v>
      </c>
      <c r="AE1530" s="42">
        <v>34.35</v>
      </c>
      <c r="AF1530" s="48"/>
      <c r="AG1530" s="44"/>
      <c r="AH1530" s="7">
        <f t="shared" si="23"/>
        <v>0</v>
      </c>
      <c r="AI1530" s="18"/>
      <c r="AJ1530" s="18"/>
    </row>
    <row r="1531" spans="1:36" ht="26.65" customHeight="1" x14ac:dyDescent="0.25">
      <c r="A1531" s="10" t="s">
        <v>9527</v>
      </c>
      <c r="B1531" s="9" t="s">
        <v>7676</v>
      </c>
      <c r="C1531" s="9" t="s">
        <v>43</v>
      </c>
      <c r="D1531" s="9" t="s">
        <v>5141</v>
      </c>
      <c r="E1531" s="9" t="s">
        <v>8853</v>
      </c>
      <c r="F1531" s="9" t="s">
        <v>36</v>
      </c>
      <c r="G1531" s="9">
        <v>1</v>
      </c>
      <c r="H1531" s="9">
        <v>84213990</v>
      </c>
      <c r="I1531" s="11" t="s">
        <v>37</v>
      </c>
      <c r="J1531" s="12">
        <v>1.6500000000000001E-2</v>
      </c>
      <c r="K1531" s="12">
        <v>7.5999999999999998E-2</v>
      </c>
      <c r="L1531" s="12">
        <v>0</v>
      </c>
      <c r="M1531" s="13" t="s">
        <v>35</v>
      </c>
      <c r="N1531" s="14">
        <v>0</v>
      </c>
      <c r="O1531" s="14">
        <v>0</v>
      </c>
      <c r="P1531" s="15">
        <v>45444</v>
      </c>
      <c r="Q1531" s="16" t="s">
        <v>9528</v>
      </c>
      <c r="R1531" s="17" t="s">
        <v>9529</v>
      </c>
      <c r="S1531" s="17" t="s">
        <v>35</v>
      </c>
      <c r="T1531" s="17" t="s">
        <v>35</v>
      </c>
      <c r="U1531" s="17" t="s">
        <v>35</v>
      </c>
      <c r="V1531" s="17" t="s">
        <v>35</v>
      </c>
      <c r="W1531" s="17" t="s">
        <v>35</v>
      </c>
      <c r="X1531" s="17" t="s">
        <v>35</v>
      </c>
      <c r="Y1531" s="17" t="s">
        <v>9530</v>
      </c>
      <c r="Z1531" s="17" t="s">
        <v>35</v>
      </c>
      <c r="AA1531" s="17" t="s">
        <v>35</v>
      </c>
      <c r="AB1531" s="17" t="s">
        <v>35</v>
      </c>
      <c r="AC1531" s="17" t="s">
        <v>9539</v>
      </c>
      <c r="AD1531" s="42">
        <v>32.85</v>
      </c>
      <c r="AE1531" s="42">
        <v>32.85</v>
      </c>
      <c r="AF1531" s="48"/>
      <c r="AG1531" s="44"/>
      <c r="AH1531" s="7">
        <f t="shared" si="23"/>
        <v>0</v>
      </c>
      <c r="AI1531" s="18"/>
      <c r="AJ1531" s="18"/>
    </row>
    <row r="1532" spans="1:36" ht="26.65" customHeight="1" x14ac:dyDescent="0.25">
      <c r="A1532" s="10" t="s">
        <v>9531</v>
      </c>
      <c r="B1532" s="9" t="s">
        <v>7676</v>
      </c>
      <c r="C1532" s="9" t="s">
        <v>43</v>
      </c>
      <c r="D1532" s="9" t="s">
        <v>5141</v>
      </c>
      <c r="E1532" s="9" t="s">
        <v>8853</v>
      </c>
      <c r="F1532" s="9" t="s">
        <v>36</v>
      </c>
      <c r="G1532" s="9">
        <v>1</v>
      </c>
      <c r="H1532" s="9">
        <v>84213990</v>
      </c>
      <c r="I1532" s="11" t="s">
        <v>37</v>
      </c>
      <c r="J1532" s="12">
        <v>1.6500000000000001E-2</v>
      </c>
      <c r="K1532" s="12">
        <v>7.5999999999999998E-2</v>
      </c>
      <c r="L1532" s="12">
        <v>0</v>
      </c>
      <c r="M1532" s="13" t="s">
        <v>35</v>
      </c>
      <c r="N1532" s="14">
        <v>0</v>
      </c>
      <c r="O1532" s="14">
        <v>0</v>
      </c>
      <c r="P1532" s="15">
        <v>45444</v>
      </c>
      <c r="Q1532" s="16" t="s">
        <v>9532</v>
      </c>
      <c r="R1532" s="17" t="s">
        <v>9533</v>
      </c>
      <c r="S1532" s="17" t="s">
        <v>35</v>
      </c>
      <c r="T1532" s="17" t="s">
        <v>35</v>
      </c>
      <c r="U1532" s="17" t="s">
        <v>35</v>
      </c>
      <c r="V1532" s="17" t="s">
        <v>35</v>
      </c>
      <c r="W1532" s="17" t="s">
        <v>35</v>
      </c>
      <c r="X1532" s="17" t="s">
        <v>35</v>
      </c>
      <c r="Y1532" s="17" t="s">
        <v>35</v>
      </c>
      <c r="Z1532" s="17" t="s">
        <v>35</v>
      </c>
      <c r="AA1532" s="17" t="s">
        <v>35</v>
      </c>
      <c r="AB1532" s="17" t="s">
        <v>35</v>
      </c>
      <c r="AC1532" s="17" t="s">
        <v>9539</v>
      </c>
      <c r="AD1532" s="42">
        <v>27.25</v>
      </c>
      <c r="AE1532" s="42">
        <v>27.25</v>
      </c>
      <c r="AF1532" s="48"/>
      <c r="AG1532" s="44"/>
      <c r="AH1532" s="7">
        <f t="shared" si="23"/>
        <v>0</v>
      </c>
      <c r="AI1532" s="18"/>
      <c r="AJ1532" s="18"/>
    </row>
    <row r="1533" spans="1:36" ht="26.65" customHeight="1" x14ac:dyDescent="0.25">
      <c r="A1533" s="10" t="s">
        <v>9534</v>
      </c>
      <c r="B1533" s="9" t="s">
        <v>7676</v>
      </c>
      <c r="C1533" s="9" t="s">
        <v>43</v>
      </c>
      <c r="D1533" s="9" t="s">
        <v>5141</v>
      </c>
      <c r="E1533" s="9" t="s">
        <v>8853</v>
      </c>
      <c r="F1533" s="9" t="s">
        <v>36</v>
      </c>
      <c r="G1533" s="9">
        <v>1</v>
      </c>
      <c r="H1533" s="9">
        <v>84213990</v>
      </c>
      <c r="I1533" s="11" t="s">
        <v>37</v>
      </c>
      <c r="J1533" s="12">
        <v>1.6500000000000001E-2</v>
      </c>
      <c r="K1533" s="12">
        <v>7.5999999999999998E-2</v>
      </c>
      <c r="L1533" s="12">
        <v>0</v>
      </c>
      <c r="M1533" s="13" t="s">
        <v>35</v>
      </c>
      <c r="N1533" s="14">
        <v>0</v>
      </c>
      <c r="O1533" s="14">
        <v>0</v>
      </c>
      <c r="P1533" s="15">
        <v>45444</v>
      </c>
      <c r="Q1533" s="16" t="s">
        <v>9528</v>
      </c>
      <c r="R1533" s="17" t="s">
        <v>9535</v>
      </c>
      <c r="S1533" s="17" t="s">
        <v>35</v>
      </c>
      <c r="T1533" s="17" t="s">
        <v>35</v>
      </c>
      <c r="U1533" s="17" t="s">
        <v>35</v>
      </c>
      <c r="V1533" s="17" t="s">
        <v>35</v>
      </c>
      <c r="W1533" s="17" t="s">
        <v>35</v>
      </c>
      <c r="X1533" s="17" t="s">
        <v>35</v>
      </c>
      <c r="Y1533" s="17" t="s">
        <v>9530</v>
      </c>
      <c r="Z1533" s="17" t="s">
        <v>35</v>
      </c>
      <c r="AA1533" s="17" t="s">
        <v>35</v>
      </c>
      <c r="AB1533" s="17" t="s">
        <v>35</v>
      </c>
      <c r="AC1533" s="17" t="s">
        <v>9539</v>
      </c>
      <c r="AD1533" s="42">
        <v>36</v>
      </c>
      <c r="AE1533" s="42">
        <v>36</v>
      </c>
      <c r="AF1533" s="48"/>
      <c r="AG1533" s="44"/>
      <c r="AH1533" s="7">
        <f t="shared" si="23"/>
        <v>0</v>
      </c>
      <c r="AI1533" s="18"/>
      <c r="AJ1533" s="18"/>
    </row>
    <row r="1534" spans="1:36" ht="26.65" customHeight="1" x14ac:dyDescent="0.25">
      <c r="A1534" s="10" t="s">
        <v>9536</v>
      </c>
      <c r="B1534" s="9" t="s">
        <v>7676</v>
      </c>
      <c r="C1534" s="9" t="s">
        <v>43</v>
      </c>
      <c r="D1534" s="9" t="s">
        <v>5141</v>
      </c>
      <c r="E1534" s="9" t="s">
        <v>8853</v>
      </c>
      <c r="F1534" s="9" t="s">
        <v>36</v>
      </c>
      <c r="G1534" s="9">
        <v>1</v>
      </c>
      <c r="H1534" s="9">
        <v>84213990</v>
      </c>
      <c r="I1534" s="11" t="s">
        <v>37</v>
      </c>
      <c r="J1534" s="12">
        <v>1.6500000000000001E-2</v>
      </c>
      <c r="K1534" s="12">
        <v>7.5999999999999998E-2</v>
      </c>
      <c r="L1534" s="12">
        <v>0</v>
      </c>
      <c r="M1534" s="13" t="s">
        <v>35</v>
      </c>
      <c r="N1534" s="14">
        <v>0</v>
      </c>
      <c r="O1534" s="14">
        <v>0</v>
      </c>
      <c r="P1534" s="15">
        <v>45444</v>
      </c>
      <c r="Q1534" s="16" t="s">
        <v>9522</v>
      </c>
      <c r="R1534" s="17" t="s">
        <v>9523</v>
      </c>
      <c r="S1534" s="17" t="s">
        <v>35</v>
      </c>
      <c r="T1534" s="17" t="s">
        <v>35</v>
      </c>
      <c r="U1534" s="17" t="s">
        <v>35</v>
      </c>
      <c r="V1534" s="17" t="s">
        <v>35</v>
      </c>
      <c r="W1534" s="17" t="s">
        <v>35</v>
      </c>
      <c r="X1534" s="17" t="s">
        <v>35</v>
      </c>
      <c r="Y1534" s="17" t="s">
        <v>35</v>
      </c>
      <c r="Z1534" s="17" t="s">
        <v>35</v>
      </c>
      <c r="AA1534" s="17" t="s">
        <v>35</v>
      </c>
      <c r="AB1534" s="17" t="s">
        <v>35</v>
      </c>
      <c r="AC1534" s="17" t="s">
        <v>9539</v>
      </c>
      <c r="AD1534" s="42">
        <v>20.59</v>
      </c>
      <c r="AE1534" s="42">
        <v>20.59</v>
      </c>
      <c r="AF1534" s="48"/>
      <c r="AG1534" s="44"/>
      <c r="AH1534" s="7">
        <f t="shared" si="23"/>
        <v>0</v>
      </c>
      <c r="AI1534" s="18"/>
      <c r="AJ1534" s="18"/>
    </row>
    <row r="1535" spans="1:36" ht="26.65" customHeight="1" x14ac:dyDescent="0.25">
      <c r="A1535" s="10" t="s">
        <v>8882</v>
      </c>
      <c r="B1535" s="9" t="s">
        <v>47</v>
      </c>
      <c r="C1535" s="9" t="s">
        <v>43</v>
      </c>
      <c r="D1535" s="9" t="s">
        <v>67</v>
      </c>
      <c r="E1535" s="9" t="s">
        <v>8853</v>
      </c>
      <c r="F1535" s="9" t="s">
        <v>36</v>
      </c>
      <c r="G1535" s="9">
        <v>4</v>
      </c>
      <c r="H1535" s="9">
        <v>84219999</v>
      </c>
      <c r="I1535" s="11" t="s">
        <v>37</v>
      </c>
      <c r="J1535" s="12">
        <v>1.6500000000000001E-2</v>
      </c>
      <c r="K1535" s="12">
        <v>7.5999999999999998E-2</v>
      </c>
      <c r="L1535" s="12">
        <v>5.1999999999999998E-2</v>
      </c>
      <c r="M1535" s="13" t="s">
        <v>8579</v>
      </c>
      <c r="N1535" s="14" t="s">
        <v>35</v>
      </c>
      <c r="O1535" s="14" t="s">
        <v>35</v>
      </c>
      <c r="P1535" s="15">
        <v>45292</v>
      </c>
      <c r="Q1535" s="16" t="s">
        <v>8873</v>
      </c>
      <c r="R1535" s="17" t="s">
        <v>8883</v>
      </c>
      <c r="S1535" s="17" t="s">
        <v>8884</v>
      </c>
      <c r="T1535" s="17" t="s">
        <v>35</v>
      </c>
      <c r="U1535" s="17" t="s">
        <v>35</v>
      </c>
      <c r="V1535" s="17" t="s">
        <v>35</v>
      </c>
      <c r="W1535" s="17" t="s">
        <v>35</v>
      </c>
      <c r="X1535" s="17" t="s">
        <v>35</v>
      </c>
      <c r="Y1535" s="17" t="s">
        <v>8885</v>
      </c>
      <c r="Z1535" s="17" t="s">
        <v>35</v>
      </c>
      <c r="AA1535" s="17" t="s">
        <v>35</v>
      </c>
      <c r="AB1535" s="17" t="s">
        <v>35</v>
      </c>
      <c r="AC1535" s="17" t="s">
        <v>9539</v>
      </c>
      <c r="AD1535" s="51">
        <v>27.98</v>
      </c>
      <c r="AE1535" s="51">
        <v>29.43</v>
      </c>
      <c r="AF1535" s="48"/>
      <c r="AG1535" s="44"/>
      <c r="AH1535" s="7">
        <f t="shared" si="23"/>
        <v>0</v>
      </c>
      <c r="AI1535" s="18"/>
      <c r="AJ1535" s="18"/>
    </row>
  </sheetData>
  <autoFilter ref="A3:AL1535" xr:uid="{00000000-0001-0000-0000-000000000000}"/>
  <mergeCells count="1">
    <mergeCell ref="AG1:AH1"/>
  </mergeCells>
  <conditionalFormatting sqref="A2:A3">
    <cfRule type="duplicateValues" dxfId="5" priority="90"/>
  </conditionalFormatting>
  <conditionalFormatting sqref="AF2:AF3">
    <cfRule type="duplicateValues" dxfId="4" priority="14"/>
  </conditionalFormatting>
  <conditionalFormatting sqref="A4:A1535">
    <cfRule type="duplicateValues" dxfId="3" priority="107"/>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7E57-154F-4B20-B822-8BAD03FD9852}">
  <dimension ref="A1:U102"/>
  <sheetViews>
    <sheetView workbookViewId="0">
      <pane xSplit="7" ySplit="1" topLeftCell="H2" activePane="bottomRight" state="frozen"/>
      <selection pane="topRight" activeCell="H1" sqref="H1"/>
      <selection pane="bottomLeft" activeCell="A2" sqref="A2"/>
      <selection pane="bottomRight" activeCell="G11" sqref="G11"/>
    </sheetView>
  </sheetViews>
  <sheetFormatPr defaultColWidth="8.75" defaultRowHeight="15.75" x14ac:dyDescent="0.25"/>
  <cols>
    <col min="1" max="1" width="6.25" customWidth="1"/>
    <col min="2" max="2" width="20" bestFit="1" customWidth="1"/>
    <col min="3" max="3" width="16.125" bestFit="1" customWidth="1"/>
    <col min="4" max="4" width="3.25" customWidth="1"/>
    <col min="5" max="5" width="8.375" customWidth="1"/>
    <col min="6" max="6" width="6.75" customWidth="1"/>
    <col min="7" max="7" width="7.75" customWidth="1"/>
    <col min="9" max="9" width="10.75" customWidth="1"/>
    <col min="10" max="10" width="4.75" customWidth="1"/>
    <col min="11" max="11" width="10.75" customWidth="1"/>
  </cols>
  <sheetData>
    <row r="1" spans="1:21" ht="51" x14ac:dyDescent="0.25">
      <c r="A1" s="22" t="s">
        <v>9758</v>
      </c>
      <c r="B1" s="22" t="s">
        <v>9759</v>
      </c>
      <c r="C1" s="22" t="s">
        <v>9760</v>
      </c>
      <c r="D1" s="22" t="s">
        <v>9761</v>
      </c>
      <c r="E1" s="23" t="s">
        <v>9762</v>
      </c>
      <c r="F1" s="22" t="s">
        <v>9763</v>
      </c>
      <c r="G1" s="22" t="s">
        <v>9764</v>
      </c>
      <c r="H1" s="23" t="s">
        <v>9765</v>
      </c>
      <c r="I1" s="24" t="s">
        <v>9766</v>
      </c>
      <c r="J1" s="22" t="s">
        <v>9767</v>
      </c>
      <c r="K1" s="24" t="s">
        <v>9768</v>
      </c>
      <c r="L1" s="25" t="s">
        <v>21</v>
      </c>
      <c r="M1" s="25" t="s">
        <v>22</v>
      </c>
      <c r="N1" s="25" t="s">
        <v>23</v>
      </c>
      <c r="O1" s="25" t="s">
        <v>24</v>
      </c>
      <c r="P1" s="25" t="s">
        <v>25</v>
      </c>
      <c r="Q1" s="25" t="s">
        <v>26</v>
      </c>
      <c r="R1" s="25" t="s">
        <v>27</v>
      </c>
      <c r="S1" s="25" t="s">
        <v>28</v>
      </c>
      <c r="T1" s="25" t="s">
        <v>29</v>
      </c>
      <c r="U1" s="25" t="s">
        <v>30</v>
      </c>
    </row>
    <row r="2" spans="1:21" x14ac:dyDescent="0.25">
      <c r="A2" s="53">
        <v>3191311</v>
      </c>
      <c r="B2" s="54" t="s">
        <v>9769</v>
      </c>
      <c r="C2" s="54" t="s">
        <v>9770</v>
      </c>
      <c r="D2" s="54" t="s">
        <v>9771</v>
      </c>
      <c r="E2" s="55">
        <v>45461</v>
      </c>
      <c r="F2" s="53">
        <v>24000763</v>
      </c>
      <c r="G2" s="56" t="s">
        <v>1427</v>
      </c>
      <c r="H2" s="57">
        <v>45606</v>
      </c>
      <c r="I2" s="58">
        <v>59.92</v>
      </c>
      <c r="J2" s="59">
        <v>6</v>
      </c>
      <c r="K2" s="60">
        <v>359.52</v>
      </c>
      <c r="L2" s="53" t="s">
        <v>1429</v>
      </c>
      <c r="M2" s="53" t="s">
        <v>1430</v>
      </c>
      <c r="N2" s="53" t="s">
        <v>1431</v>
      </c>
      <c r="O2" s="53" t="s">
        <v>1432</v>
      </c>
      <c r="P2" s="53" t="s">
        <v>1433</v>
      </c>
      <c r="Q2" s="53" t="s">
        <v>1434</v>
      </c>
      <c r="R2" s="53" t="s">
        <v>1435</v>
      </c>
      <c r="S2" s="53" t="s">
        <v>1436</v>
      </c>
      <c r="T2" s="53" t="s">
        <v>35</v>
      </c>
      <c r="U2" s="53" t="s">
        <v>1437</v>
      </c>
    </row>
    <row r="3" spans="1:21" x14ac:dyDescent="0.25">
      <c r="A3" s="53">
        <v>3191311</v>
      </c>
      <c r="B3" s="54" t="s">
        <v>9769</v>
      </c>
      <c r="C3" s="54" t="s">
        <v>9770</v>
      </c>
      <c r="D3" s="54" t="s">
        <v>9771</v>
      </c>
      <c r="E3" s="55">
        <v>45490</v>
      </c>
      <c r="F3" s="53">
        <v>24000914</v>
      </c>
      <c r="G3" s="56" t="s">
        <v>247</v>
      </c>
      <c r="H3" s="54" t="s">
        <v>10681</v>
      </c>
      <c r="I3" s="58">
        <v>19.329999999999998</v>
      </c>
      <c r="J3" s="59">
        <v>12</v>
      </c>
      <c r="K3" s="60">
        <v>231.95999999999998</v>
      </c>
      <c r="L3" s="53" t="s">
        <v>249</v>
      </c>
      <c r="M3" s="53" t="s">
        <v>250</v>
      </c>
      <c r="N3" s="53" t="s">
        <v>251</v>
      </c>
      <c r="O3" s="53" t="s">
        <v>252</v>
      </c>
      <c r="P3" s="53" t="s">
        <v>253</v>
      </c>
      <c r="Q3" s="53" t="s">
        <v>254</v>
      </c>
      <c r="R3" s="53" t="s">
        <v>255</v>
      </c>
      <c r="S3" s="53" t="s">
        <v>256</v>
      </c>
      <c r="T3" s="53" t="s">
        <v>35</v>
      </c>
      <c r="U3" s="53" t="s">
        <v>257</v>
      </c>
    </row>
    <row r="4" spans="1:21" x14ac:dyDescent="0.25">
      <c r="A4" s="53">
        <v>3191311</v>
      </c>
      <c r="B4" s="54" t="s">
        <v>9769</v>
      </c>
      <c r="C4" s="54" t="s">
        <v>9770</v>
      </c>
      <c r="D4" s="54" t="s">
        <v>9771</v>
      </c>
      <c r="E4" s="55">
        <v>45490</v>
      </c>
      <c r="F4" s="53">
        <v>24000914</v>
      </c>
      <c r="G4" s="56" t="s">
        <v>1427</v>
      </c>
      <c r="H4" s="57">
        <v>45606</v>
      </c>
      <c r="I4" s="58">
        <v>59.92</v>
      </c>
      <c r="J4" s="59">
        <v>6</v>
      </c>
      <c r="K4" s="60">
        <v>359.52</v>
      </c>
      <c r="L4" s="53" t="s">
        <v>1429</v>
      </c>
      <c r="M4" s="53" t="s">
        <v>1430</v>
      </c>
      <c r="N4" s="53" t="s">
        <v>1431</v>
      </c>
      <c r="O4" s="53" t="s">
        <v>1432</v>
      </c>
      <c r="P4" s="53" t="s">
        <v>1433</v>
      </c>
      <c r="Q4" s="53" t="s">
        <v>1434</v>
      </c>
      <c r="R4" s="53" t="s">
        <v>1435</v>
      </c>
      <c r="S4" s="53" t="s">
        <v>1436</v>
      </c>
      <c r="T4" s="53" t="s">
        <v>35</v>
      </c>
      <c r="U4" s="53" t="s">
        <v>1437</v>
      </c>
    </row>
    <row r="5" spans="1:21" x14ac:dyDescent="0.25">
      <c r="A5" s="53">
        <v>3191311</v>
      </c>
      <c r="B5" s="54" t="s">
        <v>9769</v>
      </c>
      <c r="C5" s="54" t="s">
        <v>9770</v>
      </c>
      <c r="D5" s="54" t="s">
        <v>9771</v>
      </c>
      <c r="E5" s="55">
        <v>45490</v>
      </c>
      <c r="F5" s="53">
        <v>24000914</v>
      </c>
      <c r="G5" s="56" t="s">
        <v>9299</v>
      </c>
      <c r="H5" s="61">
        <v>45658</v>
      </c>
      <c r="I5" s="58">
        <v>34.270000000000003</v>
      </c>
      <c r="J5" s="59">
        <v>12</v>
      </c>
      <c r="K5" s="60">
        <v>411.24</v>
      </c>
      <c r="L5" s="53" t="s">
        <v>35</v>
      </c>
      <c r="M5" s="53" t="s">
        <v>9302</v>
      </c>
      <c r="N5" s="53" t="s">
        <v>35</v>
      </c>
      <c r="O5" s="53" t="s">
        <v>9303</v>
      </c>
      <c r="P5" s="53" t="s">
        <v>9304</v>
      </c>
      <c r="Q5" s="53" t="s">
        <v>35</v>
      </c>
      <c r="R5" s="53" t="s">
        <v>9305</v>
      </c>
      <c r="S5" s="53" t="s">
        <v>9306</v>
      </c>
      <c r="T5" s="53" t="s">
        <v>9307</v>
      </c>
      <c r="U5" s="53" t="s">
        <v>35</v>
      </c>
    </row>
    <row r="6" spans="1:21" x14ac:dyDescent="0.25">
      <c r="A6" s="53">
        <v>3191311</v>
      </c>
      <c r="B6" s="54" t="s">
        <v>9769</v>
      </c>
      <c r="C6" s="54" t="s">
        <v>9770</v>
      </c>
      <c r="D6" s="54" t="s">
        <v>9771</v>
      </c>
      <c r="E6" s="55">
        <v>45490</v>
      </c>
      <c r="F6" s="53">
        <v>24000914</v>
      </c>
      <c r="G6" s="56" t="s">
        <v>9308</v>
      </c>
      <c r="H6" s="61">
        <v>45658</v>
      </c>
      <c r="I6" s="58">
        <v>75.72</v>
      </c>
      <c r="J6" s="59">
        <v>8</v>
      </c>
      <c r="K6" s="60">
        <v>605.76</v>
      </c>
      <c r="L6" s="53" t="s">
        <v>35</v>
      </c>
      <c r="M6" s="53" t="s">
        <v>35</v>
      </c>
      <c r="N6" s="53" t="s">
        <v>35</v>
      </c>
      <c r="O6" s="53" t="s">
        <v>35</v>
      </c>
      <c r="P6" s="53" t="s">
        <v>35</v>
      </c>
      <c r="Q6" s="53" t="s">
        <v>35</v>
      </c>
      <c r="R6" s="53" t="s">
        <v>35</v>
      </c>
      <c r="S6" s="53" t="s">
        <v>35</v>
      </c>
      <c r="T6" s="53" t="s">
        <v>35</v>
      </c>
      <c r="U6" s="53" t="s">
        <v>35</v>
      </c>
    </row>
    <row r="7" spans="1:21" x14ac:dyDescent="0.25">
      <c r="A7" s="53">
        <v>3191311</v>
      </c>
      <c r="B7" s="54" t="s">
        <v>9769</v>
      </c>
      <c r="C7" s="54" t="s">
        <v>9770</v>
      </c>
      <c r="D7" s="54" t="s">
        <v>9771</v>
      </c>
      <c r="E7" s="55">
        <v>45512</v>
      </c>
      <c r="F7" s="53">
        <v>24001024</v>
      </c>
      <c r="G7" s="56" t="s">
        <v>993</v>
      </c>
      <c r="H7" s="61">
        <v>45658</v>
      </c>
      <c r="I7" s="58">
        <v>36</v>
      </c>
      <c r="J7" s="59">
        <v>1</v>
      </c>
      <c r="K7" s="60">
        <v>36</v>
      </c>
      <c r="L7" s="53" t="s">
        <v>995</v>
      </c>
      <c r="M7" s="53" t="s">
        <v>35</v>
      </c>
      <c r="N7" s="53" t="s">
        <v>35</v>
      </c>
      <c r="O7" s="53" t="s">
        <v>35</v>
      </c>
      <c r="P7" s="53" t="s">
        <v>35</v>
      </c>
      <c r="Q7" s="53" t="s">
        <v>35</v>
      </c>
      <c r="R7" s="53" t="s">
        <v>996</v>
      </c>
      <c r="S7" s="53" t="s">
        <v>35</v>
      </c>
      <c r="T7" s="53" t="s">
        <v>35</v>
      </c>
      <c r="U7" s="53" t="s">
        <v>35</v>
      </c>
    </row>
    <row r="8" spans="1:21" x14ac:dyDescent="0.25">
      <c r="A8" s="53">
        <v>3191311</v>
      </c>
      <c r="B8" s="54" t="s">
        <v>9769</v>
      </c>
      <c r="C8" s="54" t="s">
        <v>9770</v>
      </c>
      <c r="D8" s="54" t="s">
        <v>9771</v>
      </c>
      <c r="E8" s="55">
        <v>45512</v>
      </c>
      <c r="F8" s="53">
        <v>24001024</v>
      </c>
      <c r="G8" s="56" t="s">
        <v>9112</v>
      </c>
      <c r="H8" s="61">
        <v>45658</v>
      </c>
      <c r="I8" s="58">
        <v>22.42</v>
      </c>
      <c r="J8" s="59">
        <v>12</v>
      </c>
      <c r="K8" s="60">
        <v>269.04000000000002</v>
      </c>
      <c r="L8" s="53" t="s">
        <v>9115</v>
      </c>
      <c r="M8" s="53" t="s">
        <v>9116</v>
      </c>
      <c r="N8" s="53" t="s">
        <v>1332</v>
      </c>
      <c r="O8" s="53" t="s">
        <v>1333</v>
      </c>
      <c r="P8" s="53" t="s">
        <v>1334</v>
      </c>
      <c r="Q8" s="53" t="s">
        <v>1275</v>
      </c>
      <c r="R8" s="53" t="s">
        <v>1335</v>
      </c>
      <c r="S8" s="53" t="s">
        <v>9117</v>
      </c>
      <c r="T8" s="53" t="s">
        <v>35</v>
      </c>
      <c r="U8" s="53" t="s">
        <v>35</v>
      </c>
    </row>
    <row r="9" spans="1:21" x14ac:dyDescent="0.25">
      <c r="A9" s="53">
        <v>3191311</v>
      </c>
      <c r="B9" s="54" t="s">
        <v>9769</v>
      </c>
      <c r="C9" s="54" t="s">
        <v>9770</v>
      </c>
      <c r="D9" s="54" t="s">
        <v>9771</v>
      </c>
      <c r="E9" s="55">
        <v>45512</v>
      </c>
      <c r="F9" s="53">
        <v>24001024</v>
      </c>
      <c r="G9" s="56" t="s">
        <v>1385</v>
      </c>
      <c r="H9" s="61">
        <v>45658</v>
      </c>
      <c r="I9" s="58">
        <v>26.87</v>
      </c>
      <c r="J9" s="59">
        <v>12</v>
      </c>
      <c r="K9" s="60">
        <v>322.44</v>
      </c>
      <c r="L9" s="53" t="s">
        <v>1387</v>
      </c>
      <c r="M9" s="53" t="s">
        <v>1388</v>
      </c>
      <c r="N9" s="53" t="s">
        <v>1389</v>
      </c>
      <c r="O9" s="53" t="s">
        <v>1390</v>
      </c>
      <c r="P9" s="53" t="s">
        <v>1391</v>
      </c>
      <c r="Q9" s="53" t="s">
        <v>1392</v>
      </c>
      <c r="R9" s="53" t="s">
        <v>1393</v>
      </c>
      <c r="S9" s="53" t="s">
        <v>1394</v>
      </c>
      <c r="T9" s="53" t="s">
        <v>35</v>
      </c>
      <c r="U9" s="53" t="s">
        <v>1395</v>
      </c>
    </row>
    <row r="10" spans="1:21" x14ac:dyDescent="0.25">
      <c r="A10" s="53">
        <v>3191311</v>
      </c>
      <c r="B10" s="54" t="s">
        <v>9769</v>
      </c>
      <c r="C10" s="54" t="s">
        <v>9770</v>
      </c>
      <c r="D10" s="54" t="s">
        <v>9771</v>
      </c>
      <c r="E10" s="55">
        <v>45512</v>
      </c>
      <c r="F10" s="53">
        <v>24001024</v>
      </c>
      <c r="G10" s="56" t="s">
        <v>1338</v>
      </c>
      <c r="H10" s="54" t="s">
        <v>10681</v>
      </c>
      <c r="I10" s="58">
        <v>7.88</v>
      </c>
      <c r="J10" s="59">
        <v>1</v>
      </c>
      <c r="K10" s="60">
        <v>7.88</v>
      </c>
      <c r="L10" s="53" t="s">
        <v>1341</v>
      </c>
      <c r="M10" s="53" t="s">
        <v>1342</v>
      </c>
      <c r="N10" s="53" t="s">
        <v>1343</v>
      </c>
      <c r="O10" s="53" t="s">
        <v>1344</v>
      </c>
      <c r="P10" s="53" t="s">
        <v>1345</v>
      </c>
      <c r="Q10" s="53" t="s">
        <v>1346</v>
      </c>
      <c r="R10" s="53" t="s">
        <v>1347</v>
      </c>
      <c r="S10" s="53" t="s">
        <v>1348</v>
      </c>
      <c r="T10" s="53" t="s">
        <v>1349</v>
      </c>
      <c r="U10" s="53" t="s">
        <v>1350</v>
      </c>
    </row>
    <row r="11" spans="1:21" x14ac:dyDescent="0.25">
      <c r="A11" s="53">
        <v>3191311</v>
      </c>
      <c r="B11" s="54" t="s">
        <v>9769</v>
      </c>
      <c r="C11" s="54" t="s">
        <v>9770</v>
      </c>
      <c r="D11" s="54" t="s">
        <v>9771</v>
      </c>
      <c r="E11" s="55">
        <v>45524</v>
      </c>
      <c r="F11" s="53">
        <v>24001070</v>
      </c>
      <c r="G11" s="56" t="s">
        <v>9171</v>
      </c>
      <c r="H11" s="57">
        <v>45611</v>
      </c>
      <c r="I11" s="58">
        <v>91.55</v>
      </c>
      <c r="J11" s="59">
        <v>42</v>
      </c>
      <c r="K11" s="60">
        <v>3845.1</v>
      </c>
      <c r="L11" s="53" t="s">
        <v>9175</v>
      </c>
      <c r="M11" s="53" t="s">
        <v>9176</v>
      </c>
      <c r="N11" s="53" t="s">
        <v>9177</v>
      </c>
      <c r="O11" s="53" t="s">
        <v>9178</v>
      </c>
      <c r="P11" s="53" t="s">
        <v>35</v>
      </c>
      <c r="Q11" s="53" t="s">
        <v>35</v>
      </c>
      <c r="R11" s="53" t="s">
        <v>9179</v>
      </c>
      <c r="S11" s="53" t="s">
        <v>9180</v>
      </c>
      <c r="T11" s="53" t="s">
        <v>35</v>
      </c>
      <c r="U11" s="53" t="s">
        <v>9181</v>
      </c>
    </row>
    <row r="12" spans="1:21" x14ac:dyDescent="0.25">
      <c r="A12" s="53">
        <v>3191311</v>
      </c>
      <c r="B12" s="54" t="s">
        <v>9769</v>
      </c>
      <c r="C12" s="54" t="s">
        <v>9770</v>
      </c>
      <c r="D12" s="54" t="s">
        <v>9771</v>
      </c>
      <c r="E12" s="55">
        <v>45537</v>
      </c>
      <c r="F12" s="53">
        <v>24001161</v>
      </c>
      <c r="G12" s="56" t="s">
        <v>2348</v>
      </c>
      <c r="H12" s="61">
        <v>45658</v>
      </c>
      <c r="I12" s="58">
        <v>16.059999999999999</v>
      </c>
      <c r="J12" s="59">
        <v>6</v>
      </c>
      <c r="K12" s="60">
        <v>96.359999999999985</v>
      </c>
      <c r="L12" s="53" t="s">
        <v>2350</v>
      </c>
      <c r="M12" s="53" t="s">
        <v>2351</v>
      </c>
      <c r="N12" s="53" t="s">
        <v>2352</v>
      </c>
      <c r="O12" s="53" t="s">
        <v>9931</v>
      </c>
      <c r="P12" s="53" t="s">
        <v>35</v>
      </c>
      <c r="Q12" s="53" t="s">
        <v>2353</v>
      </c>
      <c r="R12" s="53" t="s">
        <v>2354</v>
      </c>
      <c r="S12" s="53" t="s">
        <v>35</v>
      </c>
      <c r="T12" s="53" t="s">
        <v>35</v>
      </c>
      <c r="U12" s="53" t="s">
        <v>35</v>
      </c>
    </row>
    <row r="13" spans="1:21" x14ac:dyDescent="0.25">
      <c r="A13" s="53">
        <v>3191311</v>
      </c>
      <c r="B13" s="54" t="s">
        <v>9769</v>
      </c>
      <c r="C13" s="54" t="s">
        <v>9770</v>
      </c>
      <c r="D13" s="54" t="s">
        <v>9771</v>
      </c>
      <c r="E13" s="55">
        <v>45537</v>
      </c>
      <c r="F13" s="53">
        <v>24001161</v>
      </c>
      <c r="G13" s="56" t="s">
        <v>8059</v>
      </c>
      <c r="H13" s="54" t="s">
        <v>10681</v>
      </c>
      <c r="I13" s="58">
        <v>250.01000199999999</v>
      </c>
      <c r="J13" s="59">
        <v>2</v>
      </c>
      <c r="K13" s="60">
        <v>500.02000399999997</v>
      </c>
      <c r="L13" s="53" t="s">
        <v>35</v>
      </c>
      <c r="M13" s="53" t="s">
        <v>35</v>
      </c>
      <c r="N13" s="53" t="s">
        <v>35</v>
      </c>
      <c r="O13" s="53" t="s">
        <v>35</v>
      </c>
      <c r="P13" s="53" t="s">
        <v>35</v>
      </c>
      <c r="Q13" s="53" t="s">
        <v>35</v>
      </c>
      <c r="R13" s="53" t="s">
        <v>10682</v>
      </c>
      <c r="S13" s="53" t="s">
        <v>35</v>
      </c>
      <c r="T13" s="53" t="s">
        <v>35</v>
      </c>
      <c r="U13" s="53" t="s">
        <v>35</v>
      </c>
    </row>
    <row r="14" spans="1:21" x14ac:dyDescent="0.25">
      <c r="A14" s="53">
        <v>3191311</v>
      </c>
      <c r="B14" s="54" t="s">
        <v>9769</v>
      </c>
      <c r="C14" s="54" t="s">
        <v>9770</v>
      </c>
      <c r="D14" s="54" t="s">
        <v>9771</v>
      </c>
      <c r="E14" s="55">
        <v>45538</v>
      </c>
      <c r="F14" s="53">
        <v>24001171</v>
      </c>
      <c r="G14" s="56" t="s">
        <v>1303</v>
      </c>
      <c r="H14" s="61">
        <v>45658</v>
      </c>
      <c r="I14" s="58">
        <v>45.97</v>
      </c>
      <c r="J14" s="59">
        <v>60</v>
      </c>
      <c r="K14" s="60">
        <v>2758.2</v>
      </c>
      <c r="L14" s="53" t="s">
        <v>979</v>
      </c>
      <c r="M14" s="53" t="s">
        <v>1305</v>
      </c>
      <c r="N14" s="53" t="s">
        <v>981</v>
      </c>
      <c r="O14" s="53" t="s">
        <v>982</v>
      </c>
      <c r="P14" s="53" t="s">
        <v>983</v>
      </c>
      <c r="Q14" s="53" t="s">
        <v>35</v>
      </c>
      <c r="R14" s="53" t="s">
        <v>984</v>
      </c>
      <c r="S14" s="53" t="s">
        <v>1306</v>
      </c>
      <c r="T14" s="53" t="s">
        <v>35</v>
      </c>
      <c r="U14" s="53" t="s">
        <v>1307</v>
      </c>
    </row>
    <row r="15" spans="1:21" x14ac:dyDescent="0.25">
      <c r="A15" s="53">
        <v>3191311</v>
      </c>
      <c r="B15" s="54" t="s">
        <v>9769</v>
      </c>
      <c r="C15" s="54" t="s">
        <v>9770</v>
      </c>
      <c r="D15" s="54" t="s">
        <v>9771</v>
      </c>
      <c r="E15" s="55">
        <v>45553</v>
      </c>
      <c r="F15" s="53">
        <v>24001245</v>
      </c>
      <c r="G15" s="56" t="s">
        <v>9827</v>
      </c>
      <c r="H15" s="61">
        <v>45658</v>
      </c>
      <c r="I15" s="58">
        <v>129.57</v>
      </c>
      <c r="J15" s="59">
        <v>48</v>
      </c>
      <c r="K15" s="60">
        <v>6219.36</v>
      </c>
      <c r="L15" s="53" t="s">
        <v>35</v>
      </c>
      <c r="M15" s="53" t="s">
        <v>35</v>
      </c>
      <c r="N15" s="53" t="s">
        <v>35</v>
      </c>
      <c r="O15" s="53" t="s">
        <v>35</v>
      </c>
      <c r="P15" s="53" t="s">
        <v>35</v>
      </c>
      <c r="Q15" s="53" t="s">
        <v>35</v>
      </c>
      <c r="R15" s="53" t="s">
        <v>35</v>
      </c>
      <c r="S15" s="53" t="s">
        <v>35</v>
      </c>
      <c r="T15" s="53" t="s">
        <v>35</v>
      </c>
      <c r="U15" s="53" t="s">
        <v>35</v>
      </c>
    </row>
    <row r="16" spans="1:21" x14ac:dyDescent="0.25">
      <c r="A16" s="53">
        <v>3191311</v>
      </c>
      <c r="B16" s="54" t="s">
        <v>9769</v>
      </c>
      <c r="C16" s="54" t="s">
        <v>9770</v>
      </c>
      <c r="D16" s="54" t="s">
        <v>9771</v>
      </c>
      <c r="E16" s="55">
        <v>45563</v>
      </c>
      <c r="F16" s="53">
        <v>24001346</v>
      </c>
      <c r="G16" s="56" t="s">
        <v>8059</v>
      </c>
      <c r="H16" s="54" t="s">
        <v>10681</v>
      </c>
      <c r="I16" s="58">
        <v>259.63999899999999</v>
      </c>
      <c r="J16" s="59">
        <v>2</v>
      </c>
      <c r="K16" s="60">
        <v>519.27999799999998</v>
      </c>
      <c r="L16" s="53" t="s">
        <v>35</v>
      </c>
      <c r="M16" s="53" t="s">
        <v>35</v>
      </c>
      <c r="N16" s="53" t="s">
        <v>35</v>
      </c>
      <c r="O16" s="53" t="s">
        <v>35</v>
      </c>
      <c r="P16" s="53" t="s">
        <v>35</v>
      </c>
      <c r="Q16" s="53" t="s">
        <v>35</v>
      </c>
      <c r="R16" s="53" t="s">
        <v>10682</v>
      </c>
      <c r="S16" s="53" t="s">
        <v>35</v>
      </c>
      <c r="T16" s="53" t="s">
        <v>35</v>
      </c>
      <c r="U16" s="53" t="s">
        <v>35</v>
      </c>
    </row>
    <row r="17" spans="1:21" x14ac:dyDescent="0.25">
      <c r="A17" s="53">
        <v>3191311</v>
      </c>
      <c r="B17" s="54" t="s">
        <v>9769</v>
      </c>
      <c r="C17" s="54" t="s">
        <v>9770</v>
      </c>
      <c r="D17" s="54" t="s">
        <v>9771</v>
      </c>
      <c r="E17" s="55">
        <v>45563</v>
      </c>
      <c r="F17" s="53">
        <v>24001346</v>
      </c>
      <c r="G17" s="56" t="s">
        <v>5120</v>
      </c>
      <c r="H17" s="57">
        <v>45611</v>
      </c>
      <c r="I17" s="58">
        <v>105.25</v>
      </c>
      <c r="J17" s="59">
        <v>100</v>
      </c>
      <c r="K17" s="60">
        <v>10525</v>
      </c>
      <c r="L17" s="53" t="s">
        <v>35</v>
      </c>
      <c r="M17" s="53" t="s">
        <v>5124</v>
      </c>
      <c r="N17" s="53" t="s">
        <v>35</v>
      </c>
      <c r="O17" s="53" t="s">
        <v>35</v>
      </c>
      <c r="P17" s="53" t="s">
        <v>35</v>
      </c>
      <c r="Q17" s="53" t="s">
        <v>35</v>
      </c>
      <c r="R17" s="53" t="s">
        <v>5125</v>
      </c>
      <c r="S17" s="53" t="s">
        <v>35</v>
      </c>
      <c r="T17" s="53" t="s">
        <v>35</v>
      </c>
      <c r="U17" s="53" t="s">
        <v>35</v>
      </c>
    </row>
    <row r="18" spans="1:21" x14ac:dyDescent="0.25">
      <c r="A18" s="53">
        <v>3191311</v>
      </c>
      <c r="B18" s="54" t="s">
        <v>9769</v>
      </c>
      <c r="C18" s="54" t="s">
        <v>9770</v>
      </c>
      <c r="D18" s="54" t="s">
        <v>9771</v>
      </c>
      <c r="E18" s="55">
        <v>45563</v>
      </c>
      <c r="F18" s="53">
        <v>24001346</v>
      </c>
      <c r="G18" s="56" t="s">
        <v>1190</v>
      </c>
      <c r="H18" s="57">
        <v>45624</v>
      </c>
      <c r="I18" s="58">
        <v>52.47</v>
      </c>
      <c r="J18" s="59">
        <v>6</v>
      </c>
      <c r="K18" s="60">
        <v>314.82</v>
      </c>
      <c r="L18" s="53" t="s">
        <v>1193</v>
      </c>
      <c r="M18" s="53" t="s">
        <v>1194</v>
      </c>
      <c r="N18" s="53" t="s">
        <v>35</v>
      </c>
      <c r="O18" s="53" t="s">
        <v>1195</v>
      </c>
      <c r="P18" s="53" t="s">
        <v>35</v>
      </c>
      <c r="Q18" s="53" t="s">
        <v>35</v>
      </c>
      <c r="R18" s="53" t="s">
        <v>35</v>
      </c>
      <c r="S18" s="53" t="s">
        <v>1196</v>
      </c>
      <c r="T18" s="53" t="s">
        <v>35</v>
      </c>
      <c r="U18" s="53" t="s">
        <v>1197</v>
      </c>
    </row>
    <row r="19" spans="1:21" x14ac:dyDescent="0.25">
      <c r="A19" s="53">
        <v>3191311</v>
      </c>
      <c r="B19" s="54" t="s">
        <v>9769</v>
      </c>
      <c r="C19" s="54" t="s">
        <v>9770</v>
      </c>
      <c r="D19" s="54" t="s">
        <v>9771</v>
      </c>
      <c r="E19" s="55">
        <v>45563</v>
      </c>
      <c r="F19" s="53">
        <v>24001346</v>
      </c>
      <c r="G19" s="56" t="s">
        <v>2149</v>
      </c>
      <c r="H19" s="54" t="s">
        <v>10681</v>
      </c>
      <c r="I19" s="58">
        <v>15.98</v>
      </c>
      <c r="J19" s="59">
        <v>48</v>
      </c>
      <c r="K19" s="60">
        <v>767.04</v>
      </c>
      <c r="L19" s="53" t="s">
        <v>2152</v>
      </c>
      <c r="M19" s="53" t="s">
        <v>2153</v>
      </c>
      <c r="N19" s="53" t="s">
        <v>35</v>
      </c>
      <c r="O19" s="53" t="s">
        <v>2154</v>
      </c>
      <c r="P19" s="53" t="s">
        <v>2155</v>
      </c>
      <c r="Q19" s="53" t="s">
        <v>2156</v>
      </c>
      <c r="R19" s="53" t="s">
        <v>2157</v>
      </c>
      <c r="S19" s="53" t="s">
        <v>35</v>
      </c>
      <c r="T19" s="53" t="s">
        <v>35</v>
      </c>
      <c r="U19" s="53" t="s">
        <v>35</v>
      </c>
    </row>
    <row r="20" spans="1:21" x14ac:dyDescent="0.25">
      <c r="A20" s="53">
        <v>3191311</v>
      </c>
      <c r="B20" s="54" t="s">
        <v>9769</v>
      </c>
      <c r="C20" s="54" t="s">
        <v>9770</v>
      </c>
      <c r="D20" s="54" t="s">
        <v>9771</v>
      </c>
      <c r="E20" s="55">
        <v>45563</v>
      </c>
      <c r="F20" s="53">
        <v>24001346</v>
      </c>
      <c r="G20" s="56" t="s">
        <v>3291</v>
      </c>
      <c r="H20" s="57">
        <v>45611</v>
      </c>
      <c r="I20" s="58">
        <v>51.77</v>
      </c>
      <c r="J20" s="59">
        <v>24</v>
      </c>
      <c r="K20" s="60">
        <v>1242.48</v>
      </c>
      <c r="L20" s="53" t="s">
        <v>3295</v>
      </c>
      <c r="M20" s="53" t="s">
        <v>3296</v>
      </c>
      <c r="N20" s="53" t="s">
        <v>3297</v>
      </c>
      <c r="O20" s="53" t="s">
        <v>3298</v>
      </c>
      <c r="P20" s="53" t="s">
        <v>3299</v>
      </c>
      <c r="Q20" s="53" t="s">
        <v>3300</v>
      </c>
      <c r="R20" s="53" t="s">
        <v>3301</v>
      </c>
      <c r="S20" s="53" t="s">
        <v>3302</v>
      </c>
      <c r="T20" s="53" t="s">
        <v>35</v>
      </c>
      <c r="U20" s="53" t="s">
        <v>3303</v>
      </c>
    </row>
    <row r="21" spans="1:21" x14ac:dyDescent="0.25">
      <c r="A21" s="53">
        <v>3191311</v>
      </c>
      <c r="B21" s="54" t="s">
        <v>9769</v>
      </c>
      <c r="C21" s="54" t="s">
        <v>9770</v>
      </c>
      <c r="D21" s="54" t="s">
        <v>9771</v>
      </c>
      <c r="E21" s="55">
        <v>45563</v>
      </c>
      <c r="F21" s="53">
        <v>24001346</v>
      </c>
      <c r="G21" s="56" t="s">
        <v>4679</v>
      </c>
      <c r="H21" s="54" t="s">
        <v>9932</v>
      </c>
      <c r="I21" s="58">
        <v>81.709999999999994</v>
      </c>
      <c r="J21" s="59">
        <v>10</v>
      </c>
      <c r="K21" s="60">
        <v>817.09999999999991</v>
      </c>
      <c r="L21" s="53" t="s">
        <v>4682</v>
      </c>
      <c r="M21" s="53" t="s">
        <v>4683</v>
      </c>
      <c r="N21" s="53" t="s">
        <v>4684</v>
      </c>
      <c r="O21" s="53" t="s">
        <v>4685</v>
      </c>
      <c r="P21" s="53" t="s">
        <v>4686</v>
      </c>
      <c r="Q21" s="53" t="s">
        <v>3420</v>
      </c>
      <c r="R21" s="53" t="s">
        <v>4687</v>
      </c>
      <c r="S21" s="53" t="s">
        <v>35</v>
      </c>
      <c r="T21" s="53" t="s">
        <v>35</v>
      </c>
      <c r="U21" s="53" t="s">
        <v>4688</v>
      </c>
    </row>
    <row r="22" spans="1:21" x14ac:dyDescent="0.25">
      <c r="A22" s="53">
        <v>3191311</v>
      </c>
      <c r="B22" s="54" t="s">
        <v>9769</v>
      </c>
      <c r="C22" s="54" t="s">
        <v>9770</v>
      </c>
      <c r="D22" s="54" t="s">
        <v>9771</v>
      </c>
      <c r="E22" s="55">
        <v>45563</v>
      </c>
      <c r="F22" s="53">
        <v>24001346</v>
      </c>
      <c r="G22" s="56" t="s">
        <v>7635</v>
      </c>
      <c r="H22" s="61">
        <v>45689</v>
      </c>
      <c r="I22" s="58">
        <v>85.87</v>
      </c>
      <c r="J22" s="59">
        <v>15</v>
      </c>
      <c r="K22" s="60">
        <v>1288.0500000000002</v>
      </c>
      <c r="L22" s="53" t="s">
        <v>7638</v>
      </c>
      <c r="M22" s="53" t="s">
        <v>35</v>
      </c>
      <c r="N22" s="53" t="s">
        <v>35</v>
      </c>
      <c r="O22" s="53" t="s">
        <v>35</v>
      </c>
      <c r="P22" s="53" t="s">
        <v>35</v>
      </c>
      <c r="Q22" s="53" t="s">
        <v>35</v>
      </c>
      <c r="R22" s="53" t="s">
        <v>7639</v>
      </c>
      <c r="S22" s="53" t="s">
        <v>7640</v>
      </c>
      <c r="T22" s="53" t="s">
        <v>35</v>
      </c>
      <c r="U22" s="53" t="s">
        <v>35</v>
      </c>
    </row>
    <row r="23" spans="1:21" x14ac:dyDescent="0.25">
      <c r="A23" s="53">
        <v>3191311</v>
      </c>
      <c r="B23" s="54" t="s">
        <v>9769</v>
      </c>
      <c r="C23" s="54" t="s">
        <v>9770</v>
      </c>
      <c r="D23" s="54" t="s">
        <v>9771</v>
      </c>
      <c r="E23" s="55">
        <v>45563</v>
      </c>
      <c r="F23" s="53">
        <v>24001346</v>
      </c>
      <c r="G23" s="56" t="s">
        <v>8015</v>
      </c>
      <c r="H23" s="61">
        <v>45689</v>
      </c>
      <c r="I23" s="58">
        <v>93.949999000000005</v>
      </c>
      <c r="J23" s="59">
        <v>25</v>
      </c>
      <c r="K23" s="60">
        <v>2348.7499750000002</v>
      </c>
      <c r="L23" s="53" t="s">
        <v>8018</v>
      </c>
      <c r="M23" s="53" t="s">
        <v>8019</v>
      </c>
      <c r="N23" s="53" t="s">
        <v>8020</v>
      </c>
      <c r="O23" s="53" t="s">
        <v>35</v>
      </c>
      <c r="P23" s="53" t="s">
        <v>35</v>
      </c>
      <c r="Q23" s="53" t="s">
        <v>35</v>
      </c>
      <c r="R23" s="53" t="s">
        <v>35</v>
      </c>
      <c r="S23" s="53" t="s">
        <v>8021</v>
      </c>
      <c r="T23" s="53" t="s">
        <v>35</v>
      </c>
      <c r="U23" s="53" t="s">
        <v>35</v>
      </c>
    </row>
    <row r="24" spans="1:21" x14ac:dyDescent="0.25">
      <c r="A24" s="53">
        <v>3191311</v>
      </c>
      <c r="B24" s="54" t="s">
        <v>9769</v>
      </c>
      <c r="C24" s="54" t="s">
        <v>9770</v>
      </c>
      <c r="D24" s="54" t="s">
        <v>9771</v>
      </c>
      <c r="E24" s="55">
        <v>45563</v>
      </c>
      <c r="F24" s="53">
        <v>24001346</v>
      </c>
      <c r="G24" s="56" t="s">
        <v>1943</v>
      </c>
      <c r="H24" s="54" t="s">
        <v>10681</v>
      </c>
      <c r="I24" s="58">
        <v>109.870001</v>
      </c>
      <c r="J24" s="59">
        <v>6</v>
      </c>
      <c r="K24" s="60">
        <v>659.22000600000001</v>
      </c>
      <c r="L24" s="53" t="s">
        <v>1946</v>
      </c>
      <c r="M24" s="53" t="s">
        <v>1947</v>
      </c>
      <c r="N24" s="53" t="s">
        <v>35</v>
      </c>
      <c r="O24" s="53" t="s">
        <v>1948</v>
      </c>
      <c r="P24" s="53" t="s">
        <v>1949</v>
      </c>
      <c r="Q24" s="53" t="s">
        <v>35</v>
      </c>
      <c r="R24" s="53" t="s">
        <v>1950</v>
      </c>
      <c r="S24" s="53" t="s">
        <v>1951</v>
      </c>
      <c r="T24" s="53" t="s">
        <v>35</v>
      </c>
      <c r="U24" s="53" t="s">
        <v>35</v>
      </c>
    </row>
    <row r="25" spans="1:21" x14ac:dyDescent="0.25">
      <c r="A25" s="53">
        <v>3191311</v>
      </c>
      <c r="B25" s="54" t="s">
        <v>9769</v>
      </c>
      <c r="C25" s="54" t="s">
        <v>9770</v>
      </c>
      <c r="D25" s="54" t="s">
        <v>9771</v>
      </c>
      <c r="E25" s="55">
        <v>45563</v>
      </c>
      <c r="F25" s="53">
        <v>24001346</v>
      </c>
      <c r="G25" s="56" t="s">
        <v>1578</v>
      </c>
      <c r="H25" s="54" t="s">
        <v>9932</v>
      </c>
      <c r="I25" s="58">
        <v>56.83</v>
      </c>
      <c r="J25" s="59">
        <v>6</v>
      </c>
      <c r="K25" s="60">
        <v>340.98</v>
      </c>
      <c r="L25" s="53" t="s">
        <v>1580</v>
      </c>
      <c r="M25" s="53" t="s">
        <v>35</v>
      </c>
      <c r="N25" s="53" t="s">
        <v>1581</v>
      </c>
      <c r="O25" s="53" t="s">
        <v>1582</v>
      </c>
      <c r="P25" s="53" t="s">
        <v>1583</v>
      </c>
      <c r="Q25" s="53" t="s">
        <v>1584</v>
      </c>
      <c r="R25" s="53" t="s">
        <v>1585</v>
      </c>
      <c r="S25" s="53" t="s">
        <v>35</v>
      </c>
      <c r="T25" s="53" t="s">
        <v>35</v>
      </c>
      <c r="U25" s="53" t="s">
        <v>35</v>
      </c>
    </row>
    <row r="26" spans="1:21" x14ac:dyDescent="0.25">
      <c r="A26" s="53">
        <v>3191311</v>
      </c>
      <c r="B26" s="54" t="s">
        <v>9769</v>
      </c>
      <c r="C26" s="54" t="s">
        <v>9770</v>
      </c>
      <c r="D26" s="54" t="s">
        <v>9771</v>
      </c>
      <c r="E26" s="55">
        <v>45563</v>
      </c>
      <c r="F26" s="53">
        <v>24001346</v>
      </c>
      <c r="G26" s="56" t="s">
        <v>1427</v>
      </c>
      <c r="H26" s="57">
        <v>45606</v>
      </c>
      <c r="I26" s="58">
        <v>64.73</v>
      </c>
      <c r="J26" s="59">
        <v>6</v>
      </c>
      <c r="K26" s="60">
        <v>388.38</v>
      </c>
      <c r="L26" s="53" t="s">
        <v>1429</v>
      </c>
      <c r="M26" s="53" t="s">
        <v>1430</v>
      </c>
      <c r="N26" s="53" t="s">
        <v>1431</v>
      </c>
      <c r="O26" s="53" t="s">
        <v>1432</v>
      </c>
      <c r="P26" s="53" t="s">
        <v>1433</v>
      </c>
      <c r="Q26" s="53" t="s">
        <v>1434</v>
      </c>
      <c r="R26" s="53" t="s">
        <v>1435</v>
      </c>
      <c r="S26" s="53" t="s">
        <v>1436</v>
      </c>
      <c r="T26" s="53" t="s">
        <v>35</v>
      </c>
      <c r="U26" s="53" t="s">
        <v>1437</v>
      </c>
    </row>
    <row r="27" spans="1:21" x14ac:dyDescent="0.25">
      <c r="A27" s="53">
        <v>3191311</v>
      </c>
      <c r="B27" s="54" t="s">
        <v>9769</v>
      </c>
      <c r="C27" s="54" t="s">
        <v>9770</v>
      </c>
      <c r="D27" s="54" t="s">
        <v>9771</v>
      </c>
      <c r="E27" s="55">
        <v>45563</v>
      </c>
      <c r="F27" s="53">
        <v>24001346</v>
      </c>
      <c r="G27" s="56" t="s">
        <v>9118</v>
      </c>
      <c r="H27" s="57">
        <v>45615</v>
      </c>
      <c r="I27" s="58">
        <v>43.12</v>
      </c>
      <c r="J27" s="59">
        <v>6</v>
      </c>
      <c r="K27" s="60">
        <v>258.71999999999997</v>
      </c>
      <c r="L27" s="53" t="s">
        <v>10540</v>
      </c>
      <c r="M27" s="53" t="s">
        <v>35</v>
      </c>
      <c r="N27" s="53" t="s">
        <v>35</v>
      </c>
      <c r="O27" s="53" t="s">
        <v>35</v>
      </c>
      <c r="P27" s="53" t="s">
        <v>35</v>
      </c>
      <c r="Q27" s="53" t="s">
        <v>35</v>
      </c>
      <c r="R27" s="53" t="s">
        <v>35</v>
      </c>
      <c r="S27" s="53">
        <v>0</v>
      </c>
      <c r="T27" s="53" t="s">
        <v>10541</v>
      </c>
      <c r="U27" s="53" t="s">
        <v>35</v>
      </c>
    </row>
    <row r="28" spans="1:21" x14ac:dyDescent="0.25">
      <c r="A28" s="53">
        <v>3191311</v>
      </c>
      <c r="B28" s="54" t="s">
        <v>9769</v>
      </c>
      <c r="C28" s="54" t="s">
        <v>9770</v>
      </c>
      <c r="D28" s="54" t="s">
        <v>9771</v>
      </c>
      <c r="E28" s="55">
        <v>45563</v>
      </c>
      <c r="F28" s="53">
        <v>24001346</v>
      </c>
      <c r="G28" s="56" t="s">
        <v>8189</v>
      </c>
      <c r="H28" s="54" t="s">
        <v>9932</v>
      </c>
      <c r="I28" s="58">
        <v>60.34</v>
      </c>
      <c r="J28" s="59">
        <v>6</v>
      </c>
      <c r="K28" s="60">
        <v>362.04</v>
      </c>
      <c r="L28" s="53" t="s">
        <v>8193</v>
      </c>
      <c r="M28" s="53" t="s">
        <v>8194</v>
      </c>
      <c r="N28" s="53" t="s">
        <v>35</v>
      </c>
      <c r="O28" s="53" t="s">
        <v>35</v>
      </c>
      <c r="P28" s="53" t="s">
        <v>35</v>
      </c>
      <c r="Q28" s="53" t="s">
        <v>8195</v>
      </c>
      <c r="R28" s="53" t="s">
        <v>35</v>
      </c>
      <c r="S28" s="53" t="s">
        <v>8196</v>
      </c>
      <c r="T28" s="53">
        <v>926163</v>
      </c>
      <c r="U28" s="53" t="s">
        <v>8197</v>
      </c>
    </row>
    <row r="29" spans="1:21" x14ac:dyDescent="0.25">
      <c r="A29" s="53">
        <v>3191311</v>
      </c>
      <c r="B29" s="54" t="s">
        <v>9769</v>
      </c>
      <c r="C29" s="54" t="s">
        <v>9770</v>
      </c>
      <c r="D29" s="54" t="s">
        <v>9771</v>
      </c>
      <c r="E29" s="55">
        <v>45563</v>
      </c>
      <c r="F29" s="53">
        <v>24001346</v>
      </c>
      <c r="G29" s="56" t="s">
        <v>7585</v>
      </c>
      <c r="H29" s="54" t="s">
        <v>9932</v>
      </c>
      <c r="I29" s="58">
        <v>33.630000000000003</v>
      </c>
      <c r="J29" s="59">
        <v>5</v>
      </c>
      <c r="K29" s="60">
        <v>168.15</v>
      </c>
      <c r="L29" s="53" t="s">
        <v>7588</v>
      </c>
      <c r="M29" s="53" t="s">
        <v>7589</v>
      </c>
      <c r="N29" s="53" t="s">
        <v>7590</v>
      </c>
      <c r="O29" s="53" t="s">
        <v>7591</v>
      </c>
      <c r="P29" s="53" t="s">
        <v>7592</v>
      </c>
      <c r="Q29" s="53" t="s">
        <v>7593</v>
      </c>
      <c r="R29" s="53" t="s">
        <v>7594</v>
      </c>
      <c r="S29" s="53" t="s">
        <v>8710</v>
      </c>
      <c r="T29" s="53" t="s">
        <v>35</v>
      </c>
      <c r="U29" s="53" t="s">
        <v>7595</v>
      </c>
    </row>
    <row r="30" spans="1:21" x14ac:dyDescent="0.25">
      <c r="A30" s="53">
        <v>3191311</v>
      </c>
      <c r="B30" s="54" t="s">
        <v>9769</v>
      </c>
      <c r="C30" s="54" t="s">
        <v>9770</v>
      </c>
      <c r="D30" s="54" t="s">
        <v>9771</v>
      </c>
      <c r="E30" s="55">
        <v>45563</v>
      </c>
      <c r="F30" s="53">
        <v>24001346</v>
      </c>
      <c r="G30" s="56" t="s">
        <v>7493</v>
      </c>
      <c r="H30" s="57">
        <v>45624</v>
      </c>
      <c r="I30" s="58">
        <v>25.03</v>
      </c>
      <c r="J30" s="59">
        <v>5</v>
      </c>
      <c r="K30" s="60">
        <v>125.15</v>
      </c>
      <c r="L30" s="53" t="s">
        <v>7495</v>
      </c>
      <c r="M30" s="53" t="s">
        <v>7496</v>
      </c>
      <c r="N30" s="53" t="s">
        <v>7497</v>
      </c>
      <c r="O30" s="53" t="s">
        <v>7498</v>
      </c>
      <c r="P30" s="53" t="s">
        <v>7499</v>
      </c>
      <c r="Q30" s="53" t="s">
        <v>7500</v>
      </c>
      <c r="R30" s="53" t="s">
        <v>7501</v>
      </c>
      <c r="S30" s="53" t="s">
        <v>7502</v>
      </c>
      <c r="T30" s="53" t="s">
        <v>35</v>
      </c>
      <c r="U30" s="53" t="s">
        <v>7503</v>
      </c>
    </row>
    <row r="31" spans="1:21" x14ac:dyDescent="0.25">
      <c r="A31" s="53">
        <v>3191311</v>
      </c>
      <c r="B31" s="54" t="s">
        <v>9769</v>
      </c>
      <c r="C31" s="54" t="s">
        <v>9770</v>
      </c>
      <c r="D31" s="54" t="s">
        <v>9771</v>
      </c>
      <c r="E31" s="55">
        <v>45563</v>
      </c>
      <c r="F31" s="53">
        <v>24001346</v>
      </c>
      <c r="G31" s="56" t="s">
        <v>9262</v>
      </c>
      <c r="H31" s="61">
        <v>45658</v>
      </c>
      <c r="I31" s="58">
        <v>31.82</v>
      </c>
      <c r="J31" s="59">
        <v>5</v>
      </c>
      <c r="K31" s="60">
        <v>159.1</v>
      </c>
      <c r="L31" s="53" t="s">
        <v>9264</v>
      </c>
      <c r="M31" s="53" t="s">
        <v>9265</v>
      </c>
      <c r="N31" s="53" t="s">
        <v>9266</v>
      </c>
      <c r="O31" s="53" t="s">
        <v>9267</v>
      </c>
      <c r="P31" s="53" t="s">
        <v>35</v>
      </c>
      <c r="Q31" s="53" t="s">
        <v>35</v>
      </c>
      <c r="R31" s="53" t="s">
        <v>10542</v>
      </c>
      <c r="S31" s="53" t="s">
        <v>9269</v>
      </c>
      <c r="T31" s="53" t="s">
        <v>35</v>
      </c>
      <c r="U31" s="53" t="s">
        <v>9270</v>
      </c>
    </row>
    <row r="32" spans="1:21" x14ac:dyDescent="0.25">
      <c r="A32" s="53">
        <v>3191311</v>
      </c>
      <c r="B32" s="54" t="s">
        <v>9769</v>
      </c>
      <c r="C32" s="54" t="s">
        <v>9770</v>
      </c>
      <c r="D32" s="54" t="s">
        <v>9771</v>
      </c>
      <c r="E32" s="55">
        <v>45563</v>
      </c>
      <c r="F32" s="53">
        <v>24001346</v>
      </c>
      <c r="G32" s="56" t="s">
        <v>7855</v>
      </c>
      <c r="H32" s="57">
        <v>45615</v>
      </c>
      <c r="I32" s="58">
        <v>30.52</v>
      </c>
      <c r="J32" s="59">
        <v>5</v>
      </c>
      <c r="K32" s="60">
        <v>152.6</v>
      </c>
      <c r="L32" s="53" t="s">
        <v>7857</v>
      </c>
      <c r="M32" s="53" t="s">
        <v>35</v>
      </c>
      <c r="N32" s="53" t="s">
        <v>7858</v>
      </c>
      <c r="O32" s="53" t="s">
        <v>7859</v>
      </c>
      <c r="P32" s="53" t="s">
        <v>35</v>
      </c>
      <c r="Q32" s="53" t="s">
        <v>7860</v>
      </c>
      <c r="R32" s="53" t="s">
        <v>7861</v>
      </c>
      <c r="S32" s="53" t="s">
        <v>35</v>
      </c>
      <c r="T32" s="53" t="s">
        <v>35</v>
      </c>
      <c r="U32" s="53" t="s">
        <v>35</v>
      </c>
    </row>
    <row r="33" spans="1:21" x14ac:dyDescent="0.25">
      <c r="A33" s="53">
        <v>3191311</v>
      </c>
      <c r="B33" s="54" t="s">
        <v>9769</v>
      </c>
      <c r="C33" s="54" t="s">
        <v>9770</v>
      </c>
      <c r="D33" s="54" t="s">
        <v>9771</v>
      </c>
      <c r="E33" s="55">
        <v>45563</v>
      </c>
      <c r="F33" s="53">
        <v>24001346</v>
      </c>
      <c r="G33" s="56" t="s">
        <v>9718</v>
      </c>
      <c r="H33" s="61">
        <v>45689</v>
      </c>
      <c r="I33" s="58">
        <v>12.6</v>
      </c>
      <c r="J33" s="59">
        <v>5</v>
      </c>
      <c r="K33" s="60">
        <v>63</v>
      </c>
      <c r="L33" s="53" t="s">
        <v>9720</v>
      </c>
      <c r="M33" s="53" t="s">
        <v>9721</v>
      </c>
      <c r="N33" s="53" t="s">
        <v>7081</v>
      </c>
      <c r="O33" s="53" t="s">
        <v>7082</v>
      </c>
      <c r="P33" s="53" t="s">
        <v>7083</v>
      </c>
      <c r="Q33" s="53" t="s">
        <v>9722</v>
      </c>
      <c r="R33" s="53" t="s">
        <v>9723</v>
      </c>
      <c r="S33" s="53" t="s">
        <v>9724</v>
      </c>
      <c r="T33" s="53" t="s">
        <v>35</v>
      </c>
      <c r="U33" s="53" t="s">
        <v>35</v>
      </c>
    </row>
    <row r="34" spans="1:21" x14ac:dyDescent="0.25">
      <c r="A34" s="53">
        <v>3191311</v>
      </c>
      <c r="B34" s="54" t="s">
        <v>9769</v>
      </c>
      <c r="C34" s="54" t="s">
        <v>9770</v>
      </c>
      <c r="D34" s="54" t="s">
        <v>9771</v>
      </c>
      <c r="E34" s="55">
        <v>45563</v>
      </c>
      <c r="F34" s="53">
        <v>24001346</v>
      </c>
      <c r="G34" s="56" t="s">
        <v>7976</v>
      </c>
      <c r="H34" s="54" t="s">
        <v>9932</v>
      </c>
      <c r="I34" s="58">
        <v>48.73</v>
      </c>
      <c r="J34" s="59">
        <v>5</v>
      </c>
      <c r="K34" s="60">
        <v>243.64999999999998</v>
      </c>
      <c r="L34" s="53" t="s">
        <v>7978</v>
      </c>
      <c r="M34" s="53" t="s">
        <v>7979</v>
      </c>
      <c r="N34" s="53" t="s">
        <v>7980</v>
      </c>
      <c r="O34" s="53" t="s">
        <v>35</v>
      </c>
      <c r="P34" s="53" t="s">
        <v>35</v>
      </c>
      <c r="Q34" s="53" t="s">
        <v>7981</v>
      </c>
      <c r="R34" s="53" t="s">
        <v>7982</v>
      </c>
      <c r="S34" s="53" t="s">
        <v>35</v>
      </c>
      <c r="T34" s="53" t="s">
        <v>35</v>
      </c>
      <c r="U34" s="53" t="s">
        <v>35</v>
      </c>
    </row>
    <row r="35" spans="1:21" x14ac:dyDescent="0.25">
      <c r="A35" s="53">
        <v>3191311</v>
      </c>
      <c r="B35" s="54" t="s">
        <v>9769</v>
      </c>
      <c r="C35" s="54" t="s">
        <v>9770</v>
      </c>
      <c r="D35" s="54" t="s">
        <v>9771</v>
      </c>
      <c r="E35" s="55">
        <v>45563</v>
      </c>
      <c r="F35" s="53">
        <v>24001346</v>
      </c>
      <c r="G35" s="56" t="s">
        <v>7407</v>
      </c>
      <c r="H35" s="57">
        <v>45615</v>
      </c>
      <c r="I35" s="58">
        <v>11.6</v>
      </c>
      <c r="J35" s="59">
        <v>5</v>
      </c>
      <c r="K35" s="60">
        <v>58</v>
      </c>
      <c r="L35" s="53" t="s">
        <v>35</v>
      </c>
      <c r="M35" s="53" t="s">
        <v>7410</v>
      </c>
      <c r="N35" s="53" t="s">
        <v>7411</v>
      </c>
      <c r="O35" s="53" t="s">
        <v>7412</v>
      </c>
      <c r="P35" s="53" t="s">
        <v>7413</v>
      </c>
      <c r="Q35" s="53" t="s">
        <v>7414</v>
      </c>
      <c r="R35" s="53" t="s">
        <v>35</v>
      </c>
      <c r="S35" s="53" t="s">
        <v>35</v>
      </c>
      <c r="T35" s="53" t="s">
        <v>35</v>
      </c>
      <c r="U35" s="53" t="s">
        <v>35</v>
      </c>
    </row>
    <row r="36" spans="1:21" x14ac:dyDescent="0.25">
      <c r="A36" s="53">
        <v>3191311</v>
      </c>
      <c r="B36" s="54" t="s">
        <v>9769</v>
      </c>
      <c r="C36" s="54" t="s">
        <v>9770</v>
      </c>
      <c r="D36" s="54" t="s">
        <v>9771</v>
      </c>
      <c r="E36" s="55">
        <v>45563</v>
      </c>
      <c r="F36" s="53">
        <v>24001346</v>
      </c>
      <c r="G36" s="56" t="s">
        <v>7535</v>
      </c>
      <c r="H36" s="61">
        <v>45658</v>
      </c>
      <c r="I36" s="58">
        <v>31.18</v>
      </c>
      <c r="J36" s="59">
        <v>5</v>
      </c>
      <c r="K36" s="60">
        <v>155.9</v>
      </c>
      <c r="L36" s="53" t="s">
        <v>7538</v>
      </c>
      <c r="M36" s="53" t="s">
        <v>7539</v>
      </c>
      <c r="N36" s="53" t="s">
        <v>7540</v>
      </c>
      <c r="O36" s="53" t="s">
        <v>35</v>
      </c>
      <c r="P36" s="53" t="s">
        <v>35</v>
      </c>
      <c r="Q36" s="53" t="s">
        <v>35</v>
      </c>
      <c r="R36" s="53" t="s">
        <v>7541</v>
      </c>
      <c r="S36" s="53" t="s">
        <v>35</v>
      </c>
      <c r="T36" s="53" t="s">
        <v>35</v>
      </c>
      <c r="U36" s="53" t="s">
        <v>35</v>
      </c>
    </row>
    <row r="37" spans="1:21" x14ac:dyDescent="0.25">
      <c r="A37" s="53">
        <v>3191311</v>
      </c>
      <c r="B37" s="54" t="s">
        <v>9769</v>
      </c>
      <c r="C37" s="54" t="s">
        <v>9770</v>
      </c>
      <c r="D37" s="54" t="s">
        <v>9771</v>
      </c>
      <c r="E37" s="55">
        <v>45563</v>
      </c>
      <c r="F37" s="53">
        <v>24001346</v>
      </c>
      <c r="G37" s="56" t="s">
        <v>9377</v>
      </c>
      <c r="H37" s="61">
        <v>45658</v>
      </c>
      <c r="I37" s="58">
        <v>24.38</v>
      </c>
      <c r="J37" s="59">
        <v>5</v>
      </c>
      <c r="K37" s="60">
        <v>121.89999999999999</v>
      </c>
      <c r="L37" s="53" t="s">
        <v>9379</v>
      </c>
      <c r="M37" s="53" t="s">
        <v>9380</v>
      </c>
      <c r="N37" s="53" t="s">
        <v>9381</v>
      </c>
      <c r="O37" s="53" t="s">
        <v>9382</v>
      </c>
      <c r="P37" s="53" t="s">
        <v>9383</v>
      </c>
      <c r="Q37" s="53" t="s">
        <v>35</v>
      </c>
      <c r="R37" s="53" t="s">
        <v>9384</v>
      </c>
      <c r="S37" s="53" t="s">
        <v>35</v>
      </c>
      <c r="T37" s="53" t="s">
        <v>35</v>
      </c>
      <c r="U37" s="53" t="s">
        <v>35</v>
      </c>
    </row>
    <row r="38" spans="1:21" x14ac:dyDescent="0.25">
      <c r="A38" s="53">
        <v>3191311</v>
      </c>
      <c r="B38" s="54" t="s">
        <v>9769</v>
      </c>
      <c r="C38" s="54" t="s">
        <v>9770</v>
      </c>
      <c r="D38" s="54" t="s">
        <v>9771</v>
      </c>
      <c r="E38" s="55">
        <v>45563</v>
      </c>
      <c r="F38" s="53">
        <v>24001346</v>
      </c>
      <c r="G38" s="56" t="s">
        <v>1043</v>
      </c>
      <c r="H38" s="57">
        <v>45612</v>
      </c>
      <c r="I38" s="58">
        <v>65.819998999999996</v>
      </c>
      <c r="J38" s="59">
        <v>48</v>
      </c>
      <c r="K38" s="60">
        <v>3159.3599519999998</v>
      </c>
      <c r="L38" s="53" t="s">
        <v>1046</v>
      </c>
      <c r="M38" s="53" t="s">
        <v>1047</v>
      </c>
      <c r="N38" s="53" t="s">
        <v>1048</v>
      </c>
      <c r="O38" s="53" t="s">
        <v>1049</v>
      </c>
      <c r="P38" s="53" t="s">
        <v>35</v>
      </c>
      <c r="Q38" s="53" t="s">
        <v>35</v>
      </c>
      <c r="R38" s="53" t="s">
        <v>1050</v>
      </c>
      <c r="S38" s="53" t="s">
        <v>1051</v>
      </c>
      <c r="T38" s="53" t="s">
        <v>35</v>
      </c>
      <c r="U38" s="53" t="s">
        <v>1052</v>
      </c>
    </row>
    <row r="39" spans="1:21" x14ac:dyDescent="0.25">
      <c r="A39" s="53">
        <v>3191311</v>
      </c>
      <c r="B39" s="54" t="s">
        <v>9769</v>
      </c>
      <c r="C39" s="54" t="s">
        <v>9770</v>
      </c>
      <c r="D39" s="54" t="s">
        <v>9771</v>
      </c>
      <c r="E39" s="55">
        <v>45575</v>
      </c>
      <c r="F39" s="53">
        <v>24001394</v>
      </c>
      <c r="G39" s="56" t="s">
        <v>2854</v>
      </c>
      <c r="H39" s="57">
        <v>45624</v>
      </c>
      <c r="I39" s="58">
        <v>92.76</v>
      </c>
      <c r="J39" s="59">
        <v>24</v>
      </c>
      <c r="K39" s="60">
        <v>2226.2400000000002</v>
      </c>
      <c r="L39" s="53" t="s">
        <v>2856</v>
      </c>
      <c r="M39" s="53" t="s">
        <v>2857</v>
      </c>
      <c r="N39" s="53" t="s">
        <v>2858</v>
      </c>
      <c r="O39" s="53" t="s">
        <v>2859</v>
      </c>
      <c r="P39" s="53" t="s">
        <v>2860</v>
      </c>
      <c r="Q39" s="53" t="s">
        <v>35</v>
      </c>
      <c r="R39" s="53" t="s">
        <v>2861</v>
      </c>
      <c r="S39" s="53" t="s">
        <v>35</v>
      </c>
      <c r="T39" s="53" t="s">
        <v>35</v>
      </c>
      <c r="U39" s="53" t="s">
        <v>35</v>
      </c>
    </row>
    <row r="40" spans="1:21" x14ac:dyDescent="0.25">
      <c r="A40" s="53">
        <v>3191311</v>
      </c>
      <c r="B40" s="54" t="s">
        <v>9769</v>
      </c>
      <c r="C40" s="54" t="s">
        <v>9770</v>
      </c>
      <c r="D40" s="54" t="s">
        <v>9771</v>
      </c>
      <c r="E40" s="55">
        <v>45575</v>
      </c>
      <c r="F40" s="53">
        <v>24001400</v>
      </c>
      <c r="G40" s="56" t="s">
        <v>1438</v>
      </c>
      <c r="H40" s="57">
        <v>45606</v>
      </c>
      <c r="I40" s="58">
        <v>81.66</v>
      </c>
      <c r="J40" s="59">
        <v>48</v>
      </c>
      <c r="K40" s="60">
        <v>3919.68</v>
      </c>
      <c r="L40" s="53" t="s">
        <v>1441</v>
      </c>
      <c r="M40" s="53" t="s">
        <v>1442</v>
      </c>
      <c r="N40" s="53" t="s">
        <v>35</v>
      </c>
      <c r="O40" s="53" t="s">
        <v>35</v>
      </c>
      <c r="P40" s="53" t="s">
        <v>35</v>
      </c>
      <c r="Q40" s="53" t="s">
        <v>35</v>
      </c>
      <c r="R40" s="53" t="s">
        <v>1443</v>
      </c>
      <c r="S40" s="53" t="s">
        <v>35</v>
      </c>
      <c r="T40" s="53" t="s">
        <v>35</v>
      </c>
      <c r="U40" s="53" t="s">
        <v>35</v>
      </c>
    </row>
    <row r="41" spans="1:21" x14ac:dyDescent="0.25">
      <c r="A41" s="53">
        <v>3191311</v>
      </c>
      <c r="B41" s="54" t="s">
        <v>9769</v>
      </c>
      <c r="C41" s="54" t="s">
        <v>9770</v>
      </c>
      <c r="D41" s="54" t="s">
        <v>9771</v>
      </c>
      <c r="E41" s="55">
        <v>45596</v>
      </c>
      <c r="F41" s="53">
        <v>24001488</v>
      </c>
      <c r="G41" s="56" t="s">
        <v>5320</v>
      </c>
      <c r="H41" s="54" t="s">
        <v>10681</v>
      </c>
      <c r="I41" s="58">
        <v>46.72</v>
      </c>
      <c r="J41" s="59">
        <v>5</v>
      </c>
      <c r="K41" s="60">
        <v>233.6</v>
      </c>
      <c r="L41" s="53" t="s">
        <v>5323</v>
      </c>
      <c r="M41" s="53" t="s">
        <v>5324</v>
      </c>
      <c r="N41" s="53" t="s">
        <v>5325</v>
      </c>
      <c r="O41" s="53" t="s">
        <v>5326</v>
      </c>
      <c r="P41" s="53" t="s">
        <v>5327</v>
      </c>
      <c r="Q41" s="53" t="s">
        <v>5328</v>
      </c>
      <c r="R41" s="53" t="s">
        <v>5329</v>
      </c>
      <c r="S41" s="53" t="s">
        <v>5330</v>
      </c>
      <c r="T41" s="53" t="s">
        <v>35</v>
      </c>
      <c r="U41" s="53" t="s">
        <v>5331</v>
      </c>
    </row>
    <row r="42" spans="1:21" x14ac:dyDescent="0.25">
      <c r="A42" s="53">
        <v>3191311</v>
      </c>
      <c r="B42" s="54" t="s">
        <v>9769</v>
      </c>
      <c r="C42" s="54" t="s">
        <v>9770</v>
      </c>
      <c r="D42" s="54" t="s">
        <v>9771</v>
      </c>
      <c r="E42" s="55">
        <v>45596</v>
      </c>
      <c r="F42" s="53">
        <v>24001488</v>
      </c>
      <c r="G42" s="56" t="s">
        <v>1771</v>
      </c>
      <c r="H42" s="54" t="s">
        <v>10681</v>
      </c>
      <c r="I42" s="58">
        <v>9.75</v>
      </c>
      <c r="J42" s="59">
        <v>6</v>
      </c>
      <c r="K42" s="60">
        <v>58.5</v>
      </c>
      <c r="L42" s="53" t="s">
        <v>1773</v>
      </c>
      <c r="M42" s="53" t="s">
        <v>1774</v>
      </c>
      <c r="N42" s="53" t="s">
        <v>1703</v>
      </c>
      <c r="O42" s="53" t="s">
        <v>1775</v>
      </c>
      <c r="P42" s="53" t="s">
        <v>1776</v>
      </c>
      <c r="Q42" s="53" t="s">
        <v>1777</v>
      </c>
      <c r="R42" s="53" t="s">
        <v>1778</v>
      </c>
      <c r="S42" s="53" t="s">
        <v>1779</v>
      </c>
      <c r="T42" s="53" t="s">
        <v>35</v>
      </c>
      <c r="U42" s="53" t="s">
        <v>1706</v>
      </c>
    </row>
    <row r="43" spans="1:21" x14ac:dyDescent="0.25">
      <c r="A43" s="53">
        <v>3191311</v>
      </c>
      <c r="B43" s="54" t="s">
        <v>9769</v>
      </c>
      <c r="C43" s="54" t="s">
        <v>9770</v>
      </c>
      <c r="D43" s="54" t="s">
        <v>9771</v>
      </c>
      <c r="E43" s="55">
        <v>45596</v>
      </c>
      <c r="F43" s="53">
        <v>24001488</v>
      </c>
      <c r="G43" s="56" t="s">
        <v>1465</v>
      </c>
      <c r="H43" s="54" t="s">
        <v>10681</v>
      </c>
      <c r="I43" s="58">
        <v>40.36</v>
      </c>
      <c r="J43" s="59">
        <v>6</v>
      </c>
      <c r="K43" s="60">
        <v>242.16</v>
      </c>
      <c r="L43" s="53" t="s">
        <v>1467</v>
      </c>
      <c r="M43" s="53" t="s">
        <v>1468</v>
      </c>
      <c r="N43" s="53" t="s">
        <v>1469</v>
      </c>
      <c r="O43" s="53" t="s">
        <v>1470</v>
      </c>
      <c r="P43" s="53" t="s">
        <v>1471</v>
      </c>
      <c r="Q43" s="53" t="s">
        <v>1472</v>
      </c>
      <c r="R43" s="53" t="s">
        <v>1473</v>
      </c>
      <c r="S43" s="53" t="s">
        <v>35</v>
      </c>
      <c r="T43" s="53" t="s">
        <v>35</v>
      </c>
      <c r="U43" s="53" t="s">
        <v>35</v>
      </c>
    </row>
    <row r="44" spans="1:21" x14ac:dyDescent="0.25">
      <c r="A44" s="53">
        <v>3191311</v>
      </c>
      <c r="B44" s="54" t="s">
        <v>9769</v>
      </c>
      <c r="C44" s="54" t="s">
        <v>9770</v>
      </c>
      <c r="D44" s="54" t="s">
        <v>9771</v>
      </c>
      <c r="E44" s="55">
        <v>45596</v>
      </c>
      <c r="F44" s="53">
        <v>24001488</v>
      </c>
      <c r="G44" s="56" t="s">
        <v>2831</v>
      </c>
      <c r="H44" s="54" t="s">
        <v>10681</v>
      </c>
      <c r="I44" s="58">
        <v>73.5</v>
      </c>
      <c r="J44" s="59">
        <v>6</v>
      </c>
      <c r="K44" s="60">
        <v>441</v>
      </c>
      <c r="L44" s="53" t="s">
        <v>2833</v>
      </c>
      <c r="M44" s="53" t="s">
        <v>2834</v>
      </c>
      <c r="N44" s="53" t="s">
        <v>35</v>
      </c>
      <c r="O44" s="53" t="s">
        <v>35</v>
      </c>
      <c r="P44" s="53" t="s">
        <v>35</v>
      </c>
      <c r="Q44" s="53" t="s">
        <v>35</v>
      </c>
      <c r="R44" s="53" t="s">
        <v>2835</v>
      </c>
      <c r="S44" s="53" t="s">
        <v>35</v>
      </c>
      <c r="T44" s="53" t="s">
        <v>35</v>
      </c>
      <c r="U44" s="53" t="s">
        <v>35</v>
      </c>
    </row>
    <row r="45" spans="1:21" x14ac:dyDescent="0.25">
      <c r="A45" s="53">
        <v>3191311</v>
      </c>
      <c r="B45" s="54" t="s">
        <v>9769</v>
      </c>
      <c r="C45" s="54" t="s">
        <v>9770</v>
      </c>
      <c r="D45" s="54" t="s">
        <v>9771</v>
      </c>
      <c r="E45" s="55">
        <v>45596</v>
      </c>
      <c r="F45" s="53">
        <v>24001488</v>
      </c>
      <c r="G45" s="56" t="s">
        <v>3025</v>
      </c>
      <c r="H45" s="54" t="s">
        <v>10681</v>
      </c>
      <c r="I45" s="58">
        <v>97.15</v>
      </c>
      <c r="J45" s="59">
        <v>6</v>
      </c>
      <c r="K45" s="60">
        <v>582.90000000000009</v>
      </c>
      <c r="L45" s="53" t="s">
        <v>35</v>
      </c>
      <c r="M45" s="53" t="s">
        <v>35</v>
      </c>
      <c r="N45" s="53" t="s">
        <v>35</v>
      </c>
      <c r="O45" s="53" t="s">
        <v>35</v>
      </c>
      <c r="P45" s="53" t="s">
        <v>35</v>
      </c>
      <c r="Q45" s="53" t="s">
        <v>35</v>
      </c>
      <c r="R45" s="53" t="s">
        <v>3028</v>
      </c>
      <c r="S45" s="53" t="s">
        <v>35</v>
      </c>
      <c r="T45" s="53" t="s">
        <v>35</v>
      </c>
      <c r="U45" s="53" t="s">
        <v>35</v>
      </c>
    </row>
    <row r="46" spans="1:21" x14ac:dyDescent="0.25">
      <c r="A46" s="53">
        <v>3191311</v>
      </c>
      <c r="B46" s="54" t="s">
        <v>9769</v>
      </c>
      <c r="C46" s="54" t="s">
        <v>9770</v>
      </c>
      <c r="D46" s="54" t="s">
        <v>9771</v>
      </c>
      <c r="E46" s="55">
        <v>45596</v>
      </c>
      <c r="F46" s="53">
        <v>24001488</v>
      </c>
      <c r="G46" s="56" t="s">
        <v>2944</v>
      </c>
      <c r="H46" s="54" t="s">
        <v>10681</v>
      </c>
      <c r="I46" s="58">
        <v>40.299999999999997</v>
      </c>
      <c r="J46" s="59">
        <v>48</v>
      </c>
      <c r="K46" s="60">
        <v>1934.3999999999999</v>
      </c>
      <c r="L46" s="53" t="s">
        <v>2947</v>
      </c>
      <c r="M46" s="53" t="s">
        <v>2948</v>
      </c>
      <c r="N46" s="53" t="s">
        <v>35</v>
      </c>
      <c r="O46" s="53" t="s">
        <v>2949</v>
      </c>
      <c r="P46" s="53" t="s">
        <v>35</v>
      </c>
      <c r="Q46" s="53" t="s">
        <v>35</v>
      </c>
      <c r="R46" s="53" t="s">
        <v>2950</v>
      </c>
      <c r="S46" s="53" t="s">
        <v>2951</v>
      </c>
      <c r="T46" s="53" t="s">
        <v>2952</v>
      </c>
      <c r="U46" s="53" t="s">
        <v>35</v>
      </c>
    </row>
    <row r="47" spans="1:21" x14ac:dyDescent="0.25">
      <c r="A47" s="53">
        <v>3191311</v>
      </c>
      <c r="B47" s="54" t="s">
        <v>9769</v>
      </c>
      <c r="C47" s="54" t="s">
        <v>9770</v>
      </c>
      <c r="D47" s="54" t="s">
        <v>9771</v>
      </c>
      <c r="E47" s="55">
        <v>45596</v>
      </c>
      <c r="F47" s="53">
        <v>24001488</v>
      </c>
      <c r="G47" s="56" t="s">
        <v>1716</v>
      </c>
      <c r="H47" s="54" t="s">
        <v>10681</v>
      </c>
      <c r="I47" s="58">
        <v>16.16</v>
      </c>
      <c r="J47" s="59">
        <v>48</v>
      </c>
      <c r="K47" s="60">
        <v>775.68000000000006</v>
      </c>
      <c r="L47" s="53" t="s">
        <v>1718</v>
      </c>
      <c r="M47" s="53" t="s">
        <v>1719</v>
      </c>
      <c r="N47" s="53" t="s">
        <v>35</v>
      </c>
      <c r="O47" s="53" t="s">
        <v>1720</v>
      </c>
      <c r="P47" s="53" t="s">
        <v>1721</v>
      </c>
      <c r="Q47" s="53" t="s">
        <v>35</v>
      </c>
      <c r="R47" s="53" t="s">
        <v>1722</v>
      </c>
      <c r="S47" s="53" t="s">
        <v>1723</v>
      </c>
      <c r="T47" s="53" t="s">
        <v>35</v>
      </c>
      <c r="U47" s="53" t="s">
        <v>1724</v>
      </c>
    </row>
    <row r="48" spans="1:21" x14ac:dyDescent="0.25">
      <c r="A48" s="53">
        <v>3191311</v>
      </c>
      <c r="B48" s="54" t="s">
        <v>9769</v>
      </c>
      <c r="C48" s="54" t="s">
        <v>9770</v>
      </c>
      <c r="D48" s="54" t="s">
        <v>9771</v>
      </c>
      <c r="E48" s="55">
        <v>45596</v>
      </c>
      <c r="F48" s="53">
        <v>24001488</v>
      </c>
      <c r="G48" s="56" t="s">
        <v>1877</v>
      </c>
      <c r="H48" s="54" t="s">
        <v>10681</v>
      </c>
      <c r="I48" s="58">
        <v>16.82</v>
      </c>
      <c r="J48" s="59">
        <v>48</v>
      </c>
      <c r="K48" s="60">
        <v>807.36</v>
      </c>
      <c r="L48" s="53" t="s">
        <v>1880</v>
      </c>
      <c r="M48" s="53" t="s">
        <v>1881</v>
      </c>
      <c r="N48" s="53" t="s">
        <v>1882</v>
      </c>
      <c r="O48" s="53" t="s">
        <v>1883</v>
      </c>
      <c r="P48" s="53" t="s">
        <v>1884</v>
      </c>
      <c r="Q48" s="53" t="s">
        <v>1885</v>
      </c>
      <c r="R48" s="53" t="s">
        <v>1886</v>
      </c>
      <c r="S48" s="53" t="s">
        <v>1887</v>
      </c>
      <c r="T48" s="53" t="s">
        <v>35</v>
      </c>
      <c r="U48" s="53" t="s">
        <v>1888</v>
      </c>
    </row>
    <row r="49" spans="1:21" x14ac:dyDescent="0.25">
      <c r="A49" s="53">
        <v>3191311</v>
      </c>
      <c r="B49" s="54" t="s">
        <v>9769</v>
      </c>
      <c r="C49" s="54" t="s">
        <v>9770</v>
      </c>
      <c r="D49" s="54" t="s">
        <v>9771</v>
      </c>
      <c r="E49" s="55">
        <v>45596</v>
      </c>
      <c r="F49" s="53">
        <v>24001488</v>
      </c>
      <c r="G49" s="56" t="s">
        <v>2071</v>
      </c>
      <c r="H49" s="54" t="s">
        <v>10681</v>
      </c>
      <c r="I49" s="58">
        <v>17.68</v>
      </c>
      <c r="J49" s="59">
        <v>102</v>
      </c>
      <c r="K49" s="60">
        <v>1803.36</v>
      </c>
      <c r="L49" s="53" t="s">
        <v>35</v>
      </c>
      <c r="M49" s="53" t="s">
        <v>35</v>
      </c>
      <c r="N49" s="53" t="s">
        <v>35</v>
      </c>
      <c r="O49" s="53" t="s">
        <v>2076</v>
      </c>
      <c r="P49" s="53" t="s">
        <v>2077</v>
      </c>
      <c r="Q49" s="53" t="s">
        <v>2078</v>
      </c>
      <c r="R49" s="53" t="s">
        <v>2079</v>
      </c>
      <c r="S49" s="53" t="s">
        <v>35</v>
      </c>
      <c r="T49" s="53" t="s">
        <v>35</v>
      </c>
      <c r="U49" s="53" t="s">
        <v>35</v>
      </c>
    </row>
    <row r="50" spans="1:21" x14ac:dyDescent="0.25">
      <c r="A50" s="53">
        <v>3191311</v>
      </c>
      <c r="B50" s="54" t="s">
        <v>9769</v>
      </c>
      <c r="C50" s="54" t="s">
        <v>9770</v>
      </c>
      <c r="D50" s="54" t="s">
        <v>9771</v>
      </c>
      <c r="E50" s="55">
        <v>45596</v>
      </c>
      <c r="F50" s="53">
        <v>24001488</v>
      </c>
      <c r="G50" s="56" t="s">
        <v>346</v>
      </c>
      <c r="H50" s="57">
        <v>45610</v>
      </c>
      <c r="I50" s="58">
        <v>9.17</v>
      </c>
      <c r="J50" s="59">
        <v>102</v>
      </c>
      <c r="K50" s="60">
        <v>935.34</v>
      </c>
      <c r="L50" s="53" t="s">
        <v>348</v>
      </c>
      <c r="M50" s="53" t="s">
        <v>349</v>
      </c>
      <c r="N50" s="53" t="s">
        <v>350</v>
      </c>
      <c r="O50" s="53" t="s">
        <v>351</v>
      </c>
      <c r="P50" s="53" t="s">
        <v>352</v>
      </c>
      <c r="Q50" s="53" t="s">
        <v>353</v>
      </c>
      <c r="R50" s="53" t="s">
        <v>354</v>
      </c>
      <c r="S50" s="53" t="s">
        <v>355</v>
      </c>
      <c r="T50" s="53" t="s">
        <v>35</v>
      </c>
      <c r="U50" s="53" t="s">
        <v>356</v>
      </c>
    </row>
    <row r="51" spans="1:21" x14ac:dyDescent="0.25">
      <c r="A51" s="53">
        <v>3191311</v>
      </c>
      <c r="B51" s="54" t="s">
        <v>9769</v>
      </c>
      <c r="C51" s="54" t="s">
        <v>9770</v>
      </c>
      <c r="D51" s="54" t="s">
        <v>9771</v>
      </c>
      <c r="E51" s="55">
        <v>45596</v>
      </c>
      <c r="F51" s="53">
        <v>24001488</v>
      </c>
      <c r="G51" s="56" t="s">
        <v>2812</v>
      </c>
      <c r="H51" s="61">
        <v>45658</v>
      </c>
      <c r="I51" s="58">
        <v>17.489999999999998</v>
      </c>
      <c r="J51" s="59">
        <v>102</v>
      </c>
      <c r="K51" s="60">
        <v>1783.9799999999998</v>
      </c>
      <c r="L51" s="53" t="s">
        <v>2815</v>
      </c>
      <c r="M51" s="53" t="s">
        <v>2816</v>
      </c>
      <c r="N51" s="53" t="s">
        <v>2817</v>
      </c>
      <c r="O51" s="53" t="s">
        <v>2818</v>
      </c>
      <c r="P51" s="53" t="s">
        <v>2819</v>
      </c>
      <c r="Q51" s="53" t="s">
        <v>2820</v>
      </c>
      <c r="R51" s="53" t="s">
        <v>2821</v>
      </c>
      <c r="S51" s="53" t="s">
        <v>35</v>
      </c>
      <c r="T51" s="53" t="s">
        <v>35</v>
      </c>
      <c r="U51" s="53" t="s">
        <v>2822</v>
      </c>
    </row>
    <row r="52" spans="1:21" x14ac:dyDescent="0.25">
      <c r="A52" s="53">
        <v>3191311</v>
      </c>
      <c r="B52" s="54" t="s">
        <v>9769</v>
      </c>
      <c r="C52" s="54" t="s">
        <v>9770</v>
      </c>
      <c r="D52" s="54" t="s">
        <v>9771</v>
      </c>
      <c r="E52" s="55">
        <v>45596</v>
      </c>
      <c r="F52" s="53">
        <v>24001488</v>
      </c>
      <c r="G52" s="56" t="s">
        <v>2883</v>
      </c>
      <c r="H52" s="54" t="s">
        <v>10681</v>
      </c>
      <c r="I52" s="58">
        <v>19.309999999999999</v>
      </c>
      <c r="J52" s="59">
        <v>204</v>
      </c>
      <c r="K52" s="60">
        <v>3939.24</v>
      </c>
      <c r="L52" s="53" t="s">
        <v>35</v>
      </c>
      <c r="M52" s="53" t="s">
        <v>35</v>
      </c>
      <c r="N52" s="53" t="s">
        <v>35</v>
      </c>
      <c r="O52" s="53" t="s">
        <v>2885</v>
      </c>
      <c r="P52" s="53" t="s">
        <v>2886</v>
      </c>
      <c r="Q52" s="53" t="s">
        <v>2887</v>
      </c>
      <c r="R52" s="53" t="s">
        <v>2888</v>
      </c>
      <c r="S52" s="53" t="s">
        <v>35</v>
      </c>
      <c r="T52" s="53" t="s">
        <v>35</v>
      </c>
      <c r="U52" s="53" t="s">
        <v>35</v>
      </c>
    </row>
    <row r="53" spans="1:21" x14ac:dyDescent="0.25">
      <c r="A53" s="53">
        <v>3191311</v>
      </c>
      <c r="B53" s="54" t="s">
        <v>9769</v>
      </c>
      <c r="C53" s="54" t="s">
        <v>9770</v>
      </c>
      <c r="D53" s="54" t="s">
        <v>9771</v>
      </c>
      <c r="E53" s="55">
        <v>45596</v>
      </c>
      <c r="F53" s="53">
        <v>24001488</v>
      </c>
      <c r="G53" s="56" t="s">
        <v>1064</v>
      </c>
      <c r="H53" s="54" t="s">
        <v>10681</v>
      </c>
      <c r="I53" s="58">
        <v>65.84</v>
      </c>
      <c r="J53" s="59">
        <v>24</v>
      </c>
      <c r="K53" s="60">
        <v>1580.16</v>
      </c>
      <c r="L53" s="53" t="s">
        <v>1066</v>
      </c>
      <c r="M53" s="53" t="s">
        <v>1067</v>
      </c>
      <c r="N53" s="53" t="s">
        <v>1068</v>
      </c>
      <c r="O53" s="53" t="s">
        <v>1069</v>
      </c>
      <c r="P53" s="53" t="s">
        <v>1070</v>
      </c>
      <c r="Q53" s="53" t="s">
        <v>1071</v>
      </c>
      <c r="R53" s="53" t="s">
        <v>1072</v>
      </c>
      <c r="S53" s="53" t="s">
        <v>1073</v>
      </c>
      <c r="T53" s="53" t="s">
        <v>35</v>
      </c>
      <c r="U53" s="53" t="s">
        <v>35</v>
      </c>
    </row>
    <row r="54" spans="1:21" x14ac:dyDescent="0.25">
      <c r="A54" s="53">
        <v>3191311</v>
      </c>
      <c r="B54" s="54" t="s">
        <v>9769</v>
      </c>
      <c r="C54" s="54" t="s">
        <v>9770</v>
      </c>
      <c r="D54" s="54" t="s">
        <v>9771</v>
      </c>
      <c r="E54" s="55">
        <v>45596</v>
      </c>
      <c r="F54" s="53">
        <v>24001488</v>
      </c>
      <c r="G54" s="56" t="s">
        <v>2348</v>
      </c>
      <c r="H54" s="61">
        <v>45658</v>
      </c>
      <c r="I54" s="58">
        <v>16.7</v>
      </c>
      <c r="J54" s="59">
        <v>54</v>
      </c>
      <c r="K54" s="60">
        <v>901.8</v>
      </c>
      <c r="L54" s="53" t="s">
        <v>2350</v>
      </c>
      <c r="M54" s="53" t="s">
        <v>2351</v>
      </c>
      <c r="N54" s="53" t="s">
        <v>2352</v>
      </c>
      <c r="O54" s="53" t="s">
        <v>9931</v>
      </c>
      <c r="P54" s="53" t="s">
        <v>35</v>
      </c>
      <c r="Q54" s="53" t="s">
        <v>2353</v>
      </c>
      <c r="R54" s="53" t="s">
        <v>2354</v>
      </c>
      <c r="S54" s="53" t="s">
        <v>35</v>
      </c>
      <c r="T54" s="53" t="s">
        <v>35</v>
      </c>
      <c r="U54" s="53" t="s">
        <v>35</v>
      </c>
    </row>
    <row r="55" spans="1:21" x14ac:dyDescent="0.25">
      <c r="A55" s="53">
        <v>3191311</v>
      </c>
      <c r="B55" s="54" t="s">
        <v>9769</v>
      </c>
      <c r="C55" s="54" t="s">
        <v>9770</v>
      </c>
      <c r="D55" s="54" t="s">
        <v>9771</v>
      </c>
      <c r="E55" s="55">
        <v>45596</v>
      </c>
      <c r="F55" s="53">
        <v>24001488</v>
      </c>
      <c r="G55" s="56" t="s">
        <v>2738</v>
      </c>
      <c r="H55" s="54" t="s">
        <v>10681</v>
      </c>
      <c r="I55" s="58">
        <v>28.64</v>
      </c>
      <c r="J55" s="59">
        <v>48</v>
      </c>
      <c r="K55" s="60">
        <v>1374.72</v>
      </c>
      <c r="L55" s="53" t="s">
        <v>2740</v>
      </c>
      <c r="M55" s="53" t="s">
        <v>2741</v>
      </c>
      <c r="N55" s="53" t="s">
        <v>35</v>
      </c>
      <c r="O55" s="53" t="s">
        <v>2742</v>
      </c>
      <c r="P55" s="53" t="s">
        <v>2743</v>
      </c>
      <c r="Q55" s="53" t="s">
        <v>2744</v>
      </c>
      <c r="R55" s="53" t="s">
        <v>2745</v>
      </c>
      <c r="S55" s="53" t="s">
        <v>2746</v>
      </c>
      <c r="T55" s="53" t="s">
        <v>35</v>
      </c>
      <c r="U55" s="53" t="s">
        <v>2747</v>
      </c>
    </row>
    <row r="56" spans="1:21" x14ac:dyDescent="0.25">
      <c r="A56" s="53">
        <v>3191311</v>
      </c>
      <c r="B56" s="54" t="s">
        <v>9769</v>
      </c>
      <c r="C56" s="54" t="s">
        <v>9770</v>
      </c>
      <c r="D56" s="54" t="s">
        <v>9771</v>
      </c>
      <c r="E56" s="55">
        <v>45596</v>
      </c>
      <c r="F56" s="53">
        <v>24001488</v>
      </c>
      <c r="G56" s="56" t="s">
        <v>237</v>
      </c>
      <c r="H56" s="54" t="s">
        <v>10681</v>
      </c>
      <c r="I56" s="58">
        <v>52.89</v>
      </c>
      <c r="J56" s="59">
        <v>24</v>
      </c>
      <c r="K56" s="60">
        <v>1269.3600000000001</v>
      </c>
      <c r="L56" s="53" t="s">
        <v>239</v>
      </c>
      <c r="M56" s="53" t="s">
        <v>240</v>
      </c>
      <c r="N56" s="53" t="s">
        <v>241</v>
      </c>
      <c r="O56" s="53" t="s">
        <v>242</v>
      </c>
      <c r="P56" s="53" t="s">
        <v>243</v>
      </c>
      <c r="Q56" s="53" t="s">
        <v>233</v>
      </c>
      <c r="R56" s="53" t="s">
        <v>244</v>
      </c>
      <c r="S56" s="53" t="s">
        <v>245</v>
      </c>
      <c r="T56" s="53" t="s">
        <v>35</v>
      </c>
      <c r="U56" s="53" t="s">
        <v>246</v>
      </c>
    </row>
    <row r="57" spans="1:21" x14ac:dyDescent="0.25">
      <c r="A57" s="53">
        <v>3191311</v>
      </c>
      <c r="B57" s="54" t="s">
        <v>9769</v>
      </c>
      <c r="C57" s="54" t="s">
        <v>9770</v>
      </c>
      <c r="D57" s="54" t="s">
        <v>9771</v>
      </c>
      <c r="E57" s="55">
        <v>45596</v>
      </c>
      <c r="F57" s="53">
        <v>24001488</v>
      </c>
      <c r="G57" s="56" t="s">
        <v>2748</v>
      </c>
      <c r="H57" s="61">
        <v>45689</v>
      </c>
      <c r="I57" s="58">
        <v>19.77</v>
      </c>
      <c r="J57" s="59">
        <v>48</v>
      </c>
      <c r="K57" s="60">
        <v>948.96</v>
      </c>
      <c r="L57" s="53" t="s">
        <v>2750</v>
      </c>
      <c r="M57" s="53" t="s">
        <v>2751</v>
      </c>
      <c r="N57" s="53" t="s">
        <v>2752</v>
      </c>
      <c r="O57" s="53" t="s">
        <v>2753</v>
      </c>
      <c r="P57" s="53" t="s">
        <v>2754</v>
      </c>
      <c r="Q57" s="53" t="s">
        <v>2755</v>
      </c>
      <c r="R57" s="53" t="s">
        <v>2756</v>
      </c>
      <c r="S57" s="53" t="s">
        <v>2757</v>
      </c>
      <c r="T57" s="53" t="s">
        <v>35</v>
      </c>
      <c r="U57" s="53" t="s">
        <v>2758</v>
      </c>
    </row>
    <row r="58" spans="1:21" x14ac:dyDescent="0.25">
      <c r="A58" s="53">
        <v>3191311</v>
      </c>
      <c r="B58" s="54" t="s">
        <v>9769</v>
      </c>
      <c r="C58" s="54" t="s">
        <v>9770</v>
      </c>
      <c r="D58" s="54" t="s">
        <v>9771</v>
      </c>
      <c r="E58" s="55">
        <v>45596</v>
      </c>
      <c r="F58" s="53">
        <v>24001488</v>
      </c>
      <c r="G58" s="56" t="s">
        <v>2889</v>
      </c>
      <c r="H58" s="54" t="s">
        <v>10681</v>
      </c>
      <c r="I58" s="58">
        <v>53.58</v>
      </c>
      <c r="J58" s="59">
        <v>12</v>
      </c>
      <c r="K58" s="60">
        <v>642.96</v>
      </c>
      <c r="L58" s="53" t="s">
        <v>2893</v>
      </c>
      <c r="M58" s="53" t="s">
        <v>2894</v>
      </c>
      <c r="N58" s="53" t="s">
        <v>2895</v>
      </c>
      <c r="O58" s="53" t="s">
        <v>2896</v>
      </c>
      <c r="P58" s="53" t="s">
        <v>35</v>
      </c>
      <c r="Q58" s="53" t="s">
        <v>2897</v>
      </c>
      <c r="R58" s="53" t="s">
        <v>2898</v>
      </c>
      <c r="S58" s="53" t="s">
        <v>35</v>
      </c>
      <c r="T58" s="53" t="s">
        <v>35</v>
      </c>
      <c r="U58" s="53" t="s">
        <v>35</v>
      </c>
    </row>
    <row r="59" spans="1:21" x14ac:dyDescent="0.25">
      <c r="A59" s="53">
        <v>3191311</v>
      </c>
      <c r="B59" s="54" t="s">
        <v>9769</v>
      </c>
      <c r="C59" s="54" t="s">
        <v>9770</v>
      </c>
      <c r="D59" s="54" t="s">
        <v>9771</v>
      </c>
      <c r="E59" s="55">
        <v>45596</v>
      </c>
      <c r="F59" s="53">
        <v>24001488</v>
      </c>
      <c r="G59" s="56" t="s">
        <v>1402</v>
      </c>
      <c r="H59" s="54" t="s">
        <v>10681</v>
      </c>
      <c r="I59" s="58">
        <v>26.35</v>
      </c>
      <c r="J59" s="59">
        <v>24</v>
      </c>
      <c r="K59" s="60">
        <v>632.40000000000009</v>
      </c>
      <c r="L59" s="53" t="s">
        <v>1404</v>
      </c>
      <c r="M59" s="53" t="s">
        <v>1405</v>
      </c>
      <c r="N59" s="53" t="s">
        <v>1406</v>
      </c>
      <c r="O59" s="53" t="s">
        <v>1407</v>
      </c>
      <c r="P59" s="53" t="s">
        <v>1408</v>
      </c>
      <c r="Q59" s="53" t="s">
        <v>1409</v>
      </c>
      <c r="R59" s="53" t="s">
        <v>1410</v>
      </c>
      <c r="S59" s="53" t="s">
        <v>1411</v>
      </c>
      <c r="T59" s="53" t="s">
        <v>35</v>
      </c>
      <c r="U59" s="53" t="s">
        <v>1412</v>
      </c>
    </row>
    <row r="60" spans="1:21" x14ac:dyDescent="0.25">
      <c r="A60" s="53">
        <v>3191311</v>
      </c>
      <c r="B60" s="54" t="s">
        <v>9769</v>
      </c>
      <c r="C60" s="54" t="s">
        <v>9770</v>
      </c>
      <c r="D60" s="54" t="s">
        <v>9771</v>
      </c>
      <c r="E60" s="55">
        <v>45596</v>
      </c>
      <c r="F60" s="53">
        <v>24001488</v>
      </c>
      <c r="G60" s="56" t="s">
        <v>3008</v>
      </c>
      <c r="H60" s="54" t="s">
        <v>10681</v>
      </c>
      <c r="I60" s="58">
        <v>12.9</v>
      </c>
      <c r="J60" s="59">
        <v>102</v>
      </c>
      <c r="K60" s="60">
        <v>1315.8</v>
      </c>
      <c r="L60" s="53" t="s">
        <v>3010</v>
      </c>
      <c r="M60" s="53" t="s">
        <v>3011</v>
      </c>
      <c r="N60" s="53" t="s">
        <v>3012</v>
      </c>
      <c r="O60" s="53" t="s">
        <v>3013</v>
      </c>
      <c r="P60" s="53" t="s">
        <v>3014</v>
      </c>
      <c r="Q60" s="53" t="s">
        <v>3015</v>
      </c>
      <c r="R60" s="53" t="s">
        <v>3016</v>
      </c>
      <c r="S60" s="53" t="s">
        <v>35</v>
      </c>
      <c r="T60" s="53" t="s">
        <v>35</v>
      </c>
      <c r="U60" s="53" t="s">
        <v>35</v>
      </c>
    </row>
    <row r="61" spans="1:21" x14ac:dyDescent="0.25">
      <c r="A61" s="53">
        <v>3191311</v>
      </c>
      <c r="B61" s="54" t="s">
        <v>9769</v>
      </c>
      <c r="C61" s="54" t="s">
        <v>9770</v>
      </c>
      <c r="D61" s="54" t="s">
        <v>9771</v>
      </c>
      <c r="E61" s="55">
        <v>45596</v>
      </c>
      <c r="F61" s="53">
        <v>24001488</v>
      </c>
      <c r="G61" s="56" t="s">
        <v>8062</v>
      </c>
      <c r="H61" s="54" t="s">
        <v>10681</v>
      </c>
      <c r="I61" s="58">
        <v>52.67</v>
      </c>
      <c r="J61" s="59">
        <v>24</v>
      </c>
      <c r="K61" s="60">
        <v>1264.08</v>
      </c>
      <c r="L61" s="53" t="s">
        <v>8066</v>
      </c>
      <c r="M61" s="53" t="s">
        <v>8067</v>
      </c>
      <c r="N61" s="53" t="s">
        <v>35</v>
      </c>
      <c r="O61" s="53" t="s">
        <v>8068</v>
      </c>
      <c r="P61" s="53" t="s">
        <v>35</v>
      </c>
      <c r="Q61" s="53" t="s">
        <v>35</v>
      </c>
      <c r="R61" s="53" t="s">
        <v>8069</v>
      </c>
      <c r="S61" s="53" t="s">
        <v>8070</v>
      </c>
      <c r="T61" s="53" t="s">
        <v>8071</v>
      </c>
      <c r="U61" s="53" t="s">
        <v>8072</v>
      </c>
    </row>
    <row r="62" spans="1:21" x14ac:dyDescent="0.25">
      <c r="A62" s="53">
        <v>3191311</v>
      </c>
      <c r="B62" s="54" t="s">
        <v>9769</v>
      </c>
      <c r="C62" s="54" t="s">
        <v>9770</v>
      </c>
      <c r="D62" s="54" t="s">
        <v>9771</v>
      </c>
      <c r="E62" s="55">
        <v>45596</v>
      </c>
      <c r="F62" s="53">
        <v>24001488</v>
      </c>
      <c r="G62" s="56" t="s">
        <v>8112</v>
      </c>
      <c r="H62" s="54" t="s">
        <v>10681</v>
      </c>
      <c r="I62" s="58">
        <v>76.81</v>
      </c>
      <c r="J62" s="59">
        <v>24</v>
      </c>
      <c r="K62" s="60">
        <v>1843.44</v>
      </c>
      <c r="L62" s="53" t="s">
        <v>35</v>
      </c>
      <c r="M62" s="53" t="s">
        <v>35</v>
      </c>
      <c r="N62" s="53" t="s">
        <v>8115</v>
      </c>
      <c r="O62" s="53" t="s">
        <v>8116</v>
      </c>
      <c r="P62" s="53" t="s">
        <v>8117</v>
      </c>
      <c r="Q62" s="53" t="s">
        <v>35</v>
      </c>
      <c r="R62" s="53" t="s">
        <v>8118</v>
      </c>
      <c r="S62" s="53" t="s">
        <v>8119</v>
      </c>
      <c r="T62" s="53" t="s">
        <v>8120</v>
      </c>
      <c r="U62" s="53" t="s">
        <v>8121</v>
      </c>
    </row>
    <row r="63" spans="1:21" x14ac:dyDescent="0.25">
      <c r="A63" s="53">
        <v>3191311</v>
      </c>
      <c r="B63" s="54" t="s">
        <v>9769</v>
      </c>
      <c r="C63" s="54" t="s">
        <v>9770</v>
      </c>
      <c r="D63" s="54" t="s">
        <v>9771</v>
      </c>
      <c r="E63" s="55">
        <v>45596</v>
      </c>
      <c r="F63" s="53">
        <v>24001488</v>
      </c>
      <c r="G63" s="56" t="s">
        <v>1448</v>
      </c>
      <c r="H63" s="54" t="s">
        <v>10681</v>
      </c>
      <c r="I63" s="58">
        <v>34.79</v>
      </c>
      <c r="J63" s="59">
        <v>24</v>
      </c>
      <c r="K63" s="60">
        <v>834.96</v>
      </c>
      <c r="L63" s="53" t="s">
        <v>1451</v>
      </c>
      <c r="M63" s="53" t="s">
        <v>35</v>
      </c>
      <c r="N63" s="53" t="s">
        <v>1452</v>
      </c>
      <c r="O63" s="53" t="s">
        <v>1453</v>
      </c>
      <c r="P63" s="53" t="s">
        <v>1454</v>
      </c>
      <c r="Q63" s="53" t="s">
        <v>1455</v>
      </c>
      <c r="R63" s="53" t="s">
        <v>1456</v>
      </c>
      <c r="S63" s="53" t="s">
        <v>1457</v>
      </c>
      <c r="T63" s="53" t="s">
        <v>35</v>
      </c>
      <c r="U63" s="53" t="s">
        <v>1458</v>
      </c>
    </row>
    <row r="64" spans="1:21" x14ac:dyDescent="0.25">
      <c r="A64" s="53">
        <v>3191311</v>
      </c>
      <c r="B64" s="54" t="s">
        <v>9769</v>
      </c>
      <c r="C64" s="54" t="s">
        <v>9770</v>
      </c>
      <c r="D64" s="54" t="s">
        <v>9771</v>
      </c>
      <c r="E64" s="55">
        <v>45596</v>
      </c>
      <c r="F64" s="53">
        <v>24001488</v>
      </c>
      <c r="G64" s="56" t="s">
        <v>6551</v>
      </c>
      <c r="H64" s="54" t="s">
        <v>10681</v>
      </c>
      <c r="I64" s="58">
        <v>25.6</v>
      </c>
      <c r="J64" s="59">
        <v>50</v>
      </c>
      <c r="K64" s="60">
        <v>1280</v>
      </c>
      <c r="L64" s="53" t="s">
        <v>6554</v>
      </c>
      <c r="M64" s="53" t="s">
        <v>35</v>
      </c>
      <c r="N64" s="53" t="s">
        <v>35</v>
      </c>
      <c r="O64" s="53" t="s">
        <v>35</v>
      </c>
      <c r="P64" s="53" t="s">
        <v>35</v>
      </c>
      <c r="Q64" s="53" t="s">
        <v>6555</v>
      </c>
      <c r="R64" s="53" t="s">
        <v>6556</v>
      </c>
      <c r="S64" s="53" t="s">
        <v>35</v>
      </c>
      <c r="T64" s="53" t="s">
        <v>35</v>
      </c>
      <c r="U64" s="53" t="s">
        <v>35</v>
      </c>
    </row>
    <row r="65" spans="1:21" x14ac:dyDescent="0.25">
      <c r="A65" s="53">
        <v>3191311</v>
      </c>
      <c r="B65" s="54" t="s">
        <v>9769</v>
      </c>
      <c r="C65" s="54" t="s">
        <v>9770</v>
      </c>
      <c r="D65" s="54" t="s">
        <v>9771</v>
      </c>
      <c r="E65" s="55">
        <v>45596</v>
      </c>
      <c r="F65" s="53">
        <v>24001488</v>
      </c>
      <c r="G65" s="56" t="s">
        <v>609</v>
      </c>
      <c r="H65" s="54" t="s">
        <v>10681</v>
      </c>
      <c r="I65" s="58">
        <v>8.76</v>
      </c>
      <c r="J65" s="59">
        <v>48</v>
      </c>
      <c r="K65" s="60">
        <v>420.48</v>
      </c>
      <c r="L65" s="53" t="s">
        <v>611</v>
      </c>
      <c r="M65" s="53" t="s">
        <v>612</v>
      </c>
      <c r="N65" s="53" t="s">
        <v>35</v>
      </c>
      <c r="O65" s="53" t="s">
        <v>613</v>
      </c>
      <c r="P65" s="53" t="s">
        <v>614</v>
      </c>
      <c r="Q65" s="53" t="s">
        <v>615</v>
      </c>
      <c r="R65" s="53" t="s">
        <v>616</v>
      </c>
      <c r="S65" s="53" t="s">
        <v>35</v>
      </c>
      <c r="T65" s="53" t="s">
        <v>35</v>
      </c>
      <c r="U65" s="53" t="s">
        <v>35</v>
      </c>
    </row>
    <row r="66" spans="1:21" x14ac:dyDescent="0.25">
      <c r="A66" s="53">
        <v>3191311</v>
      </c>
      <c r="B66" s="54" t="s">
        <v>9769</v>
      </c>
      <c r="C66" s="54" t="s">
        <v>9770</v>
      </c>
      <c r="D66" s="54" t="s">
        <v>9771</v>
      </c>
      <c r="E66" s="55">
        <v>45596</v>
      </c>
      <c r="F66" s="53">
        <v>24001488</v>
      </c>
      <c r="G66" s="56" t="s">
        <v>6846</v>
      </c>
      <c r="H66" s="54" t="s">
        <v>10681</v>
      </c>
      <c r="I66" s="58">
        <v>7.31</v>
      </c>
      <c r="J66" s="59">
        <v>48</v>
      </c>
      <c r="K66" s="60">
        <v>350.88</v>
      </c>
      <c r="L66" s="53" t="s">
        <v>6849</v>
      </c>
      <c r="M66" s="53" t="s">
        <v>35</v>
      </c>
      <c r="N66" s="53" t="s">
        <v>6850</v>
      </c>
      <c r="O66" s="53" t="s">
        <v>6647</v>
      </c>
      <c r="P66" s="53" t="s">
        <v>6648</v>
      </c>
      <c r="Q66" s="53" t="s">
        <v>6851</v>
      </c>
      <c r="R66" s="53" t="s">
        <v>6852</v>
      </c>
      <c r="S66" s="53" t="s">
        <v>35</v>
      </c>
      <c r="T66" s="53" t="s">
        <v>35</v>
      </c>
      <c r="U66" s="53" t="s">
        <v>35</v>
      </c>
    </row>
    <row r="67" spans="1:21" x14ac:dyDescent="0.25">
      <c r="A67" s="53">
        <v>3191311</v>
      </c>
      <c r="B67" s="54" t="s">
        <v>9769</v>
      </c>
      <c r="C67" s="54" t="s">
        <v>9770</v>
      </c>
      <c r="D67" s="54" t="s">
        <v>9771</v>
      </c>
      <c r="E67" s="55">
        <v>45596</v>
      </c>
      <c r="F67" s="53">
        <v>24001488</v>
      </c>
      <c r="G67" s="56" t="s">
        <v>7371</v>
      </c>
      <c r="H67" s="57">
        <v>45616</v>
      </c>
      <c r="I67" s="58">
        <v>6.34</v>
      </c>
      <c r="J67" s="59">
        <v>50</v>
      </c>
      <c r="K67" s="60">
        <v>317</v>
      </c>
      <c r="L67" s="53" t="s">
        <v>7374</v>
      </c>
      <c r="M67" s="53" t="s">
        <v>35</v>
      </c>
      <c r="N67" s="53" t="s">
        <v>7375</v>
      </c>
      <c r="O67" s="53" t="s">
        <v>7376</v>
      </c>
      <c r="P67" s="53" t="s">
        <v>7377</v>
      </c>
      <c r="Q67" s="53" t="s">
        <v>35</v>
      </c>
      <c r="R67" s="53" t="s">
        <v>7378</v>
      </c>
      <c r="S67" s="53" t="s">
        <v>35</v>
      </c>
      <c r="T67" s="53" t="s">
        <v>35</v>
      </c>
      <c r="U67" s="53" t="s">
        <v>35</v>
      </c>
    </row>
    <row r="68" spans="1:21" x14ac:dyDescent="0.25">
      <c r="A68" s="53">
        <v>3191311</v>
      </c>
      <c r="B68" s="54" t="s">
        <v>9769</v>
      </c>
      <c r="C68" s="54" t="s">
        <v>9770</v>
      </c>
      <c r="D68" s="54" t="s">
        <v>9771</v>
      </c>
      <c r="E68" s="55">
        <v>45596</v>
      </c>
      <c r="F68" s="53">
        <v>24001488</v>
      </c>
      <c r="G68" s="56" t="s">
        <v>178</v>
      </c>
      <c r="H68" s="54" t="s">
        <v>10681</v>
      </c>
      <c r="I68" s="58">
        <v>7.31</v>
      </c>
      <c r="J68" s="59">
        <v>48</v>
      </c>
      <c r="K68" s="60">
        <v>350.88</v>
      </c>
      <c r="L68" s="53" t="s">
        <v>181</v>
      </c>
      <c r="M68" s="53" t="s">
        <v>182</v>
      </c>
      <c r="N68" s="53" t="s">
        <v>183</v>
      </c>
      <c r="O68" s="53" t="s">
        <v>184</v>
      </c>
      <c r="P68" s="53" t="s">
        <v>185</v>
      </c>
      <c r="Q68" s="53" t="s">
        <v>8589</v>
      </c>
      <c r="R68" s="53" t="s">
        <v>186</v>
      </c>
      <c r="S68" s="53" t="s">
        <v>187</v>
      </c>
      <c r="T68" s="53" t="s">
        <v>35</v>
      </c>
      <c r="U68" s="53" t="s">
        <v>35</v>
      </c>
    </row>
    <row r="69" spans="1:21" x14ac:dyDescent="0.25">
      <c r="A69" s="53">
        <v>3191311</v>
      </c>
      <c r="B69" s="54" t="s">
        <v>9769</v>
      </c>
      <c r="C69" s="54" t="s">
        <v>9770</v>
      </c>
      <c r="D69" s="54" t="s">
        <v>9771</v>
      </c>
      <c r="E69" s="55">
        <v>45596</v>
      </c>
      <c r="F69" s="53">
        <v>24001488</v>
      </c>
      <c r="G69" s="56" t="s">
        <v>532</v>
      </c>
      <c r="H69" s="54" t="s">
        <v>10681</v>
      </c>
      <c r="I69" s="58">
        <v>8.75</v>
      </c>
      <c r="J69" s="59">
        <v>48</v>
      </c>
      <c r="K69" s="60">
        <v>420</v>
      </c>
      <c r="L69" s="53" t="s">
        <v>534</v>
      </c>
      <c r="M69" s="53" t="s">
        <v>535</v>
      </c>
      <c r="N69" s="53" t="s">
        <v>350</v>
      </c>
      <c r="O69" s="53" t="s">
        <v>536</v>
      </c>
      <c r="P69" s="53" t="s">
        <v>537</v>
      </c>
      <c r="Q69" s="53" t="s">
        <v>538</v>
      </c>
      <c r="R69" s="53" t="s">
        <v>539</v>
      </c>
      <c r="S69" s="53" t="s">
        <v>540</v>
      </c>
      <c r="T69" s="53" t="s">
        <v>35</v>
      </c>
      <c r="U69" s="53" t="s">
        <v>35</v>
      </c>
    </row>
    <row r="70" spans="1:21" x14ac:dyDescent="0.25">
      <c r="A70" s="53">
        <v>3191311</v>
      </c>
      <c r="B70" s="54" t="s">
        <v>9769</v>
      </c>
      <c r="C70" s="54" t="s">
        <v>9770</v>
      </c>
      <c r="D70" s="54" t="s">
        <v>9771</v>
      </c>
      <c r="E70" s="55">
        <v>45596</v>
      </c>
      <c r="F70" s="53">
        <v>24001488</v>
      </c>
      <c r="G70" s="56" t="s">
        <v>552</v>
      </c>
      <c r="H70" s="54" t="s">
        <v>10681</v>
      </c>
      <c r="I70" s="58">
        <v>6.88</v>
      </c>
      <c r="J70" s="59">
        <v>48</v>
      </c>
      <c r="K70" s="60">
        <v>330.24</v>
      </c>
      <c r="L70" s="53" t="s">
        <v>555</v>
      </c>
      <c r="M70" s="53" t="s">
        <v>395</v>
      </c>
      <c r="N70" s="53" t="s">
        <v>556</v>
      </c>
      <c r="O70" s="53" t="s">
        <v>397</v>
      </c>
      <c r="P70" s="53" t="s">
        <v>398</v>
      </c>
      <c r="Q70" s="53" t="s">
        <v>557</v>
      </c>
      <c r="R70" s="53" t="s">
        <v>558</v>
      </c>
      <c r="S70" s="53" t="s">
        <v>35</v>
      </c>
      <c r="T70" s="53" t="s">
        <v>35</v>
      </c>
      <c r="U70" s="53" t="s">
        <v>35</v>
      </c>
    </row>
    <row r="71" spans="1:21" x14ac:dyDescent="0.25">
      <c r="A71" s="53">
        <v>3191311</v>
      </c>
      <c r="B71" s="54" t="s">
        <v>9769</v>
      </c>
      <c r="C71" s="54" t="s">
        <v>9770</v>
      </c>
      <c r="D71" s="54" t="s">
        <v>9771</v>
      </c>
      <c r="E71" s="55">
        <v>45596</v>
      </c>
      <c r="F71" s="53">
        <v>24001488</v>
      </c>
      <c r="G71" s="56" t="s">
        <v>599</v>
      </c>
      <c r="H71" s="54" t="s">
        <v>10681</v>
      </c>
      <c r="I71" s="58">
        <v>8.57</v>
      </c>
      <c r="J71" s="59">
        <v>48</v>
      </c>
      <c r="K71" s="60">
        <v>411.36</v>
      </c>
      <c r="L71" s="53" t="s">
        <v>602</v>
      </c>
      <c r="M71" s="53" t="s">
        <v>603</v>
      </c>
      <c r="N71" s="53" t="s">
        <v>604</v>
      </c>
      <c r="O71" s="53" t="s">
        <v>605</v>
      </c>
      <c r="P71" s="53" t="s">
        <v>606</v>
      </c>
      <c r="Q71" s="53" t="s">
        <v>607</v>
      </c>
      <c r="R71" s="53" t="s">
        <v>608</v>
      </c>
      <c r="S71" s="53" t="s">
        <v>35</v>
      </c>
      <c r="T71" s="53" t="s">
        <v>35</v>
      </c>
      <c r="U71" s="53" t="s">
        <v>35</v>
      </c>
    </row>
    <row r="72" spans="1:21" x14ac:dyDescent="0.25">
      <c r="A72" s="53">
        <v>3191311</v>
      </c>
      <c r="B72" s="54" t="s">
        <v>9769</v>
      </c>
      <c r="C72" s="54" t="s">
        <v>9770</v>
      </c>
      <c r="D72" s="54" t="s">
        <v>9771</v>
      </c>
      <c r="E72" s="55">
        <v>45596</v>
      </c>
      <c r="F72" s="53">
        <v>24001488</v>
      </c>
      <c r="G72" s="56" t="s">
        <v>1867</v>
      </c>
      <c r="H72" s="54" t="s">
        <v>10681</v>
      </c>
      <c r="I72" s="58">
        <v>10.92</v>
      </c>
      <c r="J72" s="59">
        <v>48</v>
      </c>
      <c r="K72" s="60">
        <v>524.16</v>
      </c>
      <c r="L72" s="53" t="s">
        <v>1870</v>
      </c>
      <c r="M72" s="53" t="s">
        <v>1871</v>
      </c>
      <c r="N72" s="53" t="s">
        <v>1872</v>
      </c>
      <c r="O72" s="53" t="s">
        <v>1873</v>
      </c>
      <c r="P72" s="53" t="s">
        <v>1874</v>
      </c>
      <c r="Q72" s="53" t="s">
        <v>1875</v>
      </c>
      <c r="R72" s="53" t="s">
        <v>1876</v>
      </c>
      <c r="S72" s="53" t="s">
        <v>35</v>
      </c>
      <c r="T72" s="53" t="s">
        <v>35</v>
      </c>
      <c r="U72" s="53" t="s">
        <v>35</v>
      </c>
    </row>
    <row r="73" spans="1:21" x14ac:dyDescent="0.25">
      <c r="A73" s="53">
        <v>3191311</v>
      </c>
      <c r="B73" s="54" t="s">
        <v>9769</v>
      </c>
      <c r="C73" s="54" t="s">
        <v>9770</v>
      </c>
      <c r="D73" s="54" t="s">
        <v>9771</v>
      </c>
      <c r="E73" s="55">
        <v>45596</v>
      </c>
      <c r="F73" s="53">
        <v>24001488</v>
      </c>
      <c r="G73" s="56" t="s">
        <v>2016</v>
      </c>
      <c r="H73" s="54" t="s">
        <v>10681</v>
      </c>
      <c r="I73" s="58">
        <v>10.71</v>
      </c>
      <c r="J73" s="59">
        <v>48</v>
      </c>
      <c r="K73" s="60">
        <v>514.08000000000004</v>
      </c>
      <c r="L73" s="53" t="s">
        <v>2019</v>
      </c>
      <c r="M73" s="53" t="s">
        <v>2020</v>
      </c>
      <c r="N73" s="53" t="s">
        <v>2021</v>
      </c>
      <c r="O73" s="53" t="s">
        <v>2022</v>
      </c>
      <c r="P73" s="53" t="s">
        <v>2023</v>
      </c>
      <c r="Q73" s="53" t="s">
        <v>2024</v>
      </c>
      <c r="R73" s="53" t="s">
        <v>2025</v>
      </c>
      <c r="S73" s="53" t="s">
        <v>35</v>
      </c>
      <c r="T73" s="53" t="s">
        <v>35</v>
      </c>
      <c r="U73" s="53" t="s">
        <v>35</v>
      </c>
    </row>
    <row r="74" spans="1:21" x14ac:dyDescent="0.25">
      <c r="A74" s="53">
        <v>3191311</v>
      </c>
      <c r="B74" s="54" t="s">
        <v>9769</v>
      </c>
      <c r="C74" s="54" t="s">
        <v>9770</v>
      </c>
      <c r="D74" s="54" t="s">
        <v>9771</v>
      </c>
      <c r="E74" s="55">
        <v>45596</v>
      </c>
      <c r="F74" s="53">
        <v>24001488</v>
      </c>
      <c r="G74" s="56" t="s">
        <v>1987</v>
      </c>
      <c r="H74" s="54" t="s">
        <v>10681</v>
      </c>
      <c r="I74" s="58">
        <v>9.1300000000000008</v>
      </c>
      <c r="J74" s="59">
        <v>48</v>
      </c>
      <c r="K74" s="60">
        <v>438.24</v>
      </c>
      <c r="L74" s="53" t="s">
        <v>1990</v>
      </c>
      <c r="M74" s="53" t="s">
        <v>1991</v>
      </c>
      <c r="N74" s="53" t="s">
        <v>1992</v>
      </c>
      <c r="O74" s="53" t="s">
        <v>1993</v>
      </c>
      <c r="P74" s="53" t="s">
        <v>1994</v>
      </c>
      <c r="Q74" s="53" t="s">
        <v>1995</v>
      </c>
      <c r="R74" s="53" t="s">
        <v>1996</v>
      </c>
      <c r="S74" s="53" t="s">
        <v>35</v>
      </c>
      <c r="T74" s="53" t="s">
        <v>35</v>
      </c>
      <c r="U74" s="53" t="s">
        <v>35</v>
      </c>
    </row>
    <row r="75" spans="1:21" x14ac:dyDescent="0.25">
      <c r="A75" s="53">
        <v>3191311</v>
      </c>
      <c r="B75" s="54" t="s">
        <v>9769</v>
      </c>
      <c r="C75" s="54" t="s">
        <v>9770</v>
      </c>
      <c r="D75" s="54" t="s">
        <v>9771</v>
      </c>
      <c r="E75" s="55">
        <v>45596</v>
      </c>
      <c r="F75" s="53">
        <v>24001488</v>
      </c>
      <c r="G75" s="56" t="s">
        <v>2092</v>
      </c>
      <c r="H75" s="54" t="s">
        <v>10681</v>
      </c>
      <c r="I75" s="58">
        <v>9.6999999999999993</v>
      </c>
      <c r="J75" s="59">
        <v>48</v>
      </c>
      <c r="K75" s="60">
        <v>465.59999999999997</v>
      </c>
      <c r="L75" s="53" t="s">
        <v>2095</v>
      </c>
      <c r="M75" s="53" t="s">
        <v>2096</v>
      </c>
      <c r="N75" s="53" t="s">
        <v>2097</v>
      </c>
      <c r="O75" s="53" t="s">
        <v>2098</v>
      </c>
      <c r="P75" s="53" t="s">
        <v>2099</v>
      </c>
      <c r="Q75" s="53" t="s">
        <v>2100</v>
      </c>
      <c r="R75" s="53" t="s">
        <v>2101</v>
      </c>
      <c r="S75" s="53" t="s">
        <v>35</v>
      </c>
      <c r="T75" s="53" t="s">
        <v>35</v>
      </c>
      <c r="U75" s="53" t="s">
        <v>35</v>
      </c>
    </row>
    <row r="76" spans="1:21" x14ac:dyDescent="0.25">
      <c r="A76" s="53">
        <v>3191311</v>
      </c>
      <c r="B76" s="54" t="s">
        <v>9769</v>
      </c>
      <c r="C76" s="54" t="s">
        <v>9770</v>
      </c>
      <c r="D76" s="54" t="s">
        <v>9771</v>
      </c>
      <c r="E76" s="55">
        <v>45596</v>
      </c>
      <c r="F76" s="53">
        <v>24001488</v>
      </c>
      <c r="G76" s="56" t="s">
        <v>6862</v>
      </c>
      <c r="H76" s="57">
        <v>45626</v>
      </c>
      <c r="I76" s="58">
        <v>6.89</v>
      </c>
      <c r="J76" s="59">
        <v>48</v>
      </c>
      <c r="K76" s="60">
        <v>330.71999999999997</v>
      </c>
      <c r="L76" s="53" t="s">
        <v>6865</v>
      </c>
      <c r="M76" s="53" t="s">
        <v>35</v>
      </c>
      <c r="N76" s="53" t="s">
        <v>6866</v>
      </c>
      <c r="O76" s="53" t="s">
        <v>6867</v>
      </c>
      <c r="P76" s="53" t="s">
        <v>6868</v>
      </c>
      <c r="Q76" s="53" t="s">
        <v>6869</v>
      </c>
      <c r="R76" s="53" t="s">
        <v>6870</v>
      </c>
      <c r="S76" s="53" t="s">
        <v>35</v>
      </c>
      <c r="T76" s="53" t="s">
        <v>35</v>
      </c>
      <c r="U76" s="53" t="s">
        <v>35</v>
      </c>
    </row>
    <row r="77" spans="1:21" x14ac:dyDescent="0.25">
      <c r="A77" s="53">
        <v>3191311</v>
      </c>
      <c r="B77" s="54" t="s">
        <v>9769</v>
      </c>
      <c r="C77" s="54" t="s">
        <v>9770</v>
      </c>
      <c r="D77" s="54" t="s">
        <v>9771</v>
      </c>
      <c r="E77" s="55">
        <v>45596</v>
      </c>
      <c r="F77" s="53">
        <v>24001488</v>
      </c>
      <c r="G77" s="56" t="s">
        <v>8073</v>
      </c>
      <c r="H77" s="54" t="s">
        <v>10681</v>
      </c>
      <c r="I77" s="58">
        <v>58.52</v>
      </c>
      <c r="J77" s="59">
        <v>48</v>
      </c>
      <c r="K77" s="60">
        <v>2808.96</v>
      </c>
      <c r="L77" s="53" t="s">
        <v>8077</v>
      </c>
      <c r="M77" s="53" t="s">
        <v>8078</v>
      </c>
      <c r="N77" s="53" t="s">
        <v>35</v>
      </c>
      <c r="O77" s="53" t="s">
        <v>8079</v>
      </c>
      <c r="P77" s="53" t="s">
        <v>35</v>
      </c>
      <c r="Q77" s="53" t="s">
        <v>35</v>
      </c>
      <c r="R77" s="53" t="s">
        <v>8080</v>
      </c>
      <c r="S77" s="53" t="s">
        <v>8081</v>
      </c>
      <c r="T77" s="53" t="s">
        <v>8082</v>
      </c>
      <c r="U77" s="53" t="s">
        <v>8083</v>
      </c>
    </row>
    <row r="78" spans="1:21" x14ac:dyDescent="0.25">
      <c r="A78" s="53">
        <v>3191311</v>
      </c>
      <c r="B78" s="54" t="s">
        <v>9769</v>
      </c>
      <c r="C78" s="54" t="s">
        <v>9770</v>
      </c>
      <c r="D78" s="54" t="s">
        <v>9771</v>
      </c>
      <c r="E78" s="55">
        <v>45596</v>
      </c>
      <c r="F78" s="53">
        <v>24001488</v>
      </c>
      <c r="G78" s="56" t="s">
        <v>1586</v>
      </c>
      <c r="H78" s="54" t="s">
        <v>10681</v>
      </c>
      <c r="I78" s="58">
        <v>55.809998999999998</v>
      </c>
      <c r="J78" s="59">
        <v>12</v>
      </c>
      <c r="K78" s="60">
        <v>669.71998799999994</v>
      </c>
      <c r="L78" s="53" t="s">
        <v>1589</v>
      </c>
      <c r="M78" s="53" t="s">
        <v>35</v>
      </c>
      <c r="N78" s="53" t="s">
        <v>1590</v>
      </c>
      <c r="O78" s="53" t="s">
        <v>1591</v>
      </c>
      <c r="P78" s="53" t="s">
        <v>1592</v>
      </c>
      <c r="Q78" s="53" t="s">
        <v>1593</v>
      </c>
      <c r="R78" s="53" t="s">
        <v>1594</v>
      </c>
      <c r="S78" s="53" t="s">
        <v>35</v>
      </c>
      <c r="T78" s="53" t="s">
        <v>35</v>
      </c>
      <c r="U78" s="53" t="s">
        <v>35</v>
      </c>
    </row>
    <row r="79" spans="1:21" x14ac:dyDescent="0.25">
      <c r="A79" s="53">
        <v>3191311</v>
      </c>
      <c r="B79" s="54" t="s">
        <v>9769</v>
      </c>
      <c r="C79" s="54" t="s">
        <v>9770</v>
      </c>
      <c r="D79" s="54" t="s">
        <v>9771</v>
      </c>
      <c r="E79" s="55">
        <v>45596</v>
      </c>
      <c r="F79" s="53">
        <v>24001488</v>
      </c>
      <c r="G79" s="56" t="s">
        <v>3413</v>
      </c>
      <c r="H79" s="54" t="s">
        <v>10681</v>
      </c>
      <c r="I79" s="58">
        <v>63.41</v>
      </c>
      <c r="J79" s="59">
        <v>48</v>
      </c>
      <c r="K79" s="60">
        <v>3043.68</v>
      </c>
      <c r="L79" s="53" t="s">
        <v>3416</v>
      </c>
      <c r="M79" s="53" t="s">
        <v>3417</v>
      </c>
      <c r="N79" s="53" t="s">
        <v>3418</v>
      </c>
      <c r="O79" s="53" t="s">
        <v>3419</v>
      </c>
      <c r="P79" s="53" t="s">
        <v>35</v>
      </c>
      <c r="Q79" s="53" t="s">
        <v>3420</v>
      </c>
      <c r="R79" s="53" t="s">
        <v>3421</v>
      </c>
      <c r="S79" s="53" t="s">
        <v>35</v>
      </c>
      <c r="T79" s="53" t="s">
        <v>35</v>
      </c>
      <c r="U79" s="53" t="s">
        <v>3422</v>
      </c>
    </row>
    <row r="80" spans="1:21" x14ac:dyDescent="0.25">
      <c r="A80" s="53">
        <v>3191311</v>
      </c>
      <c r="B80" s="54" t="s">
        <v>9769</v>
      </c>
      <c r="C80" s="54" t="s">
        <v>9770</v>
      </c>
      <c r="D80" s="54" t="s">
        <v>9771</v>
      </c>
      <c r="E80" s="55">
        <v>45596</v>
      </c>
      <c r="F80" s="53">
        <v>24001488</v>
      </c>
      <c r="G80" s="56" t="s">
        <v>2249</v>
      </c>
      <c r="H80" s="54" t="s">
        <v>10681</v>
      </c>
      <c r="I80" s="58">
        <v>111.74</v>
      </c>
      <c r="J80" s="59">
        <v>12</v>
      </c>
      <c r="K80" s="60">
        <v>1340.8799999999999</v>
      </c>
      <c r="L80" s="53" t="s">
        <v>2252</v>
      </c>
      <c r="M80" s="53" t="s">
        <v>2253</v>
      </c>
      <c r="N80" s="53" t="s">
        <v>2254</v>
      </c>
      <c r="O80" s="53" t="s">
        <v>35</v>
      </c>
      <c r="P80" s="53" t="s">
        <v>35</v>
      </c>
      <c r="Q80" s="53" t="s">
        <v>35</v>
      </c>
      <c r="R80" s="53" t="s">
        <v>2255</v>
      </c>
      <c r="S80" s="53" t="s">
        <v>35</v>
      </c>
      <c r="T80" s="53" t="s">
        <v>35</v>
      </c>
      <c r="U80" s="53" t="s">
        <v>2256</v>
      </c>
    </row>
    <row r="81" spans="1:21" x14ac:dyDescent="0.25">
      <c r="A81" s="53">
        <v>3191311</v>
      </c>
      <c r="B81" s="54" t="s">
        <v>9769</v>
      </c>
      <c r="C81" s="54" t="s">
        <v>9770</v>
      </c>
      <c r="D81" s="54" t="s">
        <v>9771</v>
      </c>
      <c r="E81" s="55">
        <v>45596</v>
      </c>
      <c r="F81" s="53">
        <v>24001488</v>
      </c>
      <c r="G81" s="56" t="s">
        <v>392</v>
      </c>
      <c r="H81" s="54" t="s">
        <v>10681</v>
      </c>
      <c r="I81" s="58">
        <v>9.39</v>
      </c>
      <c r="J81" s="59">
        <v>24</v>
      </c>
      <c r="K81" s="60">
        <v>225.36</v>
      </c>
      <c r="L81" s="53" t="s">
        <v>394</v>
      </c>
      <c r="M81" s="53" t="s">
        <v>395</v>
      </c>
      <c r="N81" s="53" t="s">
        <v>396</v>
      </c>
      <c r="O81" s="53" t="s">
        <v>397</v>
      </c>
      <c r="P81" s="53" t="s">
        <v>398</v>
      </c>
      <c r="Q81" s="53" t="s">
        <v>399</v>
      </c>
      <c r="R81" s="53" t="s">
        <v>400</v>
      </c>
      <c r="S81" s="53" t="s">
        <v>401</v>
      </c>
      <c r="T81" s="53" t="s">
        <v>35</v>
      </c>
      <c r="U81" s="53" t="s">
        <v>402</v>
      </c>
    </row>
    <row r="82" spans="1:21" x14ac:dyDescent="0.25">
      <c r="A82" s="53">
        <v>3191311</v>
      </c>
      <c r="B82" s="54" t="s">
        <v>9769</v>
      </c>
      <c r="C82" s="54" t="s">
        <v>9770</v>
      </c>
      <c r="D82" s="54" t="s">
        <v>9771</v>
      </c>
      <c r="E82" s="55">
        <v>45596</v>
      </c>
      <c r="F82" s="53">
        <v>24001488</v>
      </c>
      <c r="G82" s="56" t="s">
        <v>2597</v>
      </c>
      <c r="H82" s="54" t="s">
        <v>10681</v>
      </c>
      <c r="I82" s="58">
        <v>41.22</v>
      </c>
      <c r="J82" s="59">
        <v>12</v>
      </c>
      <c r="K82" s="60">
        <v>494.64</v>
      </c>
      <c r="L82" s="53" t="s">
        <v>2600</v>
      </c>
      <c r="M82" s="53" t="s">
        <v>2601</v>
      </c>
      <c r="N82" s="53" t="s">
        <v>2602</v>
      </c>
      <c r="O82" s="53" t="s">
        <v>2603</v>
      </c>
      <c r="P82" s="53" t="s">
        <v>35</v>
      </c>
      <c r="Q82" s="53" t="s">
        <v>35</v>
      </c>
      <c r="R82" s="53" t="s">
        <v>2604</v>
      </c>
      <c r="S82" s="53" t="s">
        <v>2605</v>
      </c>
      <c r="T82" s="53" t="s">
        <v>35</v>
      </c>
      <c r="U82" s="53" t="s">
        <v>2606</v>
      </c>
    </row>
    <row r="83" spans="1:21" x14ac:dyDescent="0.25">
      <c r="A83" s="53">
        <v>3191311</v>
      </c>
      <c r="B83" s="54" t="s">
        <v>9769</v>
      </c>
      <c r="C83" s="54" t="s">
        <v>9770</v>
      </c>
      <c r="D83" s="54" t="s">
        <v>9771</v>
      </c>
      <c r="E83" s="55">
        <v>45596</v>
      </c>
      <c r="F83" s="53">
        <v>24001488</v>
      </c>
      <c r="G83" s="56" t="s">
        <v>1385</v>
      </c>
      <c r="H83" s="61">
        <v>45658</v>
      </c>
      <c r="I83" s="58">
        <v>27.939999</v>
      </c>
      <c r="J83" s="59">
        <v>12</v>
      </c>
      <c r="K83" s="60">
        <v>335.279988</v>
      </c>
      <c r="L83" s="53" t="s">
        <v>1387</v>
      </c>
      <c r="M83" s="53" t="s">
        <v>1388</v>
      </c>
      <c r="N83" s="53" t="s">
        <v>1389</v>
      </c>
      <c r="O83" s="53" t="s">
        <v>1390</v>
      </c>
      <c r="P83" s="53" t="s">
        <v>1391</v>
      </c>
      <c r="Q83" s="53" t="s">
        <v>1392</v>
      </c>
      <c r="R83" s="53" t="s">
        <v>1393</v>
      </c>
      <c r="S83" s="53" t="s">
        <v>1394</v>
      </c>
      <c r="T83" s="53" t="s">
        <v>35</v>
      </c>
      <c r="U83" s="53" t="s">
        <v>1395</v>
      </c>
    </row>
    <row r="84" spans="1:21" x14ac:dyDescent="0.25">
      <c r="A84" s="53">
        <v>3191311</v>
      </c>
      <c r="B84" s="54" t="s">
        <v>9769</v>
      </c>
      <c r="C84" s="54" t="s">
        <v>9770</v>
      </c>
      <c r="D84" s="54" t="s">
        <v>9771</v>
      </c>
      <c r="E84" s="55">
        <v>45596</v>
      </c>
      <c r="F84" s="53">
        <v>24001488</v>
      </c>
      <c r="G84" s="56" t="s">
        <v>8718</v>
      </c>
      <c r="H84" s="54" t="s">
        <v>10681</v>
      </c>
      <c r="I84" s="58">
        <v>33.44</v>
      </c>
      <c r="J84" s="59">
        <v>48</v>
      </c>
      <c r="K84" s="60">
        <v>1605.12</v>
      </c>
      <c r="L84" s="53" t="s">
        <v>8199</v>
      </c>
      <c r="M84" s="53" t="s">
        <v>8200</v>
      </c>
      <c r="N84" s="53" t="s">
        <v>8201</v>
      </c>
      <c r="O84" s="53" t="s">
        <v>8202</v>
      </c>
      <c r="P84" s="53" t="s">
        <v>8203</v>
      </c>
      <c r="Q84" s="53" t="s">
        <v>8204</v>
      </c>
      <c r="R84" s="53" t="s">
        <v>8205</v>
      </c>
      <c r="S84" s="53" t="s">
        <v>8206</v>
      </c>
      <c r="T84" s="53" t="s">
        <v>35</v>
      </c>
      <c r="U84" s="53" t="s">
        <v>8207</v>
      </c>
    </row>
    <row r="85" spans="1:21" x14ac:dyDescent="0.25">
      <c r="A85" s="53">
        <v>3191311</v>
      </c>
      <c r="B85" s="54" t="s">
        <v>9769</v>
      </c>
      <c r="C85" s="54" t="s">
        <v>9770</v>
      </c>
      <c r="D85" s="54" t="s">
        <v>9771</v>
      </c>
      <c r="E85" s="55">
        <v>45596</v>
      </c>
      <c r="F85" s="53">
        <v>24001488</v>
      </c>
      <c r="G85" s="56" t="s">
        <v>9363</v>
      </c>
      <c r="H85" s="61">
        <v>45658</v>
      </c>
      <c r="I85" s="58">
        <v>77.69</v>
      </c>
      <c r="J85" s="59">
        <v>48</v>
      </c>
      <c r="K85" s="60">
        <v>3729.12</v>
      </c>
      <c r="L85" s="53" t="s">
        <v>9366</v>
      </c>
      <c r="M85" s="53" t="s">
        <v>9367</v>
      </c>
      <c r="N85" s="53" t="s">
        <v>9368</v>
      </c>
      <c r="O85" s="53" t="s">
        <v>9369</v>
      </c>
      <c r="P85" s="53" t="s">
        <v>9370</v>
      </c>
      <c r="Q85" s="53" t="s">
        <v>35</v>
      </c>
      <c r="R85" s="53" t="s">
        <v>9371</v>
      </c>
      <c r="S85" s="53" t="s">
        <v>9372</v>
      </c>
      <c r="T85" s="53" t="s">
        <v>35</v>
      </c>
      <c r="U85" s="53" t="s">
        <v>9373</v>
      </c>
    </row>
    <row r="86" spans="1:21" x14ac:dyDescent="0.25">
      <c r="A86" s="53">
        <v>3191311</v>
      </c>
      <c r="B86" s="54" t="s">
        <v>9769</v>
      </c>
      <c r="C86" s="54" t="s">
        <v>9770</v>
      </c>
      <c r="D86" s="54" t="s">
        <v>9771</v>
      </c>
      <c r="E86" s="55">
        <v>45596</v>
      </c>
      <c r="F86" s="53">
        <v>24001488</v>
      </c>
      <c r="G86" s="56" t="s">
        <v>1578</v>
      </c>
      <c r="H86" s="54" t="s">
        <v>9932</v>
      </c>
      <c r="I86" s="58">
        <v>56.83</v>
      </c>
      <c r="J86" s="59">
        <v>24</v>
      </c>
      <c r="K86" s="60">
        <v>1363.92</v>
      </c>
      <c r="L86" s="53" t="s">
        <v>1580</v>
      </c>
      <c r="M86" s="53" t="s">
        <v>35</v>
      </c>
      <c r="N86" s="53" t="s">
        <v>1581</v>
      </c>
      <c r="O86" s="53" t="s">
        <v>1582</v>
      </c>
      <c r="P86" s="53" t="s">
        <v>1583</v>
      </c>
      <c r="Q86" s="53" t="s">
        <v>1584</v>
      </c>
      <c r="R86" s="53" t="s">
        <v>1585</v>
      </c>
      <c r="S86" s="53" t="s">
        <v>35</v>
      </c>
      <c r="T86" s="53" t="s">
        <v>35</v>
      </c>
      <c r="U86" s="53" t="s">
        <v>35</v>
      </c>
    </row>
    <row r="87" spans="1:21" x14ac:dyDescent="0.25">
      <c r="A87" s="53">
        <v>3191311</v>
      </c>
      <c r="B87" s="54" t="s">
        <v>9769</v>
      </c>
      <c r="C87" s="54" t="s">
        <v>9770</v>
      </c>
      <c r="D87" s="54" t="s">
        <v>9771</v>
      </c>
      <c r="E87" s="55">
        <v>45596</v>
      </c>
      <c r="F87" s="53">
        <v>24001488</v>
      </c>
      <c r="G87" s="56" t="s">
        <v>1630</v>
      </c>
      <c r="H87" s="54" t="s">
        <v>10681</v>
      </c>
      <c r="I87" s="58">
        <v>56.699998999999998</v>
      </c>
      <c r="J87" s="59">
        <v>24</v>
      </c>
      <c r="K87" s="60">
        <v>1360.799976</v>
      </c>
      <c r="L87" s="53" t="s">
        <v>35</v>
      </c>
      <c r="M87" s="53" t="s">
        <v>1634</v>
      </c>
      <c r="N87" s="53" t="s">
        <v>35</v>
      </c>
      <c r="O87" s="53" t="s">
        <v>1635</v>
      </c>
      <c r="P87" s="53" t="s">
        <v>1636</v>
      </c>
      <c r="Q87" s="53" t="s">
        <v>35</v>
      </c>
      <c r="R87" s="53" t="s">
        <v>1637</v>
      </c>
      <c r="S87" s="53" t="s">
        <v>35</v>
      </c>
      <c r="T87" s="53" t="s">
        <v>1638</v>
      </c>
      <c r="U87" s="53" t="s">
        <v>35</v>
      </c>
    </row>
    <row r="88" spans="1:21" x14ac:dyDescent="0.25">
      <c r="A88" s="53">
        <v>3191311</v>
      </c>
      <c r="B88" s="54" t="s">
        <v>9769</v>
      </c>
      <c r="C88" s="54" t="s">
        <v>9770</v>
      </c>
      <c r="D88" s="54" t="s">
        <v>9771</v>
      </c>
      <c r="E88" s="55">
        <v>45596</v>
      </c>
      <c r="F88" s="53">
        <v>24001488</v>
      </c>
      <c r="G88" s="56" t="s">
        <v>746</v>
      </c>
      <c r="H88" s="54" t="s">
        <v>10681</v>
      </c>
      <c r="I88" s="58">
        <v>32.54</v>
      </c>
      <c r="J88" s="59">
        <v>24</v>
      </c>
      <c r="K88" s="60">
        <v>780.96</v>
      </c>
      <c r="L88" s="53" t="s">
        <v>748</v>
      </c>
      <c r="M88" s="53" t="s">
        <v>749</v>
      </c>
      <c r="N88" s="53" t="s">
        <v>750</v>
      </c>
      <c r="O88" s="53" t="s">
        <v>751</v>
      </c>
      <c r="P88" s="53" t="s">
        <v>752</v>
      </c>
      <c r="Q88" s="53" t="s">
        <v>753</v>
      </c>
      <c r="R88" s="53" t="s">
        <v>754</v>
      </c>
      <c r="S88" s="53" t="s">
        <v>755</v>
      </c>
      <c r="T88" s="53" t="s">
        <v>35</v>
      </c>
      <c r="U88" s="53" t="s">
        <v>35</v>
      </c>
    </row>
    <row r="89" spans="1:21" x14ac:dyDescent="0.25">
      <c r="A89" s="53">
        <v>3191311</v>
      </c>
      <c r="B89" s="54" t="s">
        <v>9769</v>
      </c>
      <c r="C89" s="54" t="s">
        <v>9770</v>
      </c>
      <c r="D89" s="54" t="s">
        <v>9771</v>
      </c>
      <c r="E89" s="55">
        <v>45596</v>
      </c>
      <c r="F89" s="53">
        <v>24001488</v>
      </c>
      <c r="G89" s="56" t="s">
        <v>1682</v>
      </c>
      <c r="H89" s="54" t="s">
        <v>10681</v>
      </c>
      <c r="I89" s="58">
        <v>39.51</v>
      </c>
      <c r="J89" s="59">
        <v>48</v>
      </c>
      <c r="K89" s="60">
        <v>1896.48</v>
      </c>
      <c r="L89" s="53" t="s">
        <v>1684</v>
      </c>
      <c r="M89" s="53" t="s">
        <v>1685</v>
      </c>
      <c r="N89" s="53" t="s">
        <v>1686</v>
      </c>
      <c r="O89" s="53" t="s">
        <v>1687</v>
      </c>
      <c r="P89" s="53" t="s">
        <v>1688</v>
      </c>
      <c r="Q89" s="53" t="s">
        <v>1689</v>
      </c>
      <c r="R89" s="53" t="s">
        <v>1690</v>
      </c>
      <c r="S89" s="53" t="s">
        <v>1691</v>
      </c>
      <c r="T89" s="53" t="s">
        <v>35</v>
      </c>
      <c r="U89" s="53" t="s">
        <v>1692</v>
      </c>
    </row>
    <row r="90" spans="1:21" x14ac:dyDescent="0.25">
      <c r="A90" s="53">
        <v>3191311</v>
      </c>
      <c r="B90" s="54" t="s">
        <v>9769</v>
      </c>
      <c r="C90" s="54" t="s">
        <v>9770</v>
      </c>
      <c r="D90" s="54" t="s">
        <v>9771</v>
      </c>
      <c r="E90" s="55">
        <v>45596</v>
      </c>
      <c r="F90" s="53">
        <v>24001488</v>
      </c>
      <c r="G90" s="56" t="s">
        <v>2929</v>
      </c>
      <c r="H90" s="54" t="s">
        <v>10681</v>
      </c>
      <c r="I90" s="58">
        <v>45.94</v>
      </c>
      <c r="J90" s="59">
        <v>102</v>
      </c>
      <c r="K90" s="60">
        <v>4685.88</v>
      </c>
      <c r="L90" s="53" t="s">
        <v>2932</v>
      </c>
      <c r="M90" s="53" t="s">
        <v>2933</v>
      </c>
      <c r="N90" s="53" t="s">
        <v>35</v>
      </c>
      <c r="O90" s="53" t="s">
        <v>2934</v>
      </c>
      <c r="P90" s="53" t="s">
        <v>35</v>
      </c>
      <c r="Q90" s="53" t="s">
        <v>35</v>
      </c>
      <c r="R90" s="53" t="s">
        <v>2935</v>
      </c>
      <c r="S90" s="53" t="s">
        <v>2936</v>
      </c>
      <c r="T90" s="53" t="s">
        <v>8658</v>
      </c>
      <c r="U90" s="53" t="s">
        <v>35</v>
      </c>
    </row>
    <row r="91" spans="1:21" x14ac:dyDescent="0.25">
      <c r="A91" s="53">
        <v>3191311</v>
      </c>
      <c r="B91" s="54" t="s">
        <v>9769</v>
      </c>
      <c r="C91" s="54" t="s">
        <v>9770</v>
      </c>
      <c r="D91" s="54" t="s">
        <v>9771</v>
      </c>
      <c r="E91" s="55">
        <v>45596</v>
      </c>
      <c r="F91" s="53">
        <v>24001488</v>
      </c>
      <c r="G91" s="56" t="s">
        <v>8015</v>
      </c>
      <c r="H91" s="61">
        <v>45689</v>
      </c>
      <c r="I91" s="58">
        <v>97.72</v>
      </c>
      <c r="J91" s="59">
        <v>50</v>
      </c>
      <c r="K91" s="60">
        <v>4886</v>
      </c>
      <c r="L91" s="53" t="s">
        <v>8018</v>
      </c>
      <c r="M91" s="53" t="s">
        <v>8019</v>
      </c>
      <c r="N91" s="53" t="s">
        <v>8020</v>
      </c>
      <c r="O91" s="53" t="s">
        <v>35</v>
      </c>
      <c r="P91" s="53" t="s">
        <v>35</v>
      </c>
      <c r="Q91" s="53" t="s">
        <v>35</v>
      </c>
      <c r="R91" s="53" t="s">
        <v>35</v>
      </c>
      <c r="S91" s="53" t="s">
        <v>8021</v>
      </c>
      <c r="T91" s="53" t="s">
        <v>35</v>
      </c>
      <c r="U91" s="53" t="s">
        <v>35</v>
      </c>
    </row>
    <row r="92" spans="1:21" x14ac:dyDescent="0.25">
      <c r="A92" s="53">
        <v>3191311</v>
      </c>
      <c r="B92" s="54" t="s">
        <v>9769</v>
      </c>
      <c r="C92" s="54" t="s">
        <v>9770</v>
      </c>
      <c r="D92" s="54" t="s">
        <v>9771</v>
      </c>
      <c r="E92" s="55">
        <v>45596</v>
      </c>
      <c r="F92" s="53">
        <v>24001488</v>
      </c>
      <c r="G92" s="56" t="s">
        <v>7635</v>
      </c>
      <c r="H92" s="61">
        <v>45689</v>
      </c>
      <c r="I92" s="58">
        <v>89.3</v>
      </c>
      <c r="J92" s="59">
        <v>50</v>
      </c>
      <c r="K92" s="60">
        <v>4465</v>
      </c>
      <c r="L92" s="53" t="s">
        <v>7638</v>
      </c>
      <c r="M92" s="53" t="s">
        <v>35</v>
      </c>
      <c r="N92" s="53" t="s">
        <v>35</v>
      </c>
      <c r="O92" s="53" t="s">
        <v>35</v>
      </c>
      <c r="P92" s="53" t="s">
        <v>35</v>
      </c>
      <c r="Q92" s="53" t="s">
        <v>35</v>
      </c>
      <c r="R92" s="53" t="s">
        <v>7639</v>
      </c>
      <c r="S92" s="53" t="s">
        <v>7640</v>
      </c>
      <c r="T92" s="53" t="s">
        <v>35</v>
      </c>
      <c r="U92" s="53" t="s">
        <v>35</v>
      </c>
    </row>
    <row r="93" spans="1:21" x14ac:dyDescent="0.25">
      <c r="A93" s="53">
        <v>3191311</v>
      </c>
      <c r="B93" s="54" t="s">
        <v>9769</v>
      </c>
      <c r="C93" s="54" t="s">
        <v>9770</v>
      </c>
      <c r="D93" s="54" t="s">
        <v>9771</v>
      </c>
      <c r="E93" s="55">
        <v>45596</v>
      </c>
      <c r="F93" s="53">
        <v>24001488</v>
      </c>
      <c r="G93" s="56" t="s">
        <v>10143</v>
      </c>
      <c r="H93" s="61">
        <v>45689</v>
      </c>
      <c r="I93" s="58">
        <v>11.8</v>
      </c>
      <c r="J93" s="59">
        <v>48</v>
      </c>
      <c r="K93" s="60">
        <v>566.40000000000009</v>
      </c>
      <c r="L93" s="53" t="s">
        <v>10145</v>
      </c>
      <c r="M93" s="53" t="s">
        <v>35</v>
      </c>
      <c r="N93" s="53" t="s">
        <v>35</v>
      </c>
      <c r="O93" s="53" t="s">
        <v>35</v>
      </c>
      <c r="P93" s="53" t="s">
        <v>35</v>
      </c>
      <c r="Q93" s="53" t="s">
        <v>35</v>
      </c>
      <c r="R93" s="53" t="s">
        <v>10146</v>
      </c>
      <c r="S93" s="53" t="s">
        <v>10147</v>
      </c>
      <c r="T93" s="53" t="s">
        <v>35</v>
      </c>
      <c r="U93" s="53" t="s">
        <v>10148</v>
      </c>
    </row>
    <row r="94" spans="1:21" x14ac:dyDescent="0.25">
      <c r="A94" s="53">
        <v>3191311</v>
      </c>
      <c r="B94" s="54" t="s">
        <v>9769</v>
      </c>
      <c r="C94" s="54" t="s">
        <v>9770</v>
      </c>
      <c r="D94" s="54" t="s">
        <v>9771</v>
      </c>
      <c r="E94" s="55">
        <v>45596</v>
      </c>
      <c r="F94" s="53">
        <v>24001488</v>
      </c>
      <c r="G94" s="56" t="s">
        <v>2869</v>
      </c>
      <c r="H94" s="54" t="s">
        <v>10681</v>
      </c>
      <c r="I94" s="58">
        <v>50.07</v>
      </c>
      <c r="J94" s="59">
        <v>48</v>
      </c>
      <c r="K94" s="60">
        <v>2403.36</v>
      </c>
      <c r="L94" s="53" t="s">
        <v>2871</v>
      </c>
      <c r="M94" s="53" t="s">
        <v>2872</v>
      </c>
      <c r="N94" s="53" t="s">
        <v>2873</v>
      </c>
      <c r="O94" s="53" t="s">
        <v>35</v>
      </c>
      <c r="P94" s="53" t="s">
        <v>35</v>
      </c>
      <c r="Q94" s="53" t="s">
        <v>35</v>
      </c>
      <c r="R94" s="53" t="s">
        <v>2874</v>
      </c>
      <c r="S94" s="53" t="s">
        <v>35</v>
      </c>
      <c r="T94" s="53" t="s">
        <v>35</v>
      </c>
      <c r="U94" s="53" t="s">
        <v>35</v>
      </c>
    </row>
    <row r="95" spans="1:21" x14ac:dyDescent="0.25">
      <c r="A95" s="53">
        <v>3191311</v>
      </c>
      <c r="B95" s="54" t="s">
        <v>9769</v>
      </c>
      <c r="C95" s="54" t="s">
        <v>9770</v>
      </c>
      <c r="D95" s="54" t="s">
        <v>9771</v>
      </c>
      <c r="E95" s="55">
        <v>45596</v>
      </c>
      <c r="F95" s="53">
        <v>24001488</v>
      </c>
      <c r="G95" s="56" t="s">
        <v>2782</v>
      </c>
      <c r="H95" s="54" t="s">
        <v>10681</v>
      </c>
      <c r="I95" s="58">
        <v>41.39</v>
      </c>
      <c r="J95" s="59">
        <v>48</v>
      </c>
      <c r="K95" s="60">
        <v>1986.72</v>
      </c>
      <c r="L95" s="53" t="s">
        <v>2785</v>
      </c>
      <c r="M95" s="53" t="s">
        <v>2786</v>
      </c>
      <c r="N95" s="53" t="s">
        <v>35</v>
      </c>
      <c r="O95" s="53" t="s">
        <v>2787</v>
      </c>
      <c r="P95" s="53" t="s">
        <v>2788</v>
      </c>
      <c r="Q95" s="53" t="s">
        <v>35</v>
      </c>
      <c r="R95" s="53" t="s">
        <v>2789</v>
      </c>
      <c r="S95" s="53" t="s">
        <v>2790</v>
      </c>
      <c r="T95" s="53" t="s">
        <v>35</v>
      </c>
      <c r="U95" s="53" t="s">
        <v>35</v>
      </c>
    </row>
    <row r="96" spans="1:21" x14ac:dyDescent="0.25">
      <c r="A96" s="53">
        <v>3191311</v>
      </c>
      <c r="B96" s="54" t="s">
        <v>9769</v>
      </c>
      <c r="C96" s="54" t="s">
        <v>9770</v>
      </c>
      <c r="D96" s="54" t="s">
        <v>9771</v>
      </c>
      <c r="E96" s="55">
        <v>45596</v>
      </c>
      <c r="F96" s="53">
        <v>24001488</v>
      </c>
      <c r="G96" s="56" t="s">
        <v>9840</v>
      </c>
      <c r="H96" s="61">
        <v>45689</v>
      </c>
      <c r="I96" s="58">
        <v>36.11</v>
      </c>
      <c r="J96" s="59">
        <v>12</v>
      </c>
      <c r="K96" s="60">
        <v>433.32</v>
      </c>
      <c r="L96" s="53" t="s">
        <v>9842</v>
      </c>
      <c r="M96" s="53" t="s">
        <v>9843</v>
      </c>
      <c r="N96" s="53" t="s">
        <v>9844</v>
      </c>
      <c r="O96" s="53" t="s">
        <v>9845</v>
      </c>
      <c r="P96" s="53" t="s">
        <v>9846</v>
      </c>
      <c r="Q96" s="53" t="s">
        <v>9847</v>
      </c>
      <c r="R96" s="53" t="s">
        <v>9848</v>
      </c>
      <c r="S96" s="53" t="s">
        <v>9849</v>
      </c>
      <c r="T96" s="53" t="s">
        <v>35</v>
      </c>
      <c r="U96" s="53" t="s">
        <v>9850</v>
      </c>
    </row>
    <row r="97" spans="1:21" x14ac:dyDescent="0.25">
      <c r="A97" s="53">
        <v>3191311</v>
      </c>
      <c r="B97" s="54" t="s">
        <v>9769</v>
      </c>
      <c r="C97" s="54" t="s">
        <v>9770</v>
      </c>
      <c r="D97" s="54" t="s">
        <v>9771</v>
      </c>
      <c r="E97" s="55">
        <v>45596</v>
      </c>
      <c r="F97" s="53">
        <v>24001488</v>
      </c>
      <c r="G97" s="56" t="s">
        <v>8599</v>
      </c>
      <c r="H97" s="57">
        <v>45624</v>
      </c>
      <c r="I97" s="58">
        <v>17.39</v>
      </c>
      <c r="J97" s="59">
        <v>50</v>
      </c>
      <c r="K97" s="60">
        <v>869.5</v>
      </c>
      <c r="L97" s="53" t="s">
        <v>10683</v>
      </c>
      <c r="M97" s="53" t="s">
        <v>35</v>
      </c>
      <c r="N97" s="53" t="s">
        <v>8603</v>
      </c>
      <c r="O97" s="53" t="s">
        <v>35</v>
      </c>
      <c r="P97" s="53" t="s">
        <v>35</v>
      </c>
      <c r="Q97" s="53" t="s">
        <v>8604</v>
      </c>
      <c r="R97" s="53" t="s">
        <v>35</v>
      </c>
      <c r="S97" s="53" t="s">
        <v>205</v>
      </c>
      <c r="T97" s="53" t="s">
        <v>35</v>
      </c>
      <c r="U97" s="53" t="s">
        <v>35</v>
      </c>
    </row>
    <row r="98" spans="1:21" x14ac:dyDescent="0.25">
      <c r="A98" s="53">
        <v>3191311</v>
      </c>
      <c r="B98" s="54" t="s">
        <v>9769</v>
      </c>
      <c r="C98" s="54" t="s">
        <v>9770</v>
      </c>
      <c r="D98" s="54" t="s">
        <v>9771</v>
      </c>
      <c r="E98" s="55">
        <v>45596</v>
      </c>
      <c r="F98" s="53">
        <v>24001488</v>
      </c>
      <c r="G98" s="56" t="s">
        <v>1043</v>
      </c>
      <c r="H98" s="57">
        <v>45612</v>
      </c>
      <c r="I98" s="58">
        <v>77.14</v>
      </c>
      <c r="J98" s="59">
        <v>102</v>
      </c>
      <c r="K98" s="60">
        <v>7868.28</v>
      </c>
      <c r="L98" s="53" t="s">
        <v>1046</v>
      </c>
      <c r="M98" s="53" t="s">
        <v>1047</v>
      </c>
      <c r="N98" s="53" t="s">
        <v>1048</v>
      </c>
      <c r="O98" s="53" t="s">
        <v>1049</v>
      </c>
      <c r="P98" s="53" t="s">
        <v>35</v>
      </c>
      <c r="Q98" s="53" t="s">
        <v>35</v>
      </c>
      <c r="R98" s="53" t="s">
        <v>1050</v>
      </c>
      <c r="S98" s="53" t="s">
        <v>1051</v>
      </c>
      <c r="T98" s="53" t="s">
        <v>35</v>
      </c>
      <c r="U98" s="53" t="s">
        <v>1052</v>
      </c>
    </row>
    <row r="99" spans="1:21" x14ac:dyDescent="0.25">
      <c r="A99" s="53">
        <v>3191311</v>
      </c>
      <c r="B99" s="54" t="s">
        <v>9769</v>
      </c>
      <c r="C99" s="54" t="s">
        <v>9770</v>
      </c>
      <c r="D99" s="54" t="s">
        <v>9771</v>
      </c>
      <c r="E99" s="55">
        <v>45596</v>
      </c>
      <c r="F99" s="53">
        <v>24001488</v>
      </c>
      <c r="G99" s="56" t="s">
        <v>1619</v>
      </c>
      <c r="H99" s="54" t="s">
        <v>10681</v>
      </c>
      <c r="I99" s="58">
        <v>31.75</v>
      </c>
      <c r="J99" s="59">
        <v>48</v>
      </c>
      <c r="K99" s="60">
        <v>1524</v>
      </c>
      <c r="L99" s="53" t="s">
        <v>1623</v>
      </c>
      <c r="M99" s="53" t="s">
        <v>1624</v>
      </c>
      <c r="N99" s="53" t="s">
        <v>35</v>
      </c>
      <c r="O99" s="53" t="s">
        <v>1625</v>
      </c>
      <c r="P99" s="53" t="s">
        <v>35</v>
      </c>
      <c r="Q99" s="53" t="s">
        <v>1626</v>
      </c>
      <c r="R99" s="53" t="s">
        <v>1627</v>
      </c>
      <c r="S99" s="53" t="s">
        <v>1628</v>
      </c>
      <c r="T99" s="53" t="s">
        <v>1629</v>
      </c>
      <c r="U99" s="53" t="s">
        <v>10684</v>
      </c>
    </row>
    <row r="100" spans="1:21" x14ac:dyDescent="0.25">
      <c r="A100" s="53">
        <v>3191311</v>
      </c>
      <c r="B100" s="54" t="s">
        <v>9769</v>
      </c>
      <c r="C100" s="54" t="s">
        <v>9770</v>
      </c>
      <c r="D100" s="54" t="s">
        <v>9771</v>
      </c>
      <c r="E100" s="55">
        <v>45596</v>
      </c>
      <c r="F100" s="53">
        <v>24001488</v>
      </c>
      <c r="G100" s="56" t="s">
        <v>2149</v>
      </c>
      <c r="H100" s="54" t="s">
        <v>10681</v>
      </c>
      <c r="I100" s="58">
        <v>16.62</v>
      </c>
      <c r="J100" s="59">
        <v>102</v>
      </c>
      <c r="K100" s="60">
        <v>1695.24</v>
      </c>
      <c r="L100" s="53" t="s">
        <v>2152</v>
      </c>
      <c r="M100" s="53" t="s">
        <v>2153</v>
      </c>
      <c r="N100" s="53" t="s">
        <v>35</v>
      </c>
      <c r="O100" s="53" t="s">
        <v>2154</v>
      </c>
      <c r="P100" s="53" t="s">
        <v>2155</v>
      </c>
      <c r="Q100" s="53" t="s">
        <v>2156</v>
      </c>
      <c r="R100" s="53" t="s">
        <v>2157</v>
      </c>
      <c r="S100" s="53" t="s">
        <v>35</v>
      </c>
      <c r="T100" s="53" t="s">
        <v>35</v>
      </c>
      <c r="U100" s="53" t="s">
        <v>35</v>
      </c>
    </row>
    <row r="101" spans="1:21" x14ac:dyDescent="0.25">
      <c r="A101" s="53">
        <v>3191311</v>
      </c>
      <c r="B101" s="54" t="s">
        <v>9769</v>
      </c>
      <c r="C101" s="54" t="s">
        <v>9770</v>
      </c>
      <c r="D101" s="54" t="s">
        <v>9771</v>
      </c>
      <c r="E101" s="55">
        <v>45596</v>
      </c>
      <c r="F101" s="53">
        <v>24001488</v>
      </c>
      <c r="G101" s="56" t="s">
        <v>2976</v>
      </c>
      <c r="H101" s="54" t="s">
        <v>10681</v>
      </c>
      <c r="I101" s="58">
        <v>44.44</v>
      </c>
      <c r="J101" s="59">
        <v>102</v>
      </c>
      <c r="K101" s="60">
        <v>4532.88</v>
      </c>
      <c r="L101" s="53" t="s">
        <v>2979</v>
      </c>
      <c r="M101" s="53" t="s">
        <v>35</v>
      </c>
      <c r="N101" s="53" t="s">
        <v>35</v>
      </c>
      <c r="O101" s="53" t="s">
        <v>35</v>
      </c>
      <c r="P101" s="53" t="s">
        <v>35</v>
      </c>
      <c r="Q101" s="53" t="s">
        <v>35</v>
      </c>
      <c r="R101" s="53" t="s">
        <v>35</v>
      </c>
      <c r="S101" s="53" t="s">
        <v>35</v>
      </c>
      <c r="T101" s="53" t="s">
        <v>2980</v>
      </c>
      <c r="U101" s="53" t="s">
        <v>35</v>
      </c>
    </row>
    <row r="102" spans="1:21" x14ac:dyDescent="0.25">
      <c r="A102" s="53">
        <v>3191311</v>
      </c>
      <c r="B102" s="54" t="s">
        <v>9769</v>
      </c>
      <c r="C102" s="54" t="s">
        <v>9770</v>
      </c>
      <c r="D102" s="54" t="s">
        <v>9771</v>
      </c>
      <c r="E102" s="55">
        <v>45596</v>
      </c>
      <c r="F102" s="53">
        <v>24001488</v>
      </c>
      <c r="G102" s="56" t="s">
        <v>9112</v>
      </c>
      <c r="H102" s="61">
        <v>45658</v>
      </c>
      <c r="I102" s="58">
        <v>23.3</v>
      </c>
      <c r="J102" s="59">
        <v>54</v>
      </c>
      <c r="K102" s="60">
        <v>1258.2</v>
      </c>
      <c r="L102" s="53" t="s">
        <v>9115</v>
      </c>
      <c r="M102" s="53" t="s">
        <v>9116</v>
      </c>
      <c r="N102" s="53" t="s">
        <v>1332</v>
      </c>
      <c r="O102" s="53" t="s">
        <v>1333</v>
      </c>
      <c r="P102" s="53" t="s">
        <v>1334</v>
      </c>
      <c r="Q102" s="53" t="s">
        <v>1275</v>
      </c>
      <c r="R102" s="53" t="s">
        <v>1335</v>
      </c>
      <c r="S102" s="53" t="s">
        <v>9117</v>
      </c>
      <c r="T102" s="53" t="s">
        <v>35</v>
      </c>
      <c r="U102" s="53" t="s">
        <v>35</v>
      </c>
    </row>
  </sheetData>
  <autoFilter ref="A1:U37" xr:uid="{D8DF7E57-154F-4B20-B822-8BAD03FD9852}">
    <sortState xmlns:xlrd2="http://schemas.microsoft.com/office/spreadsheetml/2017/richdata2" ref="A5:U37">
      <sortCondition ref="G1:G37"/>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1FDA-E049-4DDB-B99E-ED08907146DC}">
  <dimension ref="A2:A29"/>
  <sheetViews>
    <sheetView workbookViewId="0">
      <selection activeCell="A14" sqref="A14:XFD15"/>
    </sheetView>
  </sheetViews>
  <sheetFormatPr defaultColWidth="8.75" defaultRowHeight="15.75" x14ac:dyDescent="0.25"/>
  <sheetData>
    <row r="2" spans="1:1" x14ac:dyDescent="0.25">
      <c r="A2">
        <v>1</v>
      </c>
    </row>
    <row r="3" spans="1:1" x14ac:dyDescent="0.25">
      <c r="A3" s="20" t="s">
        <v>41</v>
      </c>
    </row>
    <row r="4" spans="1:1" x14ac:dyDescent="0.25">
      <c r="A4" s="20" t="s">
        <v>247</v>
      </c>
    </row>
    <row r="5" spans="1:1" x14ac:dyDescent="0.25">
      <c r="A5" s="20" t="s">
        <v>559</v>
      </c>
    </row>
    <row r="6" spans="1:1" x14ac:dyDescent="0.25">
      <c r="A6" s="20" t="s">
        <v>1043</v>
      </c>
    </row>
    <row r="7" spans="1:1" x14ac:dyDescent="0.25">
      <c r="A7" s="20" t="s">
        <v>1327</v>
      </c>
    </row>
    <row r="8" spans="1:1" x14ac:dyDescent="0.25">
      <c r="A8" s="20" t="s">
        <v>1364</v>
      </c>
    </row>
    <row r="9" spans="1:1" x14ac:dyDescent="0.25">
      <c r="A9" s="20" t="s">
        <v>1524</v>
      </c>
    </row>
    <row r="10" spans="1:1" x14ac:dyDescent="0.25">
      <c r="A10" s="20" t="s">
        <v>2071</v>
      </c>
    </row>
    <row r="11" spans="1:1" x14ac:dyDescent="0.25">
      <c r="A11" s="20" t="s">
        <v>2384</v>
      </c>
    </row>
    <row r="12" spans="1:1" x14ac:dyDescent="0.25">
      <c r="A12" s="20" t="s">
        <v>2771</v>
      </c>
    </row>
    <row r="13" spans="1:1" x14ac:dyDescent="0.25">
      <c r="A13" s="20" t="s">
        <v>2869</v>
      </c>
    </row>
    <row r="14" spans="1:1" x14ac:dyDescent="0.25">
      <c r="A14" s="20" t="s">
        <v>2883</v>
      </c>
    </row>
    <row r="15" spans="1:1" x14ac:dyDescent="0.25">
      <c r="A15" s="20" t="s">
        <v>2883</v>
      </c>
    </row>
    <row r="16" spans="1:1" x14ac:dyDescent="0.25">
      <c r="A16" s="20" t="s">
        <v>2889</v>
      </c>
    </row>
    <row r="17" spans="1:1" x14ac:dyDescent="0.25">
      <c r="A17" s="20" t="s">
        <v>2906</v>
      </c>
    </row>
    <row r="18" spans="1:1" x14ac:dyDescent="0.25">
      <c r="A18" s="20" t="s">
        <v>2929</v>
      </c>
    </row>
    <row r="19" spans="1:1" x14ac:dyDescent="0.25">
      <c r="A19" s="20" t="s">
        <v>9299</v>
      </c>
    </row>
    <row r="20" spans="1:1" x14ac:dyDescent="0.25">
      <c r="A20" s="20" t="s">
        <v>9308</v>
      </c>
    </row>
    <row r="21" spans="1:1" x14ac:dyDescent="0.25">
      <c r="A21" s="20" t="s">
        <v>2976</v>
      </c>
    </row>
    <row r="22" spans="1:1" x14ac:dyDescent="0.25">
      <c r="A22" s="20" t="s">
        <v>4689</v>
      </c>
    </row>
    <row r="23" spans="1:1" x14ac:dyDescent="0.25">
      <c r="A23" s="20" t="s">
        <v>4819</v>
      </c>
    </row>
    <row r="24" spans="1:1" x14ac:dyDescent="0.25">
      <c r="A24" s="20" t="s">
        <v>6165</v>
      </c>
    </row>
    <row r="25" spans="1:1" x14ac:dyDescent="0.25">
      <c r="A25" s="20" t="s">
        <v>7493</v>
      </c>
    </row>
    <row r="26" spans="1:1" x14ac:dyDescent="0.25">
      <c r="A26" s="20" t="s">
        <v>7563</v>
      </c>
    </row>
    <row r="27" spans="1:1" x14ac:dyDescent="0.25">
      <c r="A27" s="20" t="s">
        <v>8059</v>
      </c>
    </row>
    <row r="28" spans="1:1" x14ac:dyDescent="0.25">
      <c r="A28" s="20" t="s">
        <v>8061</v>
      </c>
    </row>
    <row r="29" spans="1:1" x14ac:dyDescent="0.25">
      <c r="A29" s="20" t="s">
        <v>8098</v>
      </c>
    </row>
  </sheetData>
  <autoFilter ref="A2:A29" xr:uid="{5DAC1FDA-E049-4DDB-B99E-ED08907146DC}">
    <sortState xmlns:xlrd2="http://schemas.microsoft.com/office/spreadsheetml/2017/richdata2" ref="A3:A29">
      <sortCondition ref="A2:A29"/>
    </sortState>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
  <sheetViews>
    <sheetView workbookViewId="0">
      <pane xSplit="1" ySplit="1" topLeftCell="B9" activePane="bottomRight" state="frozen"/>
      <selection pane="topRight" activeCell="B1" sqref="B1"/>
      <selection pane="bottomLeft" activeCell="A2" sqref="A2"/>
      <selection pane="bottomRight" activeCell="B15" sqref="B15"/>
    </sheetView>
  </sheetViews>
  <sheetFormatPr defaultColWidth="8.75" defaultRowHeight="15.75" x14ac:dyDescent="0.25"/>
  <cols>
    <col min="1" max="1" width="10.75" customWidth="1"/>
    <col min="2" max="2" width="7.5" customWidth="1"/>
    <col min="3" max="3" width="84.75" customWidth="1"/>
    <col min="4" max="9" width="10.5" customWidth="1"/>
    <col min="10" max="10" width="10.25" customWidth="1"/>
    <col min="12" max="12" width="9.75" customWidth="1"/>
    <col min="13" max="15" width="9.625" customWidth="1"/>
  </cols>
  <sheetData>
    <row r="1" spans="1:10" ht="38.25" x14ac:dyDescent="0.25">
      <c r="A1" s="5" t="s">
        <v>4</v>
      </c>
      <c r="B1" s="5" t="s">
        <v>8</v>
      </c>
      <c r="C1" s="5" t="s">
        <v>9783</v>
      </c>
      <c r="D1" s="5" t="s">
        <v>21</v>
      </c>
      <c r="E1" s="5" t="s">
        <v>22</v>
      </c>
      <c r="F1" s="5" t="s">
        <v>23</v>
      </c>
      <c r="G1" s="5" t="s">
        <v>28</v>
      </c>
      <c r="H1" s="5" t="s">
        <v>29</v>
      </c>
      <c r="I1" s="5" t="s">
        <v>30</v>
      </c>
      <c r="J1" s="62" t="s">
        <v>10539</v>
      </c>
    </row>
    <row r="2" spans="1:10" x14ac:dyDescent="0.25">
      <c r="A2" s="10" t="s">
        <v>2011</v>
      </c>
      <c r="B2" s="9" t="s">
        <v>35</v>
      </c>
      <c r="C2" s="16" t="s">
        <v>2012</v>
      </c>
      <c r="D2" s="17" t="s">
        <v>10545</v>
      </c>
      <c r="E2" s="17" t="s">
        <v>10546</v>
      </c>
      <c r="F2" s="17" t="s">
        <v>10547</v>
      </c>
      <c r="G2" s="17" t="s">
        <v>35</v>
      </c>
      <c r="H2" s="17" t="s">
        <v>35</v>
      </c>
      <c r="I2" s="17" t="s">
        <v>35</v>
      </c>
      <c r="J2" s="50">
        <v>16.66</v>
      </c>
    </row>
    <row r="3" spans="1:10" ht="25.5" x14ac:dyDescent="0.25">
      <c r="A3" s="10" t="s">
        <v>10549</v>
      </c>
      <c r="B3" s="9" t="s">
        <v>35</v>
      </c>
      <c r="C3" s="16" t="s">
        <v>2378</v>
      </c>
      <c r="D3" s="17" t="s">
        <v>10550</v>
      </c>
      <c r="E3" s="17" t="s">
        <v>10551</v>
      </c>
      <c r="F3" s="17" t="s">
        <v>10552</v>
      </c>
      <c r="G3" s="17" t="s">
        <v>35</v>
      </c>
      <c r="H3" s="17" t="s">
        <v>35</v>
      </c>
      <c r="I3" s="17" t="s">
        <v>35</v>
      </c>
      <c r="J3" s="50">
        <v>31.52</v>
      </c>
    </row>
    <row r="4" spans="1:10" x14ac:dyDescent="0.25">
      <c r="A4" s="10" t="s">
        <v>10554</v>
      </c>
      <c r="B4" s="9" t="s">
        <v>35</v>
      </c>
      <c r="C4" s="16" t="s">
        <v>10555</v>
      </c>
      <c r="D4" s="17" t="s">
        <v>10557</v>
      </c>
      <c r="E4" s="17" t="s">
        <v>10558</v>
      </c>
      <c r="F4" s="17" t="s">
        <v>10559</v>
      </c>
      <c r="G4" s="17" t="s">
        <v>10564</v>
      </c>
      <c r="H4" s="17" t="s">
        <v>10565</v>
      </c>
      <c r="I4" s="17" t="s">
        <v>10566</v>
      </c>
      <c r="J4" s="50">
        <v>34.69</v>
      </c>
    </row>
    <row r="5" spans="1:10" x14ac:dyDescent="0.25">
      <c r="A5" s="10" t="s">
        <v>10567</v>
      </c>
      <c r="B5" s="9" t="s">
        <v>35</v>
      </c>
      <c r="C5" s="16" t="s">
        <v>10568</v>
      </c>
      <c r="D5" s="17" t="s">
        <v>10569</v>
      </c>
      <c r="E5" s="17" t="s">
        <v>10570</v>
      </c>
      <c r="F5" s="17" t="s">
        <v>35</v>
      </c>
      <c r="G5" s="17" t="s">
        <v>10571</v>
      </c>
      <c r="H5" s="17" t="s">
        <v>35</v>
      </c>
      <c r="I5" s="17" t="s">
        <v>10572</v>
      </c>
      <c r="J5" s="50">
        <v>49.5</v>
      </c>
    </row>
    <row r="6" spans="1:10" x14ac:dyDescent="0.25">
      <c r="A6" s="10" t="s">
        <v>10573</v>
      </c>
      <c r="B6" s="9" t="s">
        <v>35</v>
      </c>
      <c r="C6" s="16" t="s">
        <v>10574</v>
      </c>
      <c r="D6" s="17" t="s">
        <v>35</v>
      </c>
      <c r="E6" s="17" t="s">
        <v>10575</v>
      </c>
      <c r="F6" s="17" t="s">
        <v>35</v>
      </c>
      <c r="G6" s="17" t="s">
        <v>10577</v>
      </c>
      <c r="H6" s="17" t="s">
        <v>35</v>
      </c>
      <c r="I6" s="17" t="s">
        <v>10578</v>
      </c>
      <c r="J6" s="50">
        <v>137.46</v>
      </c>
    </row>
    <row r="7" spans="1:10" x14ac:dyDescent="0.25">
      <c r="A7" s="10" t="s">
        <v>10579</v>
      </c>
      <c r="B7" s="9" t="s">
        <v>35</v>
      </c>
      <c r="C7" s="16" t="s">
        <v>2731</v>
      </c>
      <c r="D7" s="17" t="s">
        <v>2732</v>
      </c>
      <c r="E7" s="17" t="s">
        <v>2733</v>
      </c>
      <c r="F7" s="17" t="s">
        <v>10580</v>
      </c>
      <c r="G7" s="17" t="s">
        <v>10581</v>
      </c>
      <c r="H7" s="17" t="s">
        <v>35</v>
      </c>
      <c r="I7" s="17" t="s">
        <v>10582</v>
      </c>
      <c r="J7" s="50">
        <v>38.47</v>
      </c>
    </row>
    <row r="8" spans="1:10" ht="25.5" x14ac:dyDescent="0.25">
      <c r="A8" s="10" t="s">
        <v>10583</v>
      </c>
      <c r="B8" s="9">
        <v>0</v>
      </c>
      <c r="C8" s="16" t="s">
        <v>10584</v>
      </c>
      <c r="D8" s="17" t="s">
        <v>35</v>
      </c>
      <c r="E8" s="17" t="s">
        <v>35</v>
      </c>
      <c r="F8" s="17" t="s">
        <v>35</v>
      </c>
      <c r="G8" s="17" t="s">
        <v>35</v>
      </c>
      <c r="H8" s="17" t="s">
        <v>10587</v>
      </c>
      <c r="I8" s="17" t="s">
        <v>35</v>
      </c>
      <c r="J8" s="50">
        <v>29.06</v>
      </c>
    </row>
    <row r="9" spans="1:10" x14ac:dyDescent="0.25">
      <c r="A9" s="10" t="s">
        <v>10588</v>
      </c>
      <c r="B9" s="9" t="s">
        <v>122</v>
      </c>
      <c r="C9" s="16" t="s">
        <v>10589</v>
      </c>
      <c r="D9" s="17" t="s">
        <v>35</v>
      </c>
      <c r="E9" s="17" t="s">
        <v>35</v>
      </c>
      <c r="F9" s="17" t="s">
        <v>35</v>
      </c>
      <c r="G9" s="17" t="s">
        <v>35</v>
      </c>
      <c r="H9" s="17" t="s">
        <v>35</v>
      </c>
      <c r="I9" s="17" t="s">
        <v>35</v>
      </c>
      <c r="J9" s="50">
        <v>97.93</v>
      </c>
    </row>
    <row r="10" spans="1:10" x14ac:dyDescent="0.25">
      <c r="A10" s="10" t="s">
        <v>10590</v>
      </c>
      <c r="B10" s="9" t="s">
        <v>35</v>
      </c>
      <c r="C10" s="16" t="s">
        <v>10591</v>
      </c>
      <c r="D10" s="17" t="s">
        <v>35</v>
      </c>
      <c r="E10" s="17" t="s">
        <v>10592</v>
      </c>
      <c r="F10" s="17" t="s">
        <v>35</v>
      </c>
      <c r="G10" s="17" t="s">
        <v>10594</v>
      </c>
      <c r="H10" s="17" t="s">
        <v>35</v>
      </c>
      <c r="I10" s="17" t="s">
        <v>10595</v>
      </c>
      <c r="J10" s="50">
        <v>400.53</v>
      </c>
    </row>
    <row r="11" spans="1:10" x14ac:dyDescent="0.25">
      <c r="A11" s="10" t="s">
        <v>10596</v>
      </c>
      <c r="B11" s="9" t="s">
        <v>35</v>
      </c>
      <c r="C11" s="16" t="s">
        <v>10597</v>
      </c>
      <c r="D11" s="17" t="s">
        <v>10598</v>
      </c>
      <c r="E11" s="17" t="s">
        <v>10599</v>
      </c>
      <c r="F11" s="17" t="s">
        <v>10600</v>
      </c>
      <c r="G11" s="17" t="s">
        <v>10601</v>
      </c>
      <c r="H11" s="17" t="s">
        <v>35</v>
      </c>
      <c r="I11" s="17" t="s">
        <v>10602</v>
      </c>
      <c r="J11" s="50">
        <v>253.91</v>
      </c>
    </row>
    <row r="12" spans="1:10" x14ac:dyDescent="0.25">
      <c r="A12" s="10" t="s">
        <v>10603</v>
      </c>
      <c r="B12" s="9" t="s">
        <v>35</v>
      </c>
      <c r="C12" s="16" t="s">
        <v>10591</v>
      </c>
      <c r="D12" s="17" t="s">
        <v>35</v>
      </c>
      <c r="E12" s="17" t="s">
        <v>35</v>
      </c>
      <c r="F12" s="17" t="s">
        <v>35</v>
      </c>
      <c r="G12" s="17" t="s">
        <v>10604</v>
      </c>
      <c r="H12" s="17" t="s">
        <v>35</v>
      </c>
      <c r="I12" s="17" t="s">
        <v>10605</v>
      </c>
      <c r="J12" s="50">
        <v>300.44</v>
      </c>
    </row>
    <row r="13" spans="1:10" x14ac:dyDescent="0.25">
      <c r="A13" s="10" t="s">
        <v>10606</v>
      </c>
      <c r="B13" s="9" t="s">
        <v>35</v>
      </c>
      <c r="C13" s="16" t="s">
        <v>10607</v>
      </c>
      <c r="D13" s="17" t="s">
        <v>10609</v>
      </c>
      <c r="E13" s="17" t="s">
        <v>35</v>
      </c>
      <c r="F13" s="17" t="s">
        <v>35</v>
      </c>
      <c r="G13" s="17" t="s">
        <v>35</v>
      </c>
      <c r="H13" s="17" t="s">
        <v>35</v>
      </c>
      <c r="I13" s="17" t="s">
        <v>35</v>
      </c>
      <c r="J13" s="50">
        <v>54.17</v>
      </c>
    </row>
    <row r="14" spans="1:10" x14ac:dyDescent="0.25">
      <c r="A14" s="10" t="s">
        <v>10611</v>
      </c>
      <c r="B14" s="9" t="s">
        <v>35</v>
      </c>
      <c r="C14" s="16" t="s">
        <v>10612</v>
      </c>
      <c r="D14" s="17" t="s">
        <v>10614</v>
      </c>
      <c r="E14" s="17" t="s">
        <v>35</v>
      </c>
      <c r="F14" s="17" t="s">
        <v>35</v>
      </c>
      <c r="G14" s="17" t="s">
        <v>10616</v>
      </c>
      <c r="H14" s="17" t="s">
        <v>35</v>
      </c>
      <c r="I14" s="17" t="s">
        <v>10617</v>
      </c>
      <c r="J14" s="50">
        <v>44.39</v>
      </c>
    </row>
    <row r="15" spans="1:10" x14ac:dyDescent="0.25">
      <c r="A15" s="10" t="s">
        <v>10618</v>
      </c>
      <c r="B15" s="9" t="s">
        <v>35</v>
      </c>
      <c r="C15" s="16" t="s">
        <v>10619</v>
      </c>
      <c r="D15" s="17" t="s">
        <v>10620</v>
      </c>
      <c r="E15" s="17" t="s">
        <v>10621</v>
      </c>
      <c r="F15" s="17" t="s">
        <v>10622</v>
      </c>
      <c r="G15" s="17" t="s">
        <v>35</v>
      </c>
      <c r="H15" s="17" t="s">
        <v>35</v>
      </c>
      <c r="I15" s="17" t="s">
        <v>35</v>
      </c>
      <c r="J15" s="50">
        <v>142.22</v>
      </c>
    </row>
    <row r="16" spans="1:10" x14ac:dyDescent="0.25">
      <c r="A16" s="10" t="s">
        <v>10626</v>
      </c>
      <c r="B16" s="9" t="s">
        <v>35</v>
      </c>
      <c r="C16" s="16" t="s">
        <v>10627</v>
      </c>
      <c r="D16" s="17" t="s">
        <v>10628</v>
      </c>
      <c r="E16" s="17" t="s">
        <v>10629</v>
      </c>
      <c r="F16" s="17" t="s">
        <v>10630</v>
      </c>
      <c r="G16" s="17" t="s">
        <v>35</v>
      </c>
      <c r="H16" s="17" t="s">
        <v>35</v>
      </c>
      <c r="I16" s="17" t="s">
        <v>35</v>
      </c>
      <c r="J16" s="50">
        <v>220.2</v>
      </c>
    </row>
    <row r="17" spans="1:10" x14ac:dyDescent="0.25">
      <c r="A17" s="10" t="s">
        <v>10632</v>
      </c>
      <c r="B17" s="9" t="s">
        <v>35</v>
      </c>
      <c r="C17" s="16" t="s">
        <v>10633</v>
      </c>
      <c r="D17" s="17" t="s">
        <v>35</v>
      </c>
      <c r="E17" s="17" t="s">
        <v>35</v>
      </c>
      <c r="F17" s="17" t="s">
        <v>10634</v>
      </c>
      <c r="G17" s="17" t="s">
        <v>35</v>
      </c>
      <c r="H17" s="17" t="s">
        <v>35</v>
      </c>
      <c r="I17" s="17" t="s">
        <v>35</v>
      </c>
      <c r="J17" s="50">
        <v>22.89</v>
      </c>
    </row>
    <row r="18" spans="1:10" x14ac:dyDescent="0.25">
      <c r="A18" s="10" t="s">
        <v>10637</v>
      </c>
      <c r="B18" s="9" t="s">
        <v>35</v>
      </c>
      <c r="C18" s="16" t="s">
        <v>7459</v>
      </c>
      <c r="D18" s="17" t="s">
        <v>10638</v>
      </c>
      <c r="E18" s="17" t="s">
        <v>35</v>
      </c>
      <c r="F18" s="17" t="s">
        <v>10639</v>
      </c>
      <c r="G18" s="17" t="s">
        <v>35</v>
      </c>
      <c r="H18" s="17" t="s">
        <v>35</v>
      </c>
      <c r="I18" s="17" t="s">
        <v>35</v>
      </c>
      <c r="J18" s="50">
        <v>40.43</v>
      </c>
    </row>
    <row r="19" spans="1:10" x14ac:dyDescent="0.25">
      <c r="A19" s="10" t="s">
        <v>10641</v>
      </c>
      <c r="B19" s="9" t="s">
        <v>35</v>
      </c>
      <c r="C19" s="16" t="s">
        <v>10642</v>
      </c>
      <c r="D19" s="17" t="s">
        <v>10643</v>
      </c>
      <c r="E19" s="17" t="s">
        <v>10644</v>
      </c>
      <c r="F19" s="17" t="s">
        <v>35</v>
      </c>
      <c r="G19" s="17" t="s">
        <v>10647</v>
      </c>
      <c r="H19" s="17" t="s">
        <v>35</v>
      </c>
      <c r="I19" s="17" t="s">
        <v>35</v>
      </c>
      <c r="J19" s="50">
        <v>24.43</v>
      </c>
    </row>
    <row r="20" spans="1:10" x14ac:dyDescent="0.25">
      <c r="A20" s="10" t="s">
        <v>10648</v>
      </c>
      <c r="B20" s="9" t="s">
        <v>35</v>
      </c>
      <c r="C20" s="16" t="s">
        <v>10649</v>
      </c>
      <c r="D20" s="17" t="s">
        <v>10651</v>
      </c>
      <c r="E20" s="17" t="s">
        <v>35</v>
      </c>
      <c r="F20" s="17" t="s">
        <v>35</v>
      </c>
      <c r="G20" s="17" t="s">
        <v>35</v>
      </c>
      <c r="H20" s="17" t="s">
        <v>35</v>
      </c>
      <c r="I20" s="17" t="s">
        <v>35</v>
      </c>
      <c r="J20" s="50">
        <v>19.95</v>
      </c>
    </row>
    <row r="21" spans="1:10" x14ac:dyDescent="0.25">
      <c r="A21" s="10" t="s">
        <v>10652</v>
      </c>
      <c r="B21" s="9" t="s">
        <v>35</v>
      </c>
      <c r="C21" s="16" t="s">
        <v>10653</v>
      </c>
      <c r="D21" s="17" t="s">
        <v>35</v>
      </c>
      <c r="E21" s="17" t="s">
        <v>35</v>
      </c>
      <c r="F21" s="17" t="s">
        <v>35</v>
      </c>
      <c r="G21" s="17" t="s">
        <v>10655</v>
      </c>
      <c r="H21" s="17" t="s">
        <v>35</v>
      </c>
      <c r="I21" s="17" t="s">
        <v>10656</v>
      </c>
      <c r="J21" s="50">
        <v>240.23</v>
      </c>
    </row>
    <row r="22" spans="1:10" x14ac:dyDescent="0.25">
      <c r="A22" s="10" t="s">
        <v>10657</v>
      </c>
      <c r="B22" s="9" t="s">
        <v>35</v>
      </c>
      <c r="C22" s="16" t="s">
        <v>10658</v>
      </c>
      <c r="D22" s="17" t="s">
        <v>35</v>
      </c>
      <c r="E22" s="17" t="s">
        <v>35</v>
      </c>
      <c r="F22" s="17" t="s">
        <v>10659</v>
      </c>
      <c r="G22" s="17" t="s">
        <v>10660</v>
      </c>
      <c r="H22" s="17" t="s">
        <v>10661</v>
      </c>
      <c r="I22" s="17" t="s">
        <v>10662</v>
      </c>
      <c r="J22" s="50">
        <v>76.430000000000007</v>
      </c>
    </row>
    <row r="23" spans="1:10" x14ac:dyDescent="0.25">
      <c r="A23" s="10" t="s">
        <v>10663</v>
      </c>
      <c r="B23" s="9" t="s">
        <v>35</v>
      </c>
      <c r="C23" s="16" t="s">
        <v>10664</v>
      </c>
      <c r="D23" s="17" t="s">
        <v>35</v>
      </c>
      <c r="E23" s="17" t="s">
        <v>35</v>
      </c>
      <c r="F23" s="17" t="s">
        <v>35</v>
      </c>
      <c r="G23" s="17" t="s">
        <v>35</v>
      </c>
      <c r="H23" s="17" t="s">
        <v>35</v>
      </c>
      <c r="I23" s="17" t="s">
        <v>35</v>
      </c>
      <c r="J23" s="50">
        <v>107.74</v>
      </c>
    </row>
    <row r="24" spans="1:10" x14ac:dyDescent="0.25">
      <c r="A24" s="10" t="s">
        <v>10665</v>
      </c>
      <c r="B24" s="9" t="s">
        <v>35</v>
      </c>
      <c r="C24" s="16" t="s">
        <v>9507</v>
      </c>
      <c r="D24" s="17" t="s">
        <v>35</v>
      </c>
      <c r="E24" s="17" t="s">
        <v>35</v>
      </c>
      <c r="F24" s="17" t="s">
        <v>35</v>
      </c>
      <c r="G24" s="17" t="s">
        <v>10666</v>
      </c>
      <c r="H24" s="17" t="s">
        <v>35</v>
      </c>
      <c r="I24" s="17" t="s">
        <v>9509</v>
      </c>
      <c r="J24" s="50">
        <v>127.49</v>
      </c>
    </row>
    <row r="25" spans="1:10" x14ac:dyDescent="0.25">
      <c r="A25" s="10" t="s">
        <v>10667</v>
      </c>
      <c r="B25" s="9" t="s">
        <v>35</v>
      </c>
      <c r="C25" s="16" t="s">
        <v>10668</v>
      </c>
      <c r="D25" s="17" t="s">
        <v>35</v>
      </c>
      <c r="E25" s="17" t="s">
        <v>35</v>
      </c>
      <c r="F25" s="17" t="s">
        <v>35</v>
      </c>
      <c r="G25" s="17" t="s">
        <v>35</v>
      </c>
      <c r="H25" s="17" t="s">
        <v>35</v>
      </c>
      <c r="I25" s="17" t="s">
        <v>10669</v>
      </c>
      <c r="J25" s="50">
        <v>160.07</v>
      </c>
    </row>
  </sheetData>
  <autoFilter ref="A1:J25" xr:uid="{00000000-0001-0000-0100-000000000000}"/>
  <conditionalFormatting sqref="A1">
    <cfRule type="duplicateValues" dxfId="2" priority="2"/>
  </conditionalFormatting>
  <conditionalFormatting sqref="A2:A25">
    <cfRule type="duplicateValues" dxfId="1" priority="1"/>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3A68-2D70-432D-854A-9BC2A2F83B2A}">
  <dimension ref="A1:G71"/>
  <sheetViews>
    <sheetView workbookViewId="0">
      <pane ySplit="3" topLeftCell="A4" activePane="bottomLeft" state="frozen"/>
      <selection pane="bottomLeft" activeCell="A2" sqref="A2"/>
    </sheetView>
  </sheetViews>
  <sheetFormatPr defaultColWidth="8.75" defaultRowHeight="15.75" x14ac:dyDescent="0.25"/>
  <cols>
    <col min="1" max="1" width="8.75" style="36"/>
    <col min="2" max="2" width="9.25" customWidth="1"/>
    <col min="3" max="3" width="8.75" style="36"/>
  </cols>
  <sheetData>
    <row r="1" spans="1:7" x14ac:dyDescent="0.25">
      <c r="A1" s="64" t="s">
        <v>9775</v>
      </c>
      <c r="B1" s="65"/>
      <c r="C1" s="65"/>
      <c r="D1" s="65"/>
      <c r="E1" s="65"/>
      <c r="F1" s="65"/>
      <c r="G1" s="65"/>
    </row>
    <row r="2" spans="1:7" ht="45" x14ac:dyDescent="0.25">
      <c r="A2" s="34"/>
      <c r="B2" s="26" t="s">
        <v>9776</v>
      </c>
      <c r="C2" s="26" t="s">
        <v>9777</v>
      </c>
      <c r="D2" s="66" t="s">
        <v>9778</v>
      </c>
      <c r="E2" s="66"/>
      <c r="F2" s="66"/>
      <c r="G2" s="67"/>
    </row>
    <row r="3" spans="1:7" x14ac:dyDescent="0.25">
      <c r="A3" s="27" t="s">
        <v>9779</v>
      </c>
      <c r="B3" s="28" t="s">
        <v>9780</v>
      </c>
      <c r="C3" s="28" t="s">
        <v>9781</v>
      </c>
      <c r="D3" s="29" t="s">
        <v>9782</v>
      </c>
      <c r="E3" s="30" t="s">
        <v>9772</v>
      </c>
      <c r="F3" s="30" t="s">
        <v>9773</v>
      </c>
      <c r="G3" s="30" t="s">
        <v>9774</v>
      </c>
    </row>
    <row r="4" spans="1:7" x14ac:dyDescent="0.25">
      <c r="A4" s="35" t="s">
        <v>2782</v>
      </c>
      <c r="B4" s="31">
        <v>52.41</v>
      </c>
      <c r="C4" s="37">
        <v>7.85E-2</v>
      </c>
      <c r="D4" s="32">
        <v>0.04</v>
      </c>
      <c r="E4" s="32">
        <v>3.85E-2</v>
      </c>
      <c r="F4" s="33" t="s">
        <v>35</v>
      </c>
      <c r="G4" s="33" t="s">
        <v>35</v>
      </c>
    </row>
    <row r="5" spans="1:7" x14ac:dyDescent="0.25">
      <c r="A5" s="35" t="s">
        <v>746</v>
      </c>
      <c r="B5" s="31">
        <v>41.22</v>
      </c>
      <c r="C5" s="37">
        <v>7.85E-2</v>
      </c>
      <c r="D5" s="32">
        <v>0.04</v>
      </c>
      <c r="E5" s="32">
        <v>3.85E-2</v>
      </c>
      <c r="F5" s="33" t="s">
        <v>35</v>
      </c>
      <c r="G5" s="33" t="s">
        <v>35</v>
      </c>
    </row>
    <row r="6" spans="1:7" x14ac:dyDescent="0.25">
      <c r="A6" s="35" t="s">
        <v>2588</v>
      </c>
      <c r="B6" s="31">
        <v>33.44</v>
      </c>
      <c r="C6" s="37">
        <v>7.85E-2</v>
      </c>
      <c r="D6" s="32">
        <v>0.04</v>
      </c>
      <c r="E6" s="32">
        <v>3.85E-2</v>
      </c>
      <c r="F6" s="33" t="s">
        <v>35</v>
      </c>
      <c r="G6" s="33" t="s">
        <v>35</v>
      </c>
    </row>
    <row r="7" spans="1:7" x14ac:dyDescent="0.25">
      <c r="A7" s="35" t="s">
        <v>1318</v>
      </c>
      <c r="B7" s="31">
        <v>78.86</v>
      </c>
      <c r="C7" s="37">
        <v>7.85E-2</v>
      </c>
      <c r="D7" s="32">
        <v>0.04</v>
      </c>
      <c r="E7" s="32">
        <v>3.85E-2</v>
      </c>
      <c r="F7" s="33" t="s">
        <v>35</v>
      </c>
      <c r="G7" s="33" t="s">
        <v>35</v>
      </c>
    </row>
    <row r="8" spans="1:7" x14ac:dyDescent="0.25">
      <c r="A8" s="35" t="s">
        <v>1578</v>
      </c>
      <c r="B8" s="31">
        <v>71.959999999999994</v>
      </c>
      <c r="C8" s="37">
        <v>7.85E-2</v>
      </c>
      <c r="D8" s="32">
        <v>0.04</v>
      </c>
      <c r="E8" s="32">
        <v>3.85E-2</v>
      </c>
      <c r="F8" s="33" t="s">
        <v>35</v>
      </c>
      <c r="G8" s="33" t="s">
        <v>35</v>
      </c>
    </row>
    <row r="9" spans="1:7" x14ac:dyDescent="0.25">
      <c r="A9" s="35" t="s">
        <v>5120</v>
      </c>
      <c r="B9" s="31">
        <v>126.45</v>
      </c>
      <c r="C9" s="37">
        <v>7.85E-2</v>
      </c>
      <c r="D9" s="32">
        <v>0.04</v>
      </c>
      <c r="E9" s="32">
        <v>3.85E-2</v>
      </c>
      <c r="F9" s="33" t="s">
        <v>35</v>
      </c>
      <c r="G9" s="33" t="s">
        <v>35</v>
      </c>
    </row>
    <row r="10" spans="1:7" x14ac:dyDescent="0.25">
      <c r="A10" s="35" t="s">
        <v>7493</v>
      </c>
      <c r="B10" s="31">
        <v>30.07</v>
      </c>
      <c r="C10" s="37">
        <v>7.85E-2</v>
      </c>
      <c r="D10" s="32">
        <v>0.04</v>
      </c>
      <c r="E10" s="32">
        <v>3.85E-2</v>
      </c>
      <c r="F10" s="33" t="s">
        <v>35</v>
      </c>
      <c r="G10" s="33" t="s">
        <v>35</v>
      </c>
    </row>
    <row r="11" spans="1:7" x14ac:dyDescent="0.25">
      <c r="A11" s="35" t="s">
        <v>2080</v>
      </c>
      <c r="B11" s="31">
        <v>25.29</v>
      </c>
      <c r="C11" s="37">
        <v>7.85E-2</v>
      </c>
      <c r="D11" s="32">
        <v>0.04</v>
      </c>
      <c r="E11" s="32">
        <v>3.85E-2</v>
      </c>
      <c r="F11" s="33" t="s">
        <v>35</v>
      </c>
      <c r="G11" s="33" t="s">
        <v>35</v>
      </c>
    </row>
    <row r="12" spans="1:7" x14ac:dyDescent="0.25">
      <c r="A12" s="35" t="s">
        <v>8084</v>
      </c>
      <c r="B12" s="31">
        <v>72.02</v>
      </c>
      <c r="C12" s="37">
        <v>7.85E-2</v>
      </c>
      <c r="D12" s="32">
        <v>0.04</v>
      </c>
      <c r="E12" s="32">
        <v>3.85E-2</v>
      </c>
      <c r="F12" s="33" t="s">
        <v>35</v>
      </c>
      <c r="G12" s="33" t="s">
        <v>35</v>
      </c>
    </row>
    <row r="13" spans="1:7" x14ac:dyDescent="0.25">
      <c r="A13" s="35" t="s">
        <v>1427</v>
      </c>
      <c r="B13" s="31">
        <v>81.94</v>
      </c>
      <c r="C13" s="37">
        <v>7.85E-2</v>
      </c>
      <c r="D13" s="32">
        <v>0.04</v>
      </c>
      <c r="E13" s="32">
        <v>3.85E-2</v>
      </c>
      <c r="F13" s="33" t="s">
        <v>35</v>
      </c>
      <c r="G13" s="33" t="s">
        <v>35</v>
      </c>
    </row>
    <row r="14" spans="1:7" x14ac:dyDescent="0.25">
      <c r="A14" s="35" t="s">
        <v>247</v>
      </c>
      <c r="B14" s="31">
        <v>26.44</v>
      </c>
      <c r="C14" s="37">
        <v>7.85E-2</v>
      </c>
      <c r="D14" s="32">
        <v>0.04</v>
      </c>
      <c r="E14" s="32">
        <v>3.85E-2</v>
      </c>
      <c r="F14" s="33" t="s">
        <v>35</v>
      </c>
      <c r="G14" s="33" t="s">
        <v>35</v>
      </c>
    </row>
    <row r="15" spans="1:7" x14ac:dyDescent="0.25">
      <c r="A15" s="35" t="s">
        <v>4689</v>
      </c>
      <c r="B15" s="31">
        <v>63.79</v>
      </c>
      <c r="C15" s="37">
        <v>7.85E-2</v>
      </c>
      <c r="D15" s="32">
        <v>0.04</v>
      </c>
      <c r="E15" s="32">
        <v>3.85E-2</v>
      </c>
      <c r="F15" s="33" t="s">
        <v>35</v>
      </c>
      <c r="G15" s="33" t="s">
        <v>35</v>
      </c>
    </row>
    <row r="16" spans="1:7" x14ac:dyDescent="0.25">
      <c r="A16" s="35" t="s">
        <v>2166</v>
      </c>
      <c r="B16" s="31">
        <v>163.57</v>
      </c>
      <c r="C16" s="37">
        <v>7.85E-2</v>
      </c>
      <c r="D16" s="32">
        <v>0.04</v>
      </c>
      <c r="E16" s="32">
        <v>3.85E-2</v>
      </c>
      <c r="F16" s="33" t="s">
        <v>35</v>
      </c>
      <c r="G16" s="33" t="s">
        <v>35</v>
      </c>
    </row>
    <row r="17" spans="1:7" x14ac:dyDescent="0.25">
      <c r="A17" s="35" t="s">
        <v>2889</v>
      </c>
      <c r="B17" s="31">
        <v>67.83</v>
      </c>
      <c r="C17" s="37">
        <v>7.85E-2</v>
      </c>
      <c r="D17" s="32">
        <v>0.04</v>
      </c>
      <c r="E17" s="32">
        <v>3.85E-2</v>
      </c>
      <c r="F17" s="33" t="s">
        <v>35</v>
      </c>
      <c r="G17" s="33" t="s">
        <v>35</v>
      </c>
    </row>
    <row r="18" spans="1:7" x14ac:dyDescent="0.25">
      <c r="A18" s="35" t="s">
        <v>1327</v>
      </c>
      <c r="B18" s="31">
        <v>23.66</v>
      </c>
      <c r="C18" s="37">
        <v>7.85E-2</v>
      </c>
      <c r="D18" s="32">
        <v>0.04</v>
      </c>
      <c r="E18" s="32">
        <v>3.85E-2</v>
      </c>
      <c r="F18" s="33" t="s">
        <v>35</v>
      </c>
      <c r="G18" s="33" t="s">
        <v>35</v>
      </c>
    </row>
    <row r="19" spans="1:7" x14ac:dyDescent="0.25">
      <c r="A19" s="35" t="s">
        <v>1943</v>
      </c>
      <c r="B19" s="31">
        <v>139.1</v>
      </c>
      <c r="C19" s="37">
        <v>7.85E-2</v>
      </c>
      <c r="D19" s="32">
        <v>0.04</v>
      </c>
      <c r="E19" s="32">
        <v>3.85E-2</v>
      </c>
      <c r="F19" s="33" t="s">
        <v>35</v>
      </c>
      <c r="G19" s="33" t="s">
        <v>35</v>
      </c>
    </row>
    <row r="20" spans="1:7" x14ac:dyDescent="0.25">
      <c r="A20" s="35" t="s">
        <v>6165</v>
      </c>
      <c r="B20" s="31">
        <v>20.079999999999998</v>
      </c>
      <c r="C20" s="37">
        <v>7.85E-2</v>
      </c>
      <c r="D20" s="32">
        <v>0.04</v>
      </c>
      <c r="E20" s="32">
        <v>3.85E-2</v>
      </c>
      <c r="F20" s="33" t="s">
        <v>35</v>
      </c>
      <c r="G20" s="33" t="s">
        <v>35</v>
      </c>
    </row>
    <row r="21" spans="1:7" x14ac:dyDescent="0.25">
      <c r="A21" s="35" t="s">
        <v>8131</v>
      </c>
      <c r="B21" s="31">
        <v>270.31</v>
      </c>
      <c r="C21" s="37">
        <v>7.85E-2</v>
      </c>
      <c r="D21" s="32">
        <v>0.04</v>
      </c>
      <c r="E21" s="32">
        <v>3.85E-2</v>
      </c>
      <c r="F21" s="33" t="s">
        <v>35</v>
      </c>
      <c r="G21" s="33" t="s">
        <v>35</v>
      </c>
    </row>
    <row r="22" spans="1:7" x14ac:dyDescent="0.25">
      <c r="A22" s="35" t="s">
        <v>8059</v>
      </c>
      <c r="B22" s="31">
        <v>328.71</v>
      </c>
      <c r="C22" s="37">
        <v>7.85E-2</v>
      </c>
      <c r="D22" s="32">
        <v>0.04</v>
      </c>
      <c r="E22" s="32">
        <v>3.85E-2</v>
      </c>
      <c r="F22" s="33" t="s">
        <v>35</v>
      </c>
      <c r="G22" s="33" t="s">
        <v>35</v>
      </c>
    </row>
    <row r="23" spans="1:7" x14ac:dyDescent="0.25">
      <c r="A23" s="35" t="s">
        <v>993</v>
      </c>
      <c r="B23" s="31">
        <v>47.32</v>
      </c>
      <c r="C23" s="37">
        <v>7.85E-2</v>
      </c>
      <c r="D23" s="32">
        <v>0.04</v>
      </c>
      <c r="E23" s="32">
        <v>3.85E-2</v>
      </c>
      <c r="F23" s="33" t="s">
        <v>35</v>
      </c>
      <c r="G23" s="33" t="s">
        <v>35</v>
      </c>
    </row>
    <row r="24" spans="1:7" x14ac:dyDescent="0.25">
      <c r="A24" s="35" t="s">
        <v>1246</v>
      </c>
      <c r="B24" s="31">
        <v>19.309999999999999</v>
      </c>
      <c r="C24" s="37">
        <v>7.85E-2</v>
      </c>
      <c r="D24" s="32">
        <v>0.04</v>
      </c>
      <c r="E24" s="32">
        <v>3.85E-2</v>
      </c>
      <c r="F24" s="33" t="s">
        <v>35</v>
      </c>
      <c r="G24" s="33" t="s">
        <v>35</v>
      </c>
    </row>
    <row r="25" spans="1:7" x14ac:dyDescent="0.25">
      <c r="A25" s="35" t="s">
        <v>1402</v>
      </c>
      <c r="B25" s="31">
        <v>33.35</v>
      </c>
      <c r="C25" s="37">
        <v>7.85E-2</v>
      </c>
      <c r="D25" s="32">
        <v>0.04</v>
      </c>
      <c r="E25" s="32">
        <v>3.85E-2</v>
      </c>
      <c r="F25" s="33" t="s">
        <v>35</v>
      </c>
      <c r="G25" s="33" t="s">
        <v>35</v>
      </c>
    </row>
    <row r="26" spans="1:7" x14ac:dyDescent="0.25">
      <c r="A26" s="35" t="s">
        <v>8098</v>
      </c>
      <c r="B26" s="31">
        <v>64.7</v>
      </c>
      <c r="C26" s="37">
        <v>7.85E-2</v>
      </c>
      <c r="D26" s="33" t="s">
        <v>35</v>
      </c>
      <c r="E26" s="33" t="s">
        <v>35</v>
      </c>
      <c r="F26" s="32">
        <v>0.04</v>
      </c>
      <c r="G26" s="32">
        <v>3.85E-2</v>
      </c>
    </row>
    <row r="27" spans="1:7" x14ac:dyDescent="0.25">
      <c r="A27" s="35" t="s">
        <v>2883</v>
      </c>
      <c r="B27" s="31">
        <v>25.39</v>
      </c>
      <c r="C27" s="37">
        <v>7.85E-2</v>
      </c>
      <c r="D27" s="33" t="s">
        <v>35</v>
      </c>
      <c r="E27" s="33" t="s">
        <v>35</v>
      </c>
      <c r="F27" s="32">
        <v>0.04</v>
      </c>
      <c r="G27" s="32">
        <v>3.85E-2</v>
      </c>
    </row>
    <row r="28" spans="1:7" x14ac:dyDescent="0.25">
      <c r="A28" s="35" t="s">
        <v>2823</v>
      </c>
      <c r="B28" s="31">
        <v>74.94</v>
      </c>
      <c r="C28" s="37">
        <v>7.85E-2</v>
      </c>
      <c r="D28" s="33" t="s">
        <v>35</v>
      </c>
      <c r="E28" s="33" t="s">
        <v>35</v>
      </c>
      <c r="F28" s="32">
        <v>0.04</v>
      </c>
      <c r="G28" s="32">
        <v>3.85E-2</v>
      </c>
    </row>
    <row r="29" spans="1:7" x14ac:dyDescent="0.25">
      <c r="A29" s="35" t="s">
        <v>8122</v>
      </c>
      <c r="B29" s="31">
        <v>34.5</v>
      </c>
      <c r="C29" s="37">
        <v>7.85E-2</v>
      </c>
      <c r="D29" s="33" t="s">
        <v>35</v>
      </c>
      <c r="E29" s="33" t="s">
        <v>35</v>
      </c>
      <c r="F29" s="32">
        <v>0.04</v>
      </c>
      <c r="G29" s="32">
        <v>3.85E-2</v>
      </c>
    </row>
    <row r="30" spans="1:7" x14ac:dyDescent="0.25">
      <c r="A30" s="35" t="s">
        <v>569</v>
      </c>
      <c r="B30" s="31">
        <v>45.48</v>
      </c>
      <c r="C30" s="37">
        <v>7.85E-2</v>
      </c>
      <c r="D30" s="33" t="s">
        <v>35</v>
      </c>
      <c r="E30" s="33" t="s">
        <v>35</v>
      </c>
      <c r="F30" s="32">
        <v>0.04</v>
      </c>
      <c r="G30" s="32">
        <v>3.85E-2</v>
      </c>
    </row>
    <row r="31" spans="1:7" x14ac:dyDescent="0.25">
      <c r="A31" s="35" t="s">
        <v>8598</v>
      </c>
      <c r="B31" s="31">
        <v>49.73</v>
      </c>
      <c r="C31" s="37">
        <v>7.85E-2</v>
      </c>
      <c r="D31" s="33" t="s">
        <v>35</v>
      </c>
      <c r="E31" s="33" t="s">
        <v>35</v>
      </c>
      <c r="F31" s="32">
        <v>0.04</v>
      </c>
      <c r="G31" s="32">
        <v>3.85E-2</v>
      </c>
    </row>
    <row r="32" spans="1:7" x14ac:dyDescent="0.25">
      <c r="A32" s="35" t="s">
        <v>1682</v>
      </c>
      <c r="B32" s="31">
        <v>51.95</v>
      </c>
      <c r="C32" s="37">
        <v>7.85E-2</v>
      </c>
      <c r="D32" s="33" t="s">
        <v>35</v>
      </c>
      <c r="E32" s="33" t="s">
        <v>35</v>
      </c>
      <c r="F32" s="32">
        <v>0.04</v>
      </c>
      <c r="G32" s="32">
        <v>3.85E-2</v>
      </c>
    </row>
    <row r="33" spans="1:7" x14ac:dyDescent="0.25">
      <c r="A33" s="35" t="s">
        <v>1666</v>
      </c>
      <c r="B33" s="31">
        <v>165.64</v>
      </c>
      <c r="C33" s="37">
        <v>7.85E-2</v>
      </c>
      <c r="D33" s="33" t="s">
        <v>35</v>
      </c>
      <c r="E33" s="33" t="s">
        <v>35</v>
      </c>
      <c r="F33" s="32">
        <v>0.04</v>
      </c>
      <c r="G33" s="32">
        <v>3.85E-2</v>
      </c>
    </row>
    <row r="34" spans="1:7" x14ac:dyDescent="0.25">
      <c r="A34" s="35" t="s">
        <v>8073</v>
      </c>
      <c r="B34" s="31">
        <v>76.95</v>
      </c>
      <c r="C34" s="37">
        <v>7.85E-2</v>
      </c>
      <c r="D34" s="33" t="s">
        <v>35</v>
      </c>
      <c r="E34" s="33" t="s">
        <v>35</v>
      </c>
      <c r="F34" s="32">
        <v>0.04</v>
      </c>
      <c r="G34" s="32">
        <v>3.85E-2</v>
      </c>
    </row>
    <row r="35" spans="1:7" x14ac:dyDescent="0.25">
      <c r="A35" s="35" t="s">
        <v>1448</v>
      </c>
      <c r="B35" s="31">
        <v>45.73</v>
      </c>
      <c r="C35" s="37">
        <v>7.85E-2</v>
      </c>
      <c r="D35" s="33" t="s">
        <v>35</v>
      </c>
      <c r="E35" s="33" t="s">
        <v>35</v>
      </c>
      <c r="F35" s="32">
        <v>0.04</v>
      </c>
      <c r="G35" s="32">
        <v>3.85E-2</v>
      </c>
    </row>
    <row r="36" spans="1:7" x14ac:dyDescent="0.25">
      <c r="A36" s="35" t="s">
        <v>2771</v>
      </c>
      <c r="B36" s="31">
        <v>80.72</v>
      </c>
      <c r="C36" s="37">
        <v>7.85E-2</v>
      </c>
      <c r="D36" s="33" t="s">
        <v>35</v>
      </c>
      <c r="E36" s="33" t="s">
        <v>35</v>
      </c>
      <c r="F36" s="32">
        <v>0.04</v>
      </c>
      <c r="G36" s="32">
        <v>3.85E-2</v>
      </c>
    </row>
    <row r="37" spans="1:7" x14ac:dyDescent="0.25">
      <c r="A37" s="35" t="s">
        <v>1619</v>
      </c>
      <c r="B37" s="31">
        <v>41.75</v>
      </c>
      <c r="C37" s="37">
        <v>7.85E-2</v>
      </c>
      <c r="D37" s="33" t="s">
        <v>35</v>
      </c>
      <c r="E37" s="33" t="s">
        <v>35</v>
      </c>
      <c r="F37" s="32">
        <v>0.04</v>
      </c>
      <c r="G37" s="32">
        <v>3.85E-2</v>
      </c>
    </row>
    <row r="38" spans="1:7" x14ac:dyDescent="0.25">
      <c r="A38" s="35" t="s">
        <v>7053</v>
      </c>
      <c r="B38" s="31">
        <v>59.92</v>
      </c>
      <c r="C38" s="37">
        <v>7.85E-2</v>
      </c>
      <c r="D38" s="33" t="s">
        <v>35</v>
      </c>
      <c r="E38" s="33" t="s">
        <v>35</v>
      </c>
      <c r="F38" s="32">
        <v>0.04</v>
      </c>
      <c r="G38" s="32">
        <v>3.85E-2</v>
      </c>
    </row>
    <row r="39" spans="1:7" x14ac:dyDescent="0.25">
      <c r="A39" s="35" t="s">
        <v>1074</v>
      </c>
      <c r="B39" s="31">
        <v>88.66</v>
      </c>
      <c r="C39" s="37">
        <v>7.85E-2</v>
      </c>
      <c r="D39" s="33" t="s">
        <v>35</v>
      </c>
      <c r="E39" s="33" t="s">
        <v>35</v>
      </c>
      <c r="F39" s="32">
        <v>0.04</v>
      </c>
      <c r="G39" s="32">
        <v>3.85E-2</v>
      </c>
    </row>
    <row r="40" spans="1:7" x14ac:dyDescent="0.25">
      <c r="A40" s="35" t="s">
        <v>1630</v>
      </c>
      <c r="B40" s="31">
        <v>74.55</v>
      </c>
      <c r="C40" s="37">
        <v>7.85E-2</v>
      </c>
      <c r="D40" s="33" t="s">
        <v>35</v>
      </c>
      <c r="E40" s="33" t="s">
        <v>35</v>
      </c>
      <c r="F40" s="32">
        <v>0.04</v>
      </c>
      <c r="G40" s="32">
        <v>3.85E-2</v>
      </c>
    </row>
    <row r="41" spans="1:7" x14ac:dyDescent="0.25">
      <c r="A41" s="35" t="s">
        <v>1374</v>
      </c>
      <c r="B41" s="31">
        <v>52</v>
      </c>
      <c r="C41" s="37">
        <v>7.85E-2</v>
      </c>
      <c r="D41" s="33" t="s">
        <v>35</v>
      </c>
      <c r="E41" s="33" t="s">
        <v>35</v>
      </c>
      <c r="F41" s="32">
        <v>0.04</v>
      </c>
      <c r="G41" s="32">
        <v>3.85E-2</v>
      </c>
    </row>
    <row r="42" spans="1:7" x14ac:dyDescent="0.25">
      <c r="A42" s="35" t="s">
        <v>1364</v>
      </c>
      <c r="B42" s="31">
        <v>42.4</v>
      </c>
      <c r="C42" s="37">
        <v>7.85E-2</v>
      </c>
      <c r="D42" s="33" t="s">
        <v>35</v>
      </c>
      <c r="E42" s="33" t="s">
        <v>35</v>
      </c>
      <c r="F42" s="32">
        <v>0.04</v>
      </c>
      <c r="G42" s="32">
        <v>3.85E-2</v>
      </c>
    </row>
    <row r="43" spans="1:7" x14ac:dyDescent="0.25">
      <c r="A43" s="35" t="s">
        <v>1674</v>
      </c>
      <c r="B43" s="31">
        <v>54.69</v>
      </c>
      <c r="C43" s="37">
        <v>7.85E-2</v>
      </c>
      <c r="D43" s="33" t="s">
        <v>35</v>
      </c>
      <c r="E43" s="33" t="s">
        <v>35</v>
      </c>
      <c r="F43" s="32">
        <v>0.04</v>
      </c>
      <c r="G43" s="32">
        <v>3.85E-2</v>
      </c>
    </row>
    <row r="44" spans="1:7" x14ac:dyDescent="0.25">
      <c r="A44" s="35" t="s">
        <v>3291</v>
      </c>
      <c r="B44" s="31">
        <v>67.19</v>
      </c>
      <c r="C44" s="37">
        <v>7.85E-2</v>
      </c>
      <c r="D44" s="33" t="s">
        <v>35</v>
      </c>
      <c r="E44" s="33" t="s">
        <v>35</v>
      </c>
      <c r="F44" s="32">
        <v>0.04</v>
      </c>
      <c r="G44" s="32">
        <v>3.85E-2</v>
      </c>
    </row>
    <row r="45" spans="1:7" x14ac:dyDescent="0.25">
      <c r="A45" s="35" t="s">
        <v>2301</v>
      </c>
      <c r="B45" s="31">
        <v>23.92</v>
      </c>
      <c r="C45" s="37">
        <v>7.85E-2</v>
      </c>
      <c r="D45" s="33" t="s">
        <v>35</v>
      </c>
      <c r="E45" s="33" t="s">
        <v>35</v>
      </c>
      <c r="F45" s="32">
        <v>0.04</v>
      </c>
      <c r="G45" s="32">
        <v>3.85E-2</v>
      </c>
    </row>
    <row r="46" spans="1:7" x14ac:dyDescent="0.25">
      <c r="A46" s="35" t="s">
        <v>3008</v>
      </c>
      <c r="B46" s="31">
        <v>16.98</v>
      </c>
      <c r="C46" s="37">
        <v>7.85E-2</v>
      </c>
      <c r="D46" s="33" t="s">
        <v>35</v>
      </c>
      <c r="E46" s="33" t="s">
        <v>35</v>
      </c>
      <c r="F46" s="32">
        <v>0.04</v>
      </c>
      <c r="G46" s="32">
        <v>3.85E-2</v>
      </c>
    </row>
    <row r="47" spans="1:7" x14ac:dyDescent="0.25">
      <c r="A47" s="35" t="s">
        <v>2257</v>
      </c>
      <c r="B47" s="31">
        <v>18.18</v>
      </c>
      <c r="C47" s="37">
        <v>7.85E-2</v>
      </c>
      <c r="D47" s="33" t="s">
        <v>35</v>
      </c>
      <c r="E47" s="33" t="s">
        <v>35</v>
      </c>
      <c r="F47" s="32">
        <v>0.04</v>
      </c>
      <c r="G47" s="32">
        <v>3.85E-2</v>
      </c>
    </row>
    <row r="48" spans="1:7" x14ac:dyDescent="0.25">
      <c r="A48" s="35" t="s">
        <v>8718</v>
      </c>
      <c r="B48" s="31">
        <v>41.72</v>
      </c>
      <c r="C48" s="37">
        <v>7.85E-2</v>
      </c>
      <c r="D48" s="33" t="s">
        <v>35</v>
      </c>
      <c r="E48" s="33" t="s">
        <v>35</v>
      </c>
      <c r="F48" s="32">
        <v>0.04</v>
      </c>
      <c r="G48" s="32">
        <v>3.85E-2</v>
      </c>
    </row>
    <row r="49" spans="1:7" x14ac:dyDescent="0.25">
      <c r="A49" s="35" t="s">
        <v>1524</v>
      </c>
      <c r="B49" s="31">
        <v>67.22</v>
      </c>
      <c r="C49" s="37">
        <v>7.85E-2</v>
      </c>
      <c r="D49" s="33" t="s">
        <v>35</v>
      </c>
      <c r="E49" s="33" t="s">
        <v>35</v>
      </c>
      <c r="F49" s="32">
        <v>0.04</v>
      </c>
      <c r="G49" s="32">
        <v>3.85E-2</v>
      </c>
    </row>
    <row r="50" spans="1:7" x14ac:dyDescent="0.25">
      <c r="A50" s="35" t="s">
        <v>1043</v>
      </c>
      <c r="B50" s="31">
        <v>101.43</v>
      </c>
      <c r="C50" s="37">
        <v>7.85E-2</v>
      </c>
      <c r="D50" s="33" t="s">
        <v>35</v>
      </c>
      <c r="E50" s="33" t="s">
        <v>35</v>
      </c>
      <c r="F50" s="32">
        <v>0.04</v>
      </c>
      <c r="G50" s="32">
        <v>3.85E-2</v>
      </c>
    </row>
    <row r="51" spans="1:7" x14ac:dyDescent="0.25">
      <c r="A51" s="35" t="s">
        <v>2730</v>
      </c>
      <c r="B51" s="31">
        <v>48.09</v>
      </c>
      <c r="C51" s="37">
        <v>7.85E-2</v>
      </c>
      <c r="D51" s="33" t="s">
        <v>35</v>
      </c>
      <c r="E51" s="33" t="s">
        <v>35</v>
      </c>
      <c r="F51" s="32">
        <v>0.04</v>
      </c>
      <c r="G51" s="32">
        <v>3.85E-2</v>
      </c>
    </row>
    <row r="52" spans="1:7" x14ac:dyDescent="0.25">
      <c r="A52" s="35" t="s">
        <v>9299</v>
      </c>
      <c r="B52" s="31">
        <v>46.86</v>
      </c>
      <c r="C52" s="37">
        <v>7.85E-2</v>
      </c>
      <c r="D52" s="33" t="s">
        <v>35</v>
      </c>
      <c r="E52" s="33" t="s">
        <v>35</v>
      </c>
      <c r="F52" s="32">
        <v>0.04</v>
      </c>
      <c r="G52" s="32">
        <v>3.85E-2</v>
      </c>
    </row>
    <row r="53" spans="1:7" x14ac:dyDescent="0.25">
      <c r="A53" s="35" t="s">
        <v>9308</v>
      </c>
      <c r="B53" s="31">
        <v>103.54</v>
      </c>
      <c r="C53" s="37">
        <v>7.85E-2</v>
      </c>
      <c r="D53" s="33" t="s">
        <v>35</v>
      </c>
      <c r="E53" s="33" t="s">
        <v>35</v>
      </c>
      <c r="F53" s="32">
        <v>0.04</v>
      </c>
      <c r="G53" s="32">
        <v>3.85E-2</v>
      </c>
    </row>
    <row r="54" spans="1:7" x14ac:dyDescent="0.25">
      <c r="A54" s="35" t="s">
        <v>2384</v>
      </c>
      <c r="B54" s="31">
        <v>14.94</v>
      </c>
      <c r="C54" s="37">
        <v>7.85E-2</v>
      </c>
      <c r="D54" s="33" t="s">
        <v>35</v>
      </c>
      <c r="E54" s="33" t="s">
        <v>35</v>
      </c>
      <c r="F54" s="32">
        <v>0.04</v>
      </c>
      <c r="G54" s="32">
        <v>3.85E-2</v>
      </c>
    </row>
    <row r="55" spans="1:7" x14ac:dyDescent="0.25">
      <c r="A55" s="35" t="s">
        <v>417</v>
      </c>
      <c r="B55" s="31">
        <v>137.66999999999999</v>
      </c>
      <c r="C55" s="37">
        <v>7.85E-2</v>
      </c>
      <c r="D55" s="33" t="s">
        <v>35</v>
      </c>
      <c r="E55" s="33" t="s">
        <v>35</v>
      </c>
      <c r="F55" s="32">
        <v>0.04</v>
      </c>
      <c r="G55" s="32">
        <v>3.85E-2</v>
      </c>
    </row>
    <row r="56" spans="1:7" x14ac:dyDescent="0.25">
      <c r="A56" s="35" t="s">
        <v>2862</v>
      </c>
      <c r="B56" s="31">
        <v>122.92</v>
      </c>
      <c r="C56" s="37">
        <v>7.85E-2</v>
      </c>
      <c r="D56" s="33" t="s">
        <v>35</v>
      </c>
      <c r="E56" s="33" t="s">
        <v>35</v>
      </c>
      <c r="F56" s="32">
        <v>0.04</v>
      </c>
      <c r="G56" s="32">
        <v>3.85E-2</v>
      </c>
    </row>
    <row r="57" spans="1:7" x14ac:dyDescent="0.25">
      <c r="A57" s="35" t="s">
        <v>2865</v>
      </c>
      <c r="B57" s="31">
        <v>112.98</v>
      </c>
      <c r="C57" s="37">
        <v>7.85E-2</v>
      </c>
      <c r="D57" s="33" t="s">
        <v>35</v>
      </c>
      <c r="E57" s="33" t="s">
        <v>35</v>
      </c>
      <c r="F57" s="32">
        <v>0.04</v>
      </c>
      <c r="G57" s="32">
        <v>3.85E-2</v>
      </c>
    </row>
    <row r="58" spans="1:7" x14ac:dyDescent="0.25">
      <c r="A58" s="35" t="s">
        <v>41</v>
      </c>
      <c r="B58" s="31">
        <v>294.7</v>
      </c>
      <c r="C58" s="37">
        <v>7.85E-2</v>
      </c>
      <c r="D58" s="33" t="s">
        <v>35</v>
      </c>
      <c r="E58" s="33" t="s">
        <v>35</v>
      </c>
      <c r="F58" s="32">
        <v>0.04</v>
      </c>
      <c r="G58" s="32">
        <v>3.85E-2</v>
      </c>
    </row>
    <row r="59" spans="1:7" x14ac:dyDescent="0.25">
      <c r="A59" s="35" t="s">
        <v>2296</v>
      </c>
      <c r="B59" s="31">
        <v>163.15</v>
      </c>
      <c r="C59" s="37">
        <v>7.85E-2</v>
      </c>
      <c r="D59" s="33" t="s">
        <v>35</v>
      </c>
      <c r="E59" s="33" t="s">
        <v>35</v>
      </c>
      <c r="F59" s="32">
        <v>0.04</v>
      </c>
      <c r="G59" s="32">
        <v>3.85E-2</v>
      </c>
    </row>
    <row r="60" spans="1:7" x14ac:dyDescent="0.25">
      <c r="A60" s="35" t="s">
        <v>559</v>
      </c>
      <c r="B60" s="31">
        <v>15.73</v>
      </c>
      <c r="C60" s="37">
        <v>7.85E-2</v>
      </c>
      <c r="D60" s="33" t="s">
        <v>35</v>
      </c>
      <c r="E60" s="33" t="s">
        <v>35</v>
      </c>
      <c r="F60" s="32">
        <v>0.04</v>
      </c>
      <c r="G60" s="32">
        <v>3.85E-2</v>
      </c>
    </row>
    <row r="61" spans="1:7" x14ac:dyDescent="0.25">
      <c r="A61" s="35" t="s">
        <v>7563</v>
      </c>
      <c r="B61" s="31">
        <v>18.48</v>
      </c>
      <c r="C61" s="37">
        <v>7.85E-2</v>
      </c>
      <c r="D61" s="33" t="s">
        <v>35</v>
      </c>
      <c r="E61" s="33" t="s">
        <v>35</v>
      </c>
      <c r="F61" s="32">
        <v>0.04</v>
      </c>
      <c r="G61" s="32">
        <v>3.85E-2</v>
      </c>
    </row>
    <row r="62" spans="1:7" x14ac:dyDescent="0.25">
      <c r="A62" s="35" t="s">
        <v>4819</v>
      </c>
      <c r="B62" s="31">
        <v>90.31</v>
      </c>
      <c r="C62" s="37">
        <v>7.85E-2</v>
      </c>
      <c r="D62" s="33" t="s">
        <v>35</v>
      </c>
      <c r="E62" s="33" t="s">
        <v>35</v>
      </c>
      <c r="F62" s="32">
        <v>0.04</v>
      </c>
      <c r="G62" s="32">
        <v>3.85E-2</v>
      </c>
    </row>
    <row r="63" spans="1:7" x14ac:dyDescent="0.25">
      <c r="A63" s="35" t="s">
        <v>3909</v>
      </c>
      <c r="B63" s="31">
        <v>288.14999999999998</v>
      </c>
      <c r="C63" s="37">
        <v>7.85E-2</v>
      </c>
      <c r="D63" s="33" t="s">
        <v>35</v>
      </c>
      <c r="E63" s="33" t="s">
        <v>35</v>
      </c>
      <c r="F63" s="32">
        <v>0.04</v>
      </c>
      <c r="G63" s="32">
        <v>3.85E-2</v>
      </c>
    </row>
    <row r="64" spans="1:7" x14ac:dyDescent="0.25">
      <c r="A64" s="35" t="s">
        <v>7255</v>
      </c>
      <c r="B64" s="31">
        <v>36.61</v>
      </c>
      <c r="C64" s="37">
        <v>7.85E-2</v>
      </c>
      <c r="D64" s="33" t="s">
        <v>35</v>
      </c>
      <c r="E64" s="33" t="s">
        <v>35</v>
      </c>
      <c r="F64" s="32">
        <v>0.04</v>
      </c>
      <c r="G64" s="32">
        <v>3.85E-2</v>
      </c>
    </row>
    <row r="65" spans="1:7" x14ac:dyDescent="0.25">
      <c r="A65" s="35" t="s">
        <v>8111</v>
      </c>
      <c r="B65" s="31">
        <v>73.58</v>
      </c>
      <c r="C65" s="37">
        <v>7.85E-2</v>
      </c>
      <c r="D65" s="33" t="s">
        <v>35</v>
      </c>
      <c r="E65" s="33" t="s">
        <v>35</v>
      </c>
      <c r="F65" s="32">
        <v>0.04</v>
      </c>
      <c r="G65" s="32">
        <v>3.85E-2</v>
      </c>
    </row>
    <row r="66" spans="1:7" x14ac:dyDescent="0.25">
      <c r="A66" s="35" t="s">
        <v>1291</v>
      </c>
      <c r="B66" s="31">
        <v>41.35</v>
      </c>
      <c r="C66" s="37">
        <v>7.85E-2</v>
      </c>
      <c r="D66" s="33" t="s">
        <v>35</v>
      </c>
      <c r="E66" s="33" t="s">
        <v>35</v>
      </c>
      <c r="F66" s="32">
        <v>0.04</v>
      </c>
      <c r="G66" s="32">
        <v>3.85E-2</v>
      </c>
    </row>
    <row r="67" spans="1:7" x14ac:dyDescent="0.25">
      <c r="A67" s="35" t="s">
        <v>166</v>
      </c>
      <c r="B67" s="31">
        <v>22.67</v>
      </c>
      <c r="C67" s="37">
        <v>7.85E-2</v>
      </c>
      <c r="D67" s="33" t="s">
        <v>35</v>
      </c>
      <c r="E67" s="33" t="s">
        <v>35</v>
      </c>
      <c r="F67" s="32">
        <v>0.04</v>
      </c>
      <c r="G67" s="32">
        <v>3.85E-2</v>
      </c>
    </row>
    <row r="68" spans="1:7" x14ac:dyDescent="0.25">
      <c r="A68" s="35" t="s">
        <v>9112</v>
      </c>
      <c r="B68" s="31">
        <v>30.66</v>
      </c>
      <c r="C68" s="37">
        <v>7.85E-2</v>
      </c>
      <c r="D68" s="33" t="s">
        <v>35</v>
      </c>
      <c r="E68" s="33" t="s">
        <v>35</v>
      </c>
      <c r="F68" s="32">
        <v>0.04</v>
      </c>
      <c r="G68" s="32">
        <v>3.85E-2</v>
      </c>
    </row>
    <row r="69" spans="1:7" x14ac:dyDescent="0.25">
      <c r="A69" s="35" t="s">
        <v>1338</v>
      </c>
      <c r="B69" s="31">
        <v>10.78</v>
      </c>
      <c r="C69" s="37">
        <v>7.85E-2</v>
      </c>
      <c r="D69" s="33" t="s">
        <v>35</v>
      </c>
      <c r="E69" s="33" t="s">
        <v>35</v>
      </c>
      <c r="F69" s="32">
        <v>0.04</v>
      </c>
      <c r="G69" s="32">
        <v>3.85E-2</v>
      </c>
    </row>
    <row r="70" spans="1:7" x14ac:dyDescent="0.25">
      <c r="A70" s="35" t="s">
        <v>1385</v>
      </c>
      <c r="B70" s="31">
        <v>36.74</v>
      </c>
      <c r="C70" s="37">
        <v>7.85E-2</v>
      </c>
      <c r="D70" s="33" t="s">
        <v>35</v>
      </c>
      <c r="E70" s="33" t="s">
        <v>35</v>
      </c>
      <c r="F70" s="32">
        <v>0.04</v>
      </c>
      <c r="G70" s="32">
        <v>3.85E-2</v>
      </c>
    </row>
    <row r="71" spans="1:7" x14ac:dyDescent="0.25">
      <c r="A71" s="35" t="s">
        <v>2806</v>
      </c>
      <c r="B71" s="31">
        <v>104.97</v>
      </c>
      <c r="C71" s="37">
        <v>7.85E-2</v>
      </c>
      <c r="D71" s="33" t="s">
        <v>35</v>
      </c>
      <c r="E71" s="33" t="s">
        <v>35</v>
      </c>
      <c r="F71" s="32">
        <v>0.04</v>
      </c>
      <c r="G71" s="32">
        <v>3.85E-2</v>
      </c>
    </row>
  </sheetData>
  <autoFilter ref="A3:G71" xr:uid="{74FB3A68-2D70-432D-854A-9BC2A2F83B2A}"/>
  <mergeCells count="2">
    <mergeCell ref="A1:G1"/>
    <mergeCell ref="D2:G2"/>
  </mergeCells>
  <conditionalFormatting sqref="A4:A71">
    <cfRule type="duplicateValues" dxfId="0" priority="1"/>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Cotação Turbo Diesel</vt:lpstr>
      <vt:lpstr>Pendência</vt:lpstr>
      <vt:lpstr>Planilha1</vt:lpstr>
      <vt:lpstr>Lançamentos</vt:lpstr>
      <vt:lpstr>Reajuste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Turbo Diesel</cp:lastModifiedBy>
  <cp:revision/>
  <dcterms:created xsi:type="dcterms:W3CDTF">2022-02-23T13:49:35Z</dcterms:created>
  <dcterms:modified xsi:type="dcterms:W3CDTF">2026-03-03T12:12:16Z</dcterms:modified>
  <cp:category/>
  <cp:contentStatus/>
</cp:coreProperties>
</file>